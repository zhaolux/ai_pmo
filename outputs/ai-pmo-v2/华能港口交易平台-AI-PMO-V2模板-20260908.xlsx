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840" activeTab="2"/>
  </bookViews>
  <sheets>
    <sheet name="项目驾驶舱" sheetId="1" r:id="rId1"/>
    <sheet name="项目总控台账" sheetId="2" r:id="rId2"/>
    <sheet name="资源计划" sheetId="3" r:id="rId3"/>
    <sheet name="里程碑计划" sheetId="4" r:id="rId4"/>
    <sheet name="周迭代计划" sheetId="5" r:id="rId5"/>
    <sheet name="集成管理" sheetId="6" r:id="rId6"/>
    <sheet name="风险问题台账" sheetId="7" r:id="rId7"/>
    <sheet name="变更台账" sheetId="8" r:id="rId8"/>
    <sheet name="交付物台账" sheetId="9" r:id="rId9"/>
    <sheet name="会议行动项" sheetId="10" r:id="rId10"/>
    <sheet name="使用说明" sheetId="11" r:id="rId11"/>
    <sheet name="AI项目诊断" sheetId="12" r:id="rId12"/>
    <sheet name="数据质量检查" sheetId="13" r:id="rId13"/>
    <sheet name="待决策事项" sheetId="14" r:id="rId14"/>
    <sheet name="两周督办" sheetId="15" r:id="rId15"/>
    <sheet name="PMO周报" sheetId="16" r:id="rId16"/>
    <sheet name="AI运行日志" sheetId="17" r:id="rId17"/>
  </sheets>
  <definedNames>
    <definedName name="_xlnm._FilterDatabase" localSheetId="1" hidden="1">项目总控台账!$A$3:$AE$148</definedName>
    <definedName name="_xlnm._FilterDatabase" localSheetId="2" hidden="1">资源计划!$A$157:$K$836</definedName>
    <definedName name="_xlnm._FilterDatabase" localSheetId="12" hidden="1">数据质量检查!$A$4:$J$149</definedName>
    <definedName name="_xlnm._FilterDatabase" localSheetId="13" hidden="1">待决策事项!$A$4:$M$54</definedName>
    <definedName name="_xlnm._FilterDatabase" localSheetId="14" hidden="1">两周督办!$A$4:$M$149</definedName>
    <definedName name="_xlnm._FilterDatabase" localSheetId="16" hidden="1">AI运行日志!$A$4:$L$104</definedName>
    <definedName name="_xlnm.Print_Titles" localSheetId="2">资源计划!$1:$4</definedName>
    <definedName name="_xlnm.Print_Titles" localSheetId="11">AI项目诊断!$1:$4</definedName>
    <definedName name="_xlnm.Print_Titles" localSheetId="12">数据质量检查!$1:$4</definedName>
    <definedName name="_xlnm.Print_Titles" localSheetId="13">待决策事项!$1:$4</definedName>
    <definedName name="_xlnm.Print_Titles" localSheetId="14">两周督办!$1:$4</definedName>
    <definedName name="_xlnm.Print_Titles" localSheetId="15">PMO周报!$1:$4</definedName>
    <definedName name="_xlnm.Print_Titles" localSheetId="16">AI运行日志!$1:$4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<sst xmlns="http://schemas.openxmlformats.org/spreadsheetml/2006/main" count="4228" uniqueCount="793">
  <si>
    <t>华能交易中心港口交易平台｜项目管理驾驶舱</t>
  </si>
  <si>
    <t>统计日期</t>
  </si>
  <si>
    <t>总任务数</t>
  </si>
  <si>
    <t>已完成</t>
  </si>
  <si>
    <t>进行中</t>
  </si>
  <si>
    <t>未开始</t>
  </si>
  <si>
    <t>暂停</t>
  </si>
  <si>
    <t>平均进度</t>
  </si>
  <si>
    <t>已延期</t>
  </si>
  <si>
    <t>临近到期</t>
  </si>
  <si>
    <t>高风险</t>
  </si>
  <si>
    <t>未关闭问题</t>
  </si>
  <si>
    <t>待决变更</t>
  </si>
  <si>
    <t>里程碑达成</t>
  </si>
  <si>
    <t>集成完成</t>
  </si>
  <si>
    <t>交付物完成</t>
  </si>
  <si>
    <t>综合进度</t>
  </si>
  <si>
    <t>任务完成率</t>
  </si>
  <si>
    <t>计划投入人天</t>
  </si>
  <si>
    <t>计划人工成本</t>
  </si>
  <si>
    <t>人日单价</t>
  </si>
  <si>
    <t>状态</t>
  </si>
  <si>
    <t>任务数</t>
  </si>
  <si>
    <t>批次</t>
  </si>
  <si>
    <t>完成率</t>
  </si>
  <si>
    <t>第一批次</t>
  </si>
  <si>
    <t>第二批次</t>
  </si>
  <si>
    <t>其他</t>
  </si>
  <si>
    <t>管理关注点</t>
  </si>
  <si>
    <t>华能交易中心港口交易平台｜项目总控台账</t>
  </si>
  <si>
    <t>蓝色字段来自原开发计划；黄色字段为管理补充项；进度与延期由公式自动计算。</t>
  </si>
  <si>
    <t>任务ID</t>
  </si>
  <si>
    <t>一级功能</t>
  </si>
  <si>
    <t>二级功能</t>
  </si>
  <si>
    <t>三级功能</t>
  </si>
  <si>
    <t>四级功能</t>
  </si>
  <si>
    <t>总体状态</t>
  </si>
  <si>
    <t>主责人</t>
  </si>
  <si>
    <t>计划开始</t>
  </si>
  <si>
    <t>计划完成</t>
  </si>
  <si>
    <t>计划上线</t>
  </si>
  <si>
    <t>业务负责人</t>
  </si>
  <si>
    <t>业务状态</t>
  </si>
  <si>
    <t>业务开始</t>
  </si>
  <si>
    <t>业务结束</t>
  </si>
  <si>
    <t>后端负责人</t>
  </si>
  <si>
    <t>后端状态</t>
  </si>
  <si>
    <t>后端开始</t>
  </si>
  <si>
    <t>后端结束</t>
  </si>
  <si>
    <t>前端负责人</t>
  </si>
  <si>
    <t>前端状态</t>
  </si>
  <si>
    <t>前端开始</t>
  </si>
  <si>
    <t>前端结束</t>
  </si>
  <si>
    <t>测试负责人</t>
  </si>
  <si>
    <t>测试状态</t>
  </si>
  <si>
    <t>测试开始</t>
  </si>
  <si>
    <t>测试结束</t>
  </si>
  <si>
    <t>延期状态</t>
  </si>
  <si>
    <t>当前问题/阻塞</t>
  </si>
  <si>
    <t>备注</t>
  </si>
  <si>
    <t>T001</t>
  </si>
  <si>
    <t>基础数据</t>
  </si>
  <si>
    <t>车辆信息维护</t>
  </si>
  <si>
    <t>新增车辆信息</t>
  </si>
  <si>
    <t>/</t>
  </si>
  <si>
    <t>郑士旺</t>
  </si>
  <si>
    <t>石军磊、刘凯</t>
  </si>
  <si>
    <t>贺航</t>
  </si>
  <si>
    <t>袁丽荣</t>
  </si>
  <si>
    <t>69</t>
  </si>
  <si>
    <t>T002</t>
  </si>
  <si>
    <t>修改车辆信息</t>
  </si>
  <si>
    <t>T003</t>
  </si>
  <si>
    <t>删除车辆信息</t>
  </si>
  <si>
    <t>T004</t>
  </si>
  <si>
    <t>查询展示车辆信息</t>
  </si>
  <si>
    <t>T005</t>
  </si>
  <si>
    <t>船舶信息维护</t>
  </si>
  <si>
    <t>船舶唯一性校验</t>
  </si>
  <si>
    <t>T006</t>
  </si>
  <si>
    <t>收费标准信息维护</t>
  </si>
  <si>
    <t>优化收费标准（装卸费）新增</t>
  </si>
  <si>
    <t>T007</t>
  </si>
  <si>
    <t>优化收费标准（装卸费）编辑</t>
  </si>
  <si>
    <t>T008</t>
  </si>
  <si>
    <t>优化收费标准（装卸费）详情</t>
  </si>
  <si>
    <t>T009</t>
  </si>
  <si>
    <t>采样方式信息维护</t>
  </si>
  <si>
    <t>优化采样方式新增</t>
  </si>
  <si>
    <t>T010</t>
  </si>
  <si>
    <t>优化采样方式编辑</t>
  </si>
  <si>
    <t>T011</t>
  </si>
  <si>
    <t>网上营业厅</t>
  </si>
  <si>
    <t>交易中心报单信息展示及应单入口</t>
  </si>
  <si>
    <t>获取报单数据及展示</t>
  </si>
  <si>
    <t>T012</t>
  </si>
  <si>
    <t>应单入口</t>
  </si>
  <si>
    <t>T013</t>
  </si>
  <si>
    <t>结算条款管理</t>
  </si>
  <si>
    <t>新增结算条款</t>
  </si>
  <si>
    <t>T014</t>
  </si>
  <si>
    <t>结算条款审批</t>
  </si>
  <si>
    <t>T015</t>
  </si>
  <si>
    <t>修改结算条款</t>
  </si>
  <si>
    <t>T016</t>
  </si>
  <si>
    <t>删除结算条款</t>
  </si>
  <si>
    <t>T017</t>
  </si>
  <si>
    <t>查询展示结算条款</t>
  </si>
  <si>
    <t>T018</t>
  </si>
  <si>
    <t>结算条款推送法务系统</t>
  </si>
  <si>
    <t>T019</t>
  </si>
  <si>
    <t>卸船作业</t>
  </si>
  <si>
    <t>卸船计划</t>
  </si>
  <si>
    <t>对接卸船计划</t>
  </si>
  <si>
    <t>T020</t>
  </si>
  <si>
    <t>查询卸车计划</t>
  </si>
  <si>
    <t>T021</t>
  </si>
  <si>
    <t>外部客户确认</t>
  </si>
  <si>
    <t>T022</t>
  </si>
  <si>
    <t>卸船作业信息管理</t>
  </si>
  <si>
    <t>对接卸船作业信息</t>
  </si>
  <si>
    <t>T023</t>
  </si>
  <si>
    <t>查询卸船作业信息</t>
  </si>
  <si>
    <t>T024</t>
  </si>
  <si>
    <t>卸船查询</t>
  </si>
  <si>
    <t>卸船查询列表</t>
  </si>
  <si>
    <t>T025</t>
  </si>
  <si>
    <t>卸船查询详情</t>
  </si>
  <si>
    <t>T026</t>
  </si>
  <si>
    <t>卸船作业委托</t>
  </si>
  <si>
    <t>创建卸船作业委托信息</t>
  </si>
  <si>
    <t>T027</t>
  </si>
  <si>
    <t>修改卸船作业委托信息</t>
  </si>
  <si>
    <t>T028</t>
  </si>
  <si>
    <t>作废卸船作业委托信息</t>
  </si>
  <si>
    <t>T029</t>
  </si>
  <si>
    <t>推送卸船作业委托信息</t>
  </si>
  <si>
    <t>T030</t>
  </si>
  <si>
    <t>查询卸船作业委托信息</t>
  </si>
  <si>
    <t>T031</t>
  </si>
  <si>
    <t>外轮转内贸业务</t>
  </si>
  <si>
    <t>创建外轮转内贸业务信息</t>
  </si>
  <si>
    <t>T032</t>
  </si>
  <si>
    <t>作废外轮转内贸业务信息</t>
  </si>
  <si>
    <t>T033</t>
  </si>
  <si>
    <t>查询外轮转内贸业务信息</t>
  </si>
  <si>
    <t>T034</t>
  </si>
  <si>
    <t>船舶靠泊通知单</t>
  </si>
  <si>
    <t>新增船舶靠泊通知单</t>
  </si>
  <si>
    <t>T035</t>
  </si>
  <si>
    <t>审批船舶靠泊通知单</t>
  </si>
  <si>
    <t>T036</t>
  </si>
  <si>
    <t>查询船舶靠泊通知单</t>
  </si>
  <si>
    <t>T037</t>
  </si>
  <si>
    <t>卸车流程跟踪</t>
  </si>
  <si>
    <t>创建卸车流程</t>
  </si>
  <si>
    <t>T038</t>
  </si>
  <si>
    <t>查询卸车流程</t>
  </si>
  <si>
    <t>T039</t>
  </si>
  <si>
    <t>修改卸车流程</t>
  </si>
  <si>
    <t>T040</t>
  </si>
  <si>
    <t>装船流程跟踪</t>
  </si>
  <si>
    <t>创建装船流程</t>
  </si>
  <si>
    <t>T041</t>
  </si>
  <si>
    <t>查询装船流程</t>
  </si>
  <si>
    <t>T042</t>
  </si>
  <si>
    <t>修改装船流程</t>
  </si>
  <si>
    <t>T043</t>
  </si>
  <si>
    <t>卸船流程跟踪</t>
  </si>
  <si>
    <t>创建卸船流程</t>
  </si>
  <si>
    <t>T044</t>
  </si>
  <si>
    <t>查询卸船流程</t>
  </si>
  <si>
    <t>T045</t>
  </si>
  <si>
    <t>修改卸船流程</t>
  </si>
  <si>
    <t>T046</t>
  </si>
  <si>
    <t>船舶预到（外贸）</t>
  </si>
  <si>
    <t>新增船舶预到（外贸）</t>
  </si>
  <si>
    <t>T047</t>
  </si>
  <si>
    <t>退回船舶预到（外贸）</t>
  </si>
  <si>
    <t>T048</t>
  </si>
  <si>
    <t>船舶预到（内贸）</t>
  </si>
  <si>
    <t>T049</t>
  </si>
  <si>
    <t>采样申请（外贸）</t>
  </si>
  <si>
    <t>申请采样申请（外贸）</t>
  </si>
  <si>
    <t>T050</t>
  </si>
  <si>
    <t>船舶轨迹跟踪</t>
  </si>
  <si>
    <t>维护需跟踪船舶清单</t>
  </si>
  <si>
    <t>石军磊、常浩</t>
  </si>
  <si>
    <t>贺航、常浩</t>
  </si>
  <si>
    <t>T051</t>
  </si>
  <si>
    <t>根据船舶清单更新第三方系统推送数据船舶清单</t>
  </si>
  <si>
    <t>T052</t>
  </si>
  <si>
    <t>T053</t>
  </si>
  <si>
    <t>协同视览</t>
  </si>
  <si>
    <t>接入港口侧视频监控</t>
  </si>
  <si>
    <t>T054</t>
  </si>
  <si>
    <t>视频查看权限申请</t>
  </si>
  <si>
    <t>T055</t>
  </si>
  <si>
    <t>视频查看权限审批</t>
  </si>
  <si>
    <t>T056</t>
  </si>
  <si>
    <t>视频查看权限有效期控制</t>
  </si>
  <si>
    <t>T057</t>
  </si>
  <si>
    <t>外网PC端视频监控查询</t>
  </si>
  <si>
    <t>T058</t>
  </si>
  <si>
    <t>装船计划编制及推送</t>
  </si>
  <si>
    <t>OCR识别及编辑</t>
  </si>
  <si>
    <t>T059</t>
  </si>
  <si>
    <t>优化装车作业信息录入</t>
  </si>
  <si>
    <t>优化新增装车作业信息</t>
  </si>
  <si>
    <t>T060</t>
  </si>
  <si>
    <t>货权跟踪</t>
  </si>
  <si>
    <t>货权录入</t>
  </si>
  <si>
    <t>T061</t>
  </si>
  <si>
    <t>货权修改</t>
  </si>
  <si>
    <t>T062</t>
  </si>
  <si>
    <t>获取查询</t>
  </si>
  <si>
    <t>T063</t>
  </si>
  <si>
    <t>货权提醒</t>
  </si>
  <si>
    <t>卸船作业货权跟踪</t>
  </si>
  <si>
    <t>T064</t>
  </si>
  <si>
    <t>T065</t>
  </si>
  <si>
    <t>装船作业货权跟踪</t>
  </si>
  <si>
    <t>T066</t>
  </si>
  <si>
    <t>T067</t>
  </si>
  <si>
    <t>T068</t>
  </si>
  <si>
    <t>T069</t>
  </si>
  <si>
    <t>卸船作业信息录入优化（太仓）</t>
  </si>
  <si>
    <t>新增、详情、修改页内容调整</t>
  </si>
  <si>
    <t>常浩</t>
  </si>
  <si>
    <t>T070</t>
  </si>
  <si>
    <t>生成报告</t>
  </si>
  <si>
    <t>T071</t>
  </si>
  <si>
    <t>装船作业信息录入优化（太仓）</t>
  </si>
  <si>
    <t>T072</t>
  </si>
  <si>
    <t>船舶预到优化（太仓）</t>
  </si>
  <si>
    <t>OCR识别</t>
  </si>
  <si>
    <t>T073</t>
  </si>
  <si>
    <t>采样作业信息录入</t>
  </si>
  <si>
    <t>采样作业信息录入新增</t>
  </si>
  <si>
    <t>T074</t>
  </si>
  <si>
    <t>采样作业信息录入编辑</t>
  </si>
  <si>
    <t>T075</t>
  </si>
  <si>
    <t>采样作业信息录入详情</t>
  </si>
  <si>
    <t>T076</t>
  </si>
  <si>
    <t>采样作业信息录入删除</t>
  </si>
  <si>
    <t>T077</t>
  </si>
  <si>
    <t>采样作业信息录入列表</t>
  </si>
  <si>
    <t>T078</t>
  </si>
  <si>
    <t>费用结算</t>
  </si>
  <si>
    <t>费用合同签订校验</t>
  </si>
  <si>
    <t>业务数据合同签订校验</t>
  </si>
  <si>
    <t>T079</t>
  </si>
  <si>
    <t>结算数据合同签订校验</t>
  </si>
  <si>
    <t>T080</t>
  </si>
  <si>
    <t>合同校验结果查询</t>
  </si>
  <si>
    <t>T081</t>
  </si>
  <si>
    <t>停泊费（外贸）</t>
  </si>
  <si>
    <t>数据对接</t>
  </si>
  <si>
    <t>T082</t>
  </si>
  <si>
    <t>数据展示</t>
  </si>
  <si>
    <t>T083</t>
  </si>
  <si>
    <t>锚泊费（外贸）</t>
  </si>
  <si>
    <t>T084</t>
  </si>
  <si>
    <t>数据产生</t>
  </si>
  <si>
    <t>T085</t>
  </si>
  <si>
    <t>堆存费（外贸）</t>
  </si>
  <si>
    <t>T086</t>
  </si>
  <si>
    <t>T087</t>
  </si>
  <si>
    <t>卸船费（外贸）</t>
  </si>
  <si>
    <t>T088</t>
  </si>
  <si>
    <t>T089</t>
  </si>
  <si>
    <t>采样服务费（外贸）</t>
  </si>
  <si>
    <t>新增采样服务费（外贸）</t>
  </si>
  <si>
    <t>T090</t>
  </si>
  <si>
    <t>审批采样服务费（外贸）</t>
  </si>
  <si>
    <t>T091</t>
  </si>
  <si>
    <t>单据签章</t>
  </si>
  <si>
    <t>T092</t>
  </si>
  <si>
    <t>数据推送</t>
  </si>
  <si>
    <t>T093</t>
  </si>
  <si>
    <t>船舶供应服务费（外贸）</t>
  </si>
  <si>
    <t>T094</t>
  </si>
  <si>
    <t>T095</t>
  </si>
  <si>
    <t>堆存费优化（太仓）</t>
  </si>
  <si>
    <t>自动生成堆存费</t>
  </si>
  <si>
    <t>T096</t>
  </si>
  <si>
    <t>港杂费优化(太仓）</t>
  </si>
  <si>
    <t>自动生成装船港杂费</t>
  </si>
  <si>
    <t>T097</t>
  </si>
  <si>
    <t>租赁费优化（太仓）</t>
  </si>
  <si>
    <t>自动生成租赁费</t>
  </si>
  <si>
    <t>T098</t>
  </si>
  <si>
    <t>装卸费优化（太仓）</t>
  </si>
  <si>
    <t>优化装卸费新增</t>
  </si>
  <si>
    <t>T099</t>
  </si>
  <si>
    <t>优化装卸费编辑</t>
  </si>
  <si>
    <t>T100</t>
  </si>
  <si>
    <t>资讯公告</t>
  </si>
  <si>
    <t>行业资讯</t>
  </si>
  <si>
    <t>创建行业资讯数据</t>
  </si>
  <si>
    <t>T101</t>
  </si>
  <si>
    <t>修改行业资讯数据</t>
  </si>
  <si>
    <t>T102</t>
  </si>
  <si>
    <t>删除行业资讯数据</t>
  </si>
  <si>
    <t>T103</t>
  </si>
  <si>
    <t>展示行业资讯数据</t>
  </si>
  <si>
    <t>T104</t>
  </si>
  <si>
    <t>统计分析</t>
  </si>
  <si>
    <t>吞吐量统计（曹妃甸）</t>
  </si>
  <si>
    <t>T105</t>
  </si>
  <si>
    <t>泊位占用率分析（曹妃甸）</t>
  </si>
  <si>
    <t>T106</t>
  </si>
  <si>
    <t>堆存库存统计（曹妃甸）</t>
  </si>
  <si>
    <t>T107</t>
  </si>
  <si>
    <t>分货主实时统计表（曹妃甸）</t>
  </si>
  <si>
    <t>T108</t>
  </si>
  <si>
    <t>综合装船效率分析（曹妃甸）</t>
  </si>
  <si>
    <t>T109</t>
  </si>
  <si>
    <t>综合卸车效率分析（曹妃甸）</t>
  </si>
  <si>
    <t>T110</t>
  </si>
  <si>
    <t>综合卸船效率分析（曹妃甸）</t>
  </si>
  <si>
    <t>T111</t>
  </si>
  <si>
    <t>吞吐量统计（太仓）</t>
  </si>
  <si>
    <t>T112</t>
  </si>
  <si>
    <t>泊位占用率分析（太仓）</t>
  </si>
  <si>
    <t>T113</t>
  </si>
  <si>
    <t>堆存库存统计（太仓）</t>
  </si>
  <si>
    <t>T114</t>
  </si>
  <si>
    <t>分货主实时统计表（太仓）</t>
  </si>
  <si>
    <t>T115</t>
  </si>
  <si>
    <t>综合卸船效率分析（太仓）</t>
  </si>
  <si>
    <t>T116</t>
  </si>
  <si>
    <t>堆垛雨布苫盖情况表（太仓）</t>
  </si>
  <si>
    <t>T117</t>
  </si>
  <si>
    <t>自动报告</t>
  </si>
  <si>
    <t>经营任务情况分析报告</t>
  </si>
  <si>
    <t>T118</t>
  </si>
  <si>
    <t>客户月报报告</t>
  </si>
  <si>
    <t>T119</t>
  </si>
  <si>
    <t>月度客户情况报告</t>
  </si>
  <si>
    <t>T120</t>
  </si>
  <si>
    <t>商务计划周报</t>
  </si>
  <si>
    <t>T121</t>
  </si>
  <si>
    <t>移动端</t>
  </si>
  <si>
    <t>APP</t>
  </si>
  <si>
    <t>船舶供应服务查询</t>
  </si>
  <si>
    <t>T122</t>
  </si>
  <si>
    <t>船舶预到（内贸）查询</t>
  </si>
  <si>
    <t>T123</t>
  </si>
  <si>
    <t>台账查询</t>
  </si>
  <si>
    <t>T124</t>
  </si>
  <si>
    <t>停泊费（内贸）查询</t>
  </si>
  <si>
    <t>T125</t>
  </si>
  <si>
    <t>船舶供应服务费（内贸）查询</t>
  </si>
  <si>
    <t>T126</t>
  </si>
  <si>
    <t>停泊费（外贸）查询</t>
  </si>
  <si>
    <t>T127</t>
  </si>
  <si>
    <t>锚泊费（外贸）查询</t>
  </si>
  <si>
    <t>T128</t>
  </si>
  <si>
    <t>堆存费（外贸）查询</t>
  </si>
  <si>
    <t>T129</t>
  </si>
  <si>
    <t>卸船费（外贸）查询</t>
  </si>
  <si>
    <t>T130</t>
  </si>
  <si>
    <t>采样服务费（外贸）查询</t>
  </si>
  <si>
    <t>T131</t>
  </si>
  <si>
    <t>船舶供应服务费（外贸）查询</t>
  </si>
  <si>
    <t>T132</t>
  </si>
  <si>
    <t>T133</t>
  </si>
  <si>
    <t>T134</t>
  </si>
  <si>
    <t>卸船计划查询</t>
  </si>
  <si>
    <t>T135</t>
  </si>
  <si>
    <t>T136</t>
  </si>
  <si>
    <t>T137</t>
  </si>
  <si>
    <t>外轮转内贸业务查询</t>
  </si>
  <si>
    <t>T138</t>
  </si>
  <si>
    <t>T139</t>
  </si>
  <si>
    <t>T140</t>
  </si>
  <si>
    <t>T141</t>
  </si>
  <si>
    <t>视频监控查询</t>
  </si>
  <si>
    <t>T142</t>
  </si>
  <si>
    <t>iHN+</t>
  </si>
  <si>
    <t>T143</t>
  </si>
  <si>
    <t>图片上传</t>
  </si>
  <si>
    <t>T144</t>
  </si>
  <si>
    <t>T145</t>
  </si>
  <si>
    <t>资源计划</t>
  </si>
  <si>
    <t>汇总业务、后端、前端和测试任务分配。黄色区域用于填写可用工时、任务投入工时和资源调整说明。</t>
  </si>
  <si>
    <t>人员</t>
  </si>
  <si>
    <t>角色</t>
  </si>
  <si>
    <t>未完成任务</t>
  </si>
  <si>
    <t>最早开始</t>
  </si>
  <si>
    <t>最晚结束</t>
  </si>
  <si>
    <t>周可用工时</t>
  </si>
  <si>
    <t>计划投入工时</t>
  </si>
  <si>
    <t>负荷率</t>
  </si>
  <si>
    <t>负荷判断</t>
  </si>
  <si>
    <t>资源建议</t>
  </si>
  <si>
    <t>刘凯</t>
  </si>
  <si>
    <t>后端</t>
  </si>
  <si>
    <t>全栈</t>
  </si>
  <si>
    <t>石军磊</t>
  </si>
  <si>
    <t>测试</t>
  </si>
  <si>
    <t>前端</t>
  </si>
  <si>
    <t>业务</t>
  </si>
  <si>
    <t>资源周计划</t>
  </si>
  <si>
    <t>任务名称、状态和日期直接引用总控台账；新增任务或调整责任人后，重新执行V2更新以扩展明细行。</t>
  </si>
  <si>
    <t>周开始</t>
  </si>
  <si>
    <t>周结束</t>
  </si>
  <si>
    <t>是否有任务</t>
  </si>
  <si>
    <t>周计划工时</t>
  </si>
  <si>
    <t>说明</t>
  </si>
  <si>
    <t>任务清单</t>
  </si>
  <si>
    <t>T058 OCR识别及编辑；T070 生成报告；T071 装船作业信息录入优化（太仓）</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</si>
  <si>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</si>
  <si>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t>
  </si>
  <si>
    <t>T037 创建卸车流程；T038 查询卸车流程；T039 修改卸车流程；T040 创建装船流程；T041 查询装船流程；T042 修改装船流程；T043 创建卸船流程；T044 查询卸船流程；T045 修改卸船流程；T059 优化新增装车作业信息；T104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</si>
  <si>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T037 创建卸车流程；T038 查询卸车流程；T039 修改卸车流程；T040 创建装船流程；T041 查询装船流程；T042 修改装船流程；T043 创建卸船流程；T044 查询卸船流程；T045 修改卸船流程；T059 优化新增装车作业信息；T104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</si>
  <si>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T037 创建卸车流程；T038 查询卸车流程；T039 修改卸车流程；T040 创建装船流程；T041 查询装船流程；T042 修改装船流程；T043 创建卸船流程；T044 查询卸船流程；T045 修改卸船流程；T104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</si>
  <si>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T037 创建卸车流程；T038 查询卸车流程；T039 修改卸车流程；T040 创建装船流程；T041 查询装船流程；T042 修改装船流程；T043 创建卸船流程；T044 查询卸船流程；T045 修改卸船流程；T104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</si>
  <si>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T121 船舶供应服务查询；T122 船舶预到（内贸）查询；T123 台账查询；T124 停泊费（内贸）查询；T125 船舶供应服务费（内贸）查询</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</si>
  <si>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外网PC端视频监控查询；T141 视频监控查询</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</si>
  <si>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申请采样申请（外贸）；T078 业务数据合同签订校验；T079 结算数据合同签订校验；T080 合同校验结果查询；T081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查询船舶靠泊通知单；T136 卸船作业委托；T137 外轮转内贸业务查询；T142 审批船舶靠泊通知单</t>
  </si>
  <si>
    <t/>
  </si>
  <si>
    <t>T069 新增、详情、修改页内容调整</t>
  </si>
  <si>
    <t>T050 维护需跟踪船舶清单；T051 根据船舶清单更新第三方系统推送数据船舶清单；T052 船舶轨迹跟踪；T095 自动生成堆存费</t>
  </si>
  <si>
    <t>T100 创建行业资讯数据；T101 修改行业资讯数据；T102 删除行业资讯数据；T103 展示行业资讯数据</t>
  </si>
  <si>
    <t>T134 卸船计划查询；T135 卸船查询</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</si>
  <si>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OCR识别；T096 自动生成装船港杂费</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</si>
  <si>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</si>
  <si>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</si>
  <si>
    <t>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</si>
  <si>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外网PC端视频监控查询；T059 优化新增装车作业信息；T078 业务数据合同签订校验；T079 结算数据合同签订校验；T080 合同校验结果查询；T141 视频监控查询</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</si>
  <si>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外轮转内贸业务查询；T138 查询卸车流程；T139 查询装船流程；T140 查询卸船流程；T142 审批船舶靠泊通知单</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</si>
  <si>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</si>
  <si>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综合卸船效率分析（曹妃甸）；T138 查询卸车流程；T139 查询装船流程；T140 查询卸船流程；T143 图片上传；T144 图片上传；T145 图片上传</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</si>
  <si>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</si>
  <si>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申请采样申请（外贸）；T059 优化新增装车作业信息；T081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外轮转内贸业务查询；T142 审批船舶靠泊通知单</t>
  </si>
  <si>
    <t>任务资源明细</t>
  </si>
  <si>
    <t>任务名称</t>
  </si>
  <si>
    <t>计划结束</t>
  </si>
  <si>
    <t>分配状态</t>
  </si>
  <si>
    <t>调整建议</t>
  </si>
  <si>
    <t>里程碑计划与阶段门管理</t>
  </si>
  <si>
    <t>里程碑ID</t>
  </si>
  <si>
    <t>里程碑名称</t>
  </si>
  <si>
    <t>验收/完成标准</t>
  </si>
  <si>
    <t>责任人</t>
  </si>
  <si>
    <t>计划日期</t>
  </si>
  <si>
    <t>实际日期</t>
  </si>
  <si>
    <t>偏差天数</t>
  </si>
  <si>
    <t>健康度</t>
  </si>
  <si>
    <t>M01</t>
  </si>
  <si>
    <t>第一批次业务设计完成</t>
  </si>
  <si>
    <t>第一批次业务设计状态全部完成</t>
  </si>
  <si>
    <t>M02</t>
  </si>
  <si>
    <t>第一批次前后端开发完成</t>
  </si>
  <si>
    <t>第一批次前端、后端状态全部完成</t>
  </si>
  <si>
    <t>开发组</t>
  </si>
  <si>
    <t>M03</t>
  </si>
  <si>
    <t>第一批次测试完成</t>
  </si>
  <si>
    <t>第一批次测试状态全部完成且无阻断缺陷</t>
  </si>
  <si>
    <t>M04</t>
  </si>
  <si>
    <t>第一批次上线</t>
  </si>
  <si>
    <t>完成上线审批、部署及回归验证</t>
  </si>
  <si>
    <t>项目经理</t>
  </si>
  <si>
    <t>M05</t>
  </si>
  <si>
    <t>第二批次业务设计完成</t>
  </si>
  <si>
    <t>第二批次业务设计状态全部完成</t>
  </si>
  <si>
    <t>M06</t>
  </si>
  <si>
    <t>第二批次前后端开发完成</t>
  </si>
  <si>
    <t>第二批次前端、后端状态全部完成</t>
  </si>
  <si>
    <t>M07</t>
  </si>
  <si>
    <t>第二批次测试完成</t>
  </si>
  <si>
    <t>第二批次测试状态全部完成且无阻断缺陷</t>
  </si>
  <si>
    <t>M08</t>
  </si>
  <si>
    <t>第二批次上线</t>
  </si>
  <si>
    <t>M09</t>
  </si>
  <si>
    <t>外部系统集成联调完成</t>
  </si>
  <si>
    <t>全项目</t>
  </si>
  <si>
    <t>6个外部系统均完成联调确认</t>
  </si>
  <si>
    <t>集成负责人</t>
  </si>
  <si>
    <t>M10</t>
  </si>
  <si>
    <t>项目验收</t>
  </si>
  <si>
    <t>完成用户验收并签署验收材料</t>
  </si>
  <si>
    <t>周迭代计划与完成跟踪</t>
  </si>
  <si>
    <t>迭代周</t>
  </si>
  <si>
    <t>开始日期</t>
  </si>
  <si>
    <t>结束日期</t>
  </si>
  <si>
    <t>功能设计</t>
  </si>
  <si>
    <t>前端开发</t>
  </si>
  <si>
    <t>后端开发</t>
  </si>
  <si>
    <t>功能测试</t>
  </si>
  <si>
    <t>本周完成率</t>
  </si>
  <si>
    <t>复盘说明</t>
  </si>
  <si>
    <t>装船计划编制及推送、卸船作业信息录入优化（太仓）、装船作业信息录入优化（太仓）</t>
  </si>
  <si>
    <t>车辆信息维护、交易中心报单信息展示及应单入口、船舶轨迹跟踪、货权跟踪、货权提醒、船舶预到优化（太仓）、堆存费优化（太仓）、港杂费优化(太仓）、收费标准信息维护、采样方式信息维护、装卸费结算、租赁费结算、采样作业信息录入</t>
  </si>
  <si>
    <t>卸车流程跟踪、装船流程跟踪、卸船流程跟踪、行业资讯、统计分析</t>
  </si>
  <si>
    <t>APP：船舶供应服务查询、船舶预到（内贸）查询、台账查询、停泊费（内贸）查询、船舶供应服务费（内贸）查询</t>
  </si>
  <si>
    <t>车辆信息维护、交易中心报单信息展示及应单入口、船舶轨迹跟踪、货权跟踪、货权提醒、船舶预到优化（太仓）、堆存费优化（太仓）、港杂费优化（太仓）、收费标准信息维护、采样方式信息维护、装卸费结算、租赁费结算、采样作业信息录入</t>
  </si>
  <si>
    <t>结算条款管理、协同视览、费用合同签订校验</t>
  </si>
  <si>
    <t>船舶唯一性校验、卸船作业、船舶预到（外贸）、退回船舶预到（外贸）、采样申请（外贸）、停泊费（外贸）、锚泊费（外贸）、堆存费（外贸）、卸船费（外贸）、采样服务费（外贸）、船舶供应服务费（外贸）</t>
  </si>
  <si>
    <t>卸车流程跟踪、装船流程跟踪、卸船流程跟踪、行业资讯、统计分析、自动报告</t>
  </si>
  <si>
    <t>外部系统集成管理</t>
  </si>
  <si>
    <t>集成ID</t>
  </si>
  <si>
    <t>集成系统</t>
  </si>
  <si>
    <t>交互方式</t>
  </si>
  <si>
    <t>对接人</t>
  </si>
  <si>
    <t>集成内容</t>
  </si>
  <si>
    <t>原计划进展</t>
  </si>
  <si>
    <t>管理状态</t>
  </si>
  <si>
    <t>实际完成</t>
  </si>
  <si>
    <t>依赖事项</t>
  </si>
  <si>
    <t>风险等级</t>
  </si>
  <si>
    <t>风险/备注</t>
  </si>
  <si>
    <t>INT-01</t>
  </si>
  <si>
    <t>调运系统</t>
  </si>
  <si>
    <t>接入</t>
  </si>
  <si>
    <t>佘万明</t>
  </si>
  <si>
    <t>船舶轨迹位置、船舶档案、海图信息</t>
  </si>
  <si>
    <t>中</t>
  </si>
  <si>
    <t>INT-02</t>
  </si>
  <si>
    <t>法治平台</t>
  </si>
  <si>
    <t>许祥</t>
  </si>
  <si>
    <t>曹妃甸港、太仓港合同信息</t>
  </si>
  <si>
    <t>已初步对接，对方已提供接口文档，数据清单</t>
  </si>
  <si>
    <t>高</t>
  </si>
  <si>
    <t>1.进度风险：法制平台7月上线试点运行，会在10月份全面上线，相关功能应用需在10月份后才能上线；
2.功能风险：企法部要求法制平台咱不提供接收合同接口，无法满足客户在本系统录入合同的需求，已与用户反馈，用户内部需进行评估</t>
  </si>
  <si>
    <t>INT-03</t>
  </si>
  <si>
    <t>集团大模型服务</t>
  </si>
  <si>
    <t>李超来</t>
  </si>
  <si>
    <t>OCR能力</t>
  </si>
  <si>
    <t>1.效率风险：文件识别效率偏低，需1分钟左右</t>
  </si>
  <si>
    <t>INT-04</t>
  </si>
  <si>
    <t>港航部科技项目系统</t>
  </si>
  <si>
    <t>曹妃甸港、太仓港视频监控数据</t>
  </si>
  <si>
    <t>已初步对接，对方预计10月份具备接口联调条件</t>
  </si>
  <si>
    <t>1.科技项目不会对接全部生产作业视频监控数据，需确认科技项目对接范围后确认是否满足用户需求</t>
  </si>
  <si>
    <t>INT-05</t>
  </si>
  <si>
    <t>曹妃甸管控一体化系统</t>
  </si>
  <si>
    <t>接入、推送</t>
  </si>
  <si>
    <t>张应龙</t>
  </si>
  <si>
    <t>基础数据、业务数据、结算数据</t>
  </si>
  <si>
    <t>未对接</t>
  </si>
  <si>
    <t>暂无</t>
  </si>
  <si>
    <t>INT-06</t>
  </si>
  <si>
    <t>太仓港管控一体化系统</t>
  </si>
  <si>
    <t>1.太仓港管控一体化系统刚立项，集成工作暂时无法开展</t>
  </si>
  <si>
    <t>风险与问题闭环台账</t>
  </si>
  <si>
    <t>编号</t>
  </si>
  <si>
    <t>类型</t>
  </si>
  <si>
    <t>风险/问题描述</t>
  </si>
  <si>
    <t>等级</t>
  </si>
  <si>
    <t>影响范围</t>
  </si>
  <si>
    <t>应对措施</t>
  </si>
  <si>
    <t>计划关闭</t>
  </si>
  <si>
    <t>实际关闭</t>
  </si>
  <si>
    <t>触发条件/根因</t>
  </si>
  <si>
    <t>剩余天数</t>
  </si>
  <si>
    <t>是否逾期</t>
  </si>
  <si>
    <t>跟踪记录</t>
  </si>
  <si>
    <t>R-001</t>
  </si>
  <si>
    <t>风险</t>
  </si>
  <si>
    <t>法治平台全面上线时间影响相关功能投产</t>
  </si>
  <si>
    <t>合同信息集成</t>
  </si>
  <si>
    <t>确认对方正式上线窗口，制定模拟数据和延期切换方案</t>
  </si>
  <si>
    <t>对方10月后方可正式支撑</t>
  </si>
  <si>
    <t>处理中</t>
  </si>
  <si>
    <t>来源：原计划-集成工作</t>
  </si>
  <si>
    <t>R-002</t>
  </si>
  <si>
    <t>法治平台不提供合同接收接口，可能无法满足本系统录入合同需求</t>
  </si>
  <si>
    <t>合同业务闭环</t>
  </si>
  <si>
    <t>推动用户决策，形成接口边界与替代方案确认单</t>
  </si>
  <si>
    <t>接口能力与业务诉求不一致</t>
  </si>
  <si>
    <t>待处理</t>
  </si>
  <si>
    <t>R-003</t>
  </si>
  <si>
    <t>OCR识别耗时约1分钟，影响业务效率</t>
  </si>
  <si>
    <t>技术负责人</t>
  </si>
  <si>
    <t>压测典型文件，确定超时阈值、异步处理与结果回调方案</t>
  </si>
  <si>
    <t>外部大模型服务性能</t>
  </si>
  <si>
    <t>R-004</t>
  </si>
  <si>
    <t>视频监控数据对接范围尚未明确</t>
  </si>
  <si>
    <t>视频监控</t>
  </si>
  <si>
    <t>确认科技项目覆盖清单并补充缺口方案</t>
  </si>
  <si>
    <t>上游系统范围不确定</t>
  </si>
  <si>
    <t>R-005</t>
  </si>
  <si>
    <t>太仓港管控一体化系统刚立项，集成工作无法按期开展</t>
  </si>
  <si>
    <t>太仓港数据集成</t>
  </si>
  <si>
    <t>拆分依赖与非依赖工作，设立外部条件就绪门槛</t>
  </si>
  <si>
    <t>外部项目未形成可对接环境</t>
  </si>
  <si>
    <t>R-006</t>
  </si>
  <si>
    <t>第二批次存在大量未开始任务，后续开发测试窗口集中</t>
  </si>
  <si>
    <t>开发负责人</t>
  </si>
  <si>
    <t>按关键路径重排优先级，按周跟踪启动率与完成率</t>
  </si>
  <si>
    <t>资源与工作量集中</t>
  </si>
  <si>
    <t>基于开发计划识别</t>
  </si>
  <si>
    <t>项目变更台账</t>
  </si>
  <si>
    <t>变更编号</t>
  </si>
  <si>
    <t>提出日期</t>
  </si>
  <si>
    <t>提出人</t>
  </si>
  <si>
    <t>变更内容</t>
  </si>
  <si>
    <t>变更原因</t>
  </si>
  <si>
    <t>优先级</t>
  </si>
  <si>
    <t>审批状态</t>
  </si>
  <si>
    <t>范围影响</t>
  </si>
  <si>
    <t>工期影响(天)</t>
  </si>
  <si>
    <t>成本影响</t>
  </si>
  <si>
    <t>评估人</t>
  </si>
  <si>
    <t>批准人</t>
  </si>
  <si>
    <t>实施日期</t>
  </si>
  <si>
    <t>关闭说明</t>
  </si>
  <si>
    <t>项目交付物与质量门禁</t>
  </si>
  <si>
    <t>交付物ID</t>
  </si>
  <si>
    <t>交付物名称</t>
  </si>
  <si>
    <t>类别</t>
  </si>
  <si>
    <t>评审人</t>
  </si>
  <si>
    <t>评审结论</t>
  </si>
  <si>
    <t>版本/存放位置</t>
  </si>
  <si>
    <t>D-001</t>
  </si>
  <si>
    <t>项目管理计划</t>
  </si>
  <si>
    <t>管理</t>
  </si>
  <si>
    <t>项目负责人</t>
  </si>
  <si>
    <t>待评审</t>
  </si>
  <si>
    <t>D-002</t>
  </si>
  <si>
    <t>业务需求规格说明书</t>
  </si>
  <si>
    <t>需求</t>
  </si>
  <si>
    <t>D-003</t>
  </si>
  <si>
    <t>系统总体设计说明书</t>
  </si>
  <si>
    <t>设计</t>
  </si>
  <si>
    <t>架构负责人</t>
  </si>
  <si>
    <t>D-004</t>
  </si>
  <si>
    <t>接口清单及接口设计说明</t>
  </si>
  <si>
    <t>集成</t>
  </si>
  <si>
    <t>D-005</t>
  </si>
  <si>
    <t>第一批次测试报告</t>
  </si>
  <si>
    <t>D-006</t>
  </si>
  <si>
    <t>第二批次测试报告</t>
  </si>
  <si>
    <t>D-007</t>
  </si>
  <si>
    <t>上线方案及回退方案</t>
  </si>
  <si>
    <t>上线</t>
  </si>
  <si>
    <t>运维负责人</t>
  </si>
  <si>
    <t>D-008</t>
  </si>
  <si>
    <t>用户操作手册</t>
  </si>
  <si>
    <t>培训</t>
  </si>
  <si>
    <t>实施负责人</t>
  </si>
  <si>
    <t>D-009</t>
  </si>
  <si>
    <t>用户验收报告</t>
  </si>
  <si>
    <t>验收</t>
  </si>
  <si>
    <t>D-010</t>
  </si>
  <si>
    <t>项目总结与移交清单</t>
  </si>
  <si>
    <t>收尾</t>
  </si>
  <si>
    <t>会议纪要与行动项跟踪</t>
  </si>
  <si>
    <t>行动项ID</t>
  </si>
  <si>
    <t>会议日期</t>
  </si>
  <si>
    <t>会议主题</t>
  </si>
  <si>
    <t>决策/行动事项</t>
  </si>
  <si>
    <t>协同人</t>
  </si>
  <si>
    <t>截止日期</t>
  </si>
  <si>
    <t>完成日期</t>
  </si>
  <si>
    <t>逾期天数</t>
  </si>
  <si>
    <t>结果说明</t>
  </si>
  <si>
    <t>项目管理工作簿使用说明</t>
  </si>
  <si>
    <t>标准更新流程</t>
  </si>
  <si>
    <t>1. 将最新项目计划放入inputs目录；2. 发起“更新V2模板”；3. 系统按文件修改时间选择最新Excel；4. 核对总控、诊断、督办和资源计划。</t>
  </si>
  <si>
    <t>输入目录</t>
  </si>
  <si>
    <t>固定从项目目录下的inputs文件夹读取；支持.xlsx和.xlsm，并自动忽略以~$开头的Excel临时文件。</t>
  </si>
  <si>
    <t>本次数据来源</t>
  </si>
  <si>
    <t>华能交易中心-港口交易平台开发计划-20260903-V2.xlsx</t>
  </si>
  <si>
    <t>任务范围</t>
  </si>
  <si>
    <t>根据最新开发计划动态识别任务行，本次共145条任务；任务增减时，总控及相关明细范围同步调整。</t>
  </si>
  <si>
    <t>在“项目驾驶舱”B3修改统计日期，延期、剩余天数、临近到期和两周督办会同步变化。</t>
  </si>
  <si>
    <t>挂起与暂停</t>
  </si>
  <si>
    <t>业务、后端、前端或测试任一环节为“挂起”或“暂停”时，总体状态自动显示“暂停”；延期状态同步显示“暂停”。</t>
  </si>
  <si>
    <t>综合进度口径</t>
  </si>
  <si>
    <t>业务设计15%、后端开发35%、前端开发30%、测试20%；进行中按该阶段50%计，完成按100%计。</t>
  </si>
  <si>
    <t>延期口径</t>
  </si>
  <si>
    <t>总体状态不是“已完成”或“暂停”，且计划完成日期早于统计日期，判定为“已延期”；7天内到期为“临近到期”。</t>
  </si>
  <si>
    <t>资源明细按人员和任务排序；人员每12行重复分组合并，便于滚动查看。任务字段仍可按批次、状态和日期筛选。</t>
  </si>
  <si>
    <t>资源录入</t>
  </si>
  <si>
    <t>每人每周可用工时固定为40小时，并在同一周的并行任务间平均分配到0.5小时档位；取整超额从部分任务中调减，确保该人员当周合计仍为40小时。跨周任务累计各周分摊工时。</t>
  </si>
  <si>
    <t>成本口径</t>
  </si>
  <si>
    <t>统一人员单价为1200元/人天，按8小时/人天折算为150元/小时。驾驶舱计划人工成本根据资源明细的计划投入工时计算。</t>
  </si>
  <si>
    <t>周迭代计划</t>
  </si>
  <si>
    <t>保留源文件周迭代内容，并计算本周完成率、保留复盘说明。</t>
  </si>
  <si>
    <t>高：影响上线、关键业务闭环或外部关键依赖；中：可通过方案或资源调整控制；低：局部、短期、可快速恢复。</t>
  </si>
  <si>
    <t>更新频率</t>
  </si>
  <si>
    <t>总控台账和行动项每周至少更新1次；风险问题发生变化即更新；变更提出后即登记；里程碑在阶段门前后更新。</t>
  </si>
  <si>
    <t>注意事项</t>
  </si>
  <si>
    <t>源计划中的空白或“/”保持为空。刷新后重点核对新增任务、暂停任务、外部接口完成时间、上线窗口和实际完成日期。</t>
  </si>
  <si>
    <t>AI项目诊断</t>
  </si>
  <si>
    <t>数据日期引用“项目驾驶舱”B3；红黄绿由客观规则计算，管理判断由项目经理确认。</t>
  </si>
  <si>
    <t>数据日期</t>
  </si>
  <si>
    <t>项目经理判断</t>
  </si>
  <si>
    <t>待确认</t>
  </si>
  <si>
    <t>判断说明</t>
  </si>
  <si>
    <t>根据诊断指标补充总体判断、最大失控点和需要的支持。</t>
  </si>
  <si>
    <t>任务总数</t>
  </si>
  <si>
    <t>已完成任务</t>
  </si>
  <si>
    <t>逾期任务</t>
  </si>
  <si>
    <t>未来14天到期</t>
  </si>
  <si>
    <t>未关闭高风险</t>
  </si>
  <si>
    <t>逾期风险/问题</t>
  </si>
  <si>
    <t>逾期行动项</t>
  </si>
  <si>
    <t>数据质量问题</t>
  </si>
  <si>
    <t>项目健康规则</t>
  </si>
  <si>
    <t>状态分布</t>
  </si>
  <si>
    <t>维度</t>
  </si>
  <si>
    <t>客观判断</t>
  </si>
  <si>
    <t>触发规则</t>
  </si>
  <si>
    <t>建议动作</t>
  </si>
  <si>
    <t>责任角色</t>
  </si>
  <si>
    <t>数量</t>
  </si>
  <si>
    <t>进度</t>
  </si>
  <si>
    <t>延期≥5红；有延期或暂停黄；否则绿</t>
  </si>
  <si>
    <t>确认关键路径、暂停原因和恢复条件</t>
  </si>
  <si>
    <t>绿</t>
  </si>
  <si>
    <t>高风险≥3红；1-2黄；0绿</t>
  </si>
  <si>
    <t>逐项落实责任人和关闭证据</t>
  </si>
  <si>
    <t>风险责任人</t>
  </si>
  <si>
    <t>黄</t>
  </si>
  <si>
    <t>行动</t>
  </si>
  <si>
    <t>逾期&gt;7天红；有逾期黄；无逾期绿</t>
  </si>
  <si>
    <t>升级逾期事项并确认新承诺</t>
  </si>
  <si>
    <t>PMO</t>
  </si>
  <si>
    <t>红</t>
  </si>
  <si>
    <t>数据</t>
  </si>
  <si>
    <t>缺陷≥10红；1-9黄；0绿</t>
  </si>
  <si>
    <t>补齐责任人、日期和状态</t>
  </si>
  <si>
    <t>台账维护人</t>
  </si>
  <si>
    <t>灰</t>
  </si>
  <si>
    <t>数据质量检查</t>
  </si>
  <si>
    <t>逐条检查项目总控台账中的关键管理字段。状态为“需整改”的记录应在源台账中修正。</t>
  </si>
  <si>
    <t>来源</t>
  </si>
  <si>
    <t>记录ID</t>
  </si>
  <si>
    <t>发现的问题</t>
  </si>
  <si>
    <t>检查状态</t>
  </si>
  <si>
    <t>源行号</t>
  </si>
  <si>
    <t>项目总控台账</t>
  </si>
  <si>
    <t>待决策事项</t>
  </si>
  <si>
    <t>记录超出项目团队权限、需要管理层或业务方明确取舍的事项。黄色单元格需要人工维护。</t>
  </si>
  <si>
    <t>决策ID</t>
  </si>
  <si>
    <t>决策主题</t>
  </si>
  <si>
    <t>背景与现状</t>
  </si>
  <si>
    <t>可选方案</t>
  </si>
  <si>
    <t>建议方案</t>
  </si>
  <si>
    <t>决策人</t>
  </si>
  <si>
    <t>需要日期</t>
  </si>
  <si>
    <t>当前状态</t>
  </si>
  <si>
    <t>决策结果</t>
  </si>
  <si>
    <t>关闭日期</t>
  </si>
  <si>
    <t>两周督办</t>
  </si>
  <si>
    <t>自动识别未来14天到期及已经逾期的未完成任务。使用“是否纳入”筛选出需要督办的记录。</t>
  </si>
  <si>
    <t>是否纳入</t>
  </si>
  <si>
    <t>距截止天数</t>
  </si>
  <si>
    <t>承诺完成</t>
  </si>
  <si>
    <t>完成证据</t>
  </si>
  <si>
    <t>PMO周报</t>
  </si>
  <si>
    <t>面向项目领导的周报底稿。指标自动计算，黄色区域由项目经理审核后填写。</t>
  </si>
  <si>
    <t>报告日期</t>
  </si>
  <si>
    <t>项目状态</t>
  </si>
  <si>
    <t>状态说明</t>
  </si>
  <si>
    <t>一、本周总体判断</t>
  </si>
  <si>
    <t>说明项目整体状态、与上周相比的变化以及最大失控点。</t>
  </si>
  <si>
    <t>二、本周完成事项</t>
  </si>
  <si>
    <t>列出已经完成且有证据的关键事项，不写日常过程。</t>
  </si>
  <si>
    <t>三、未来两周重点</t>
  </si>
  <si>
    <t>从“两周督办”筛选“是否纳入=是”，确认责任人和承诺日期。</t>
  </si>
  <si>
    <t>四、主要风险与问题</t>
  </si>
  <si>
    <t>优先说明高等级、已逾期、影响里程碑的风险与问题。</t>
  </si>
  <si>
    <t>五、待决策与需协调事项</t>
  </si>
  <si>
    <t>从“待决策事项”提取仍未决策且已接近需要日期的事项。</t>
  </si>
  <si>
    <t>自动指标</t>
  </si>
  <si>
    <t>指标</t>
  </si>
  <si>
    <t>本期值</t>
  </si>
  <si>
    <t>管理含义</t>
  </si>
  <si>
    <t>观察总体交付进展</t>
  </si>
  <si>
    <t>逾期任务数</t>
  </si>
  <si>
    <t>检查关键路径和补救计划</t>
  </si>
  <si>
    <t>确认应对措施和升级需求</t>
  </si>
  <si>
    <t>检查承诺兑现情况</t>
  </si>
  <si>
    <t>明确决策人和最迟日期</t>
  </si>
  <si>
    <t>提高AI诊断可信度</t>
  </si>
  <si>
    <t>AI运行日志</t>
  </si>
  <si>
    <t>记录每次AI分析的输入范围、发现、建议、人工确认和处理结果，便于追踪与复盘。</t>
  </si>
  <si>
    <t>运行ID</t>
  </si>
  <si>
    <t>运行时间</t>
  </si>
  <si>
    <t>分析类型</t>
  </si>
  <si>
    <t>分析范围</t>
  </si>
  <si>
    <t>主要发现</t>
  </si>
  <si>
    <t>AI建议</t>
  </si>
  <si>
    <t>人工结论</t>
  </si>
  <si>
    <t>处理人</t>
  </si>
  <si>
    <t>处理状态</t>
  </si>
  <si>
    <t>完成时间</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</si>
</sst>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 numFmtId="177" formatCode="yyyy\-mm\-dd"/>
    <numFmt numFmtId="178" formatCode="0.0"/>
    <numFmt numFmtId="179" formatCode="\¥#,##0"/>
  </numFmts>
  <fonts count="36">
    <font>
      <sz val="11"/>
      <name val="Carlito"/>
      <charset val="134"/>
    </font>
    <font>
      <b/>
      <sz val="16"/>
      <color rgb="FF17365D"/>
      <name val="Carlito"/>
      <charset val="134"/>
    </font>
    <font>
      <i/>
      <sz val="10"/>
      <color rgb="FF5B6573"/>
      <name val="Carlito"/>
      <charset val="134"/>
    </font>
    <font>
      <b/>
      <sz val="10"/>
      <color rgb="FFFFFFFF"/>
      <name val="Carlito"/>
      <charset val="134"/>
    </font>
    <font>
      <sz val="10"/>
      <color rgb="FF1F2937"/>
      <name val="Carlito"/>
      <charset val="134"/>
    </font>
    <font>
      <b/>
      <sz val="11"/>
      <color rgb="FF17365D"/>
      <name val="Carlito"/>
      <charset val="134"/>
    </font>
    <font>
      <b/>
      <sz val="12"/>
      <color rgb="FF17365D"/>
      <name val="Carlito"/>
      <charset val="134"/>
    </font>
    <font>
      <sz val="10"/>
      <color rgb="FF5B6573"/>
      <name val="Carlito"/>
      <charset val="134"/>
    </font>
    <font>
      <b/>
      <sz val="18"/>
      <color rgb="FF17365D"/>
      <name val="Carlito"/>
      <charset val="134"/>
    </font>
    <font>
      <b/>
      <sz val="11"/>
      <color rgb="FFFFFFFF"/>
      <name val="Carlito"/>
      <charset val="134"/>
    </font>
    <font>
      <sz val="11"/>
      <color rgb="FF1F2937"/>
      <name val="Carlito"/>
      <charset val="134"/>
    </font>
    <font>
      <i/>
      <sz val="9"/>
      <color rgb="FF666666"/>
      <name val="Carlito"/>
      <charset val="134"/>
    </font>
    <font>
      <i/>
      <sz val="11"/>
      <color rgb="FF17365D"/>
      <name val="Carlito"/>
      <charset val="134"/>
    </font>
    <font>
      <b/>
      <sz val="14"/>
      <color rgb="FF17365D"/>
      <name val="Carlito"/>
      <charset val="134"/>
    </font>
    <font>
      <b/>
      <sz val="12"/>
      <color theme="0"/>
      <name val="Carlito"/>
      <charset val="134"/>
    </font>
    <font>
      <b/>
      <sz val="10"/>
      <color rgb="FF17365D"/>
      <name val="Carlito"/>
      <charset val="134"/>
    </font>
    <font>
      <i/>
      <sz val="9"/>
      <color rgb="FF6B7280"/>
      <name val="Carlito"/>
      <charset val="134"/>
    </font>
    <font>
      <sz val="11"/>
      <color theme="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42">
    <fill>
      <patternFill patternType="none"/>
    </fill>
    <fill>
      <patternFill patternType="gray125"/>
    </fill>
    <fill>
      <patternFill patternType="solid">
        <fgColor rgb="FF0070C0"/>
        <bgColor indexed="64"/>
      </patternFill>
    </fill>
    <fill>
      <patternFill patternType="solid">
        <fgColor rgb="FFFFF2CC"/>
        <bgColor indexed="64"/>
      </patternFill>
    </fill>
    <fill>
      <patternFill patternType="solid">
        <fgColor rgb="FFEEF5FB"/>
        <bgColor indexed="64"/>
      </patternFill>
    </fill>
    <fill>
      <patternFill patternType="solid">
        <fgColor rgb="FFD9EAF7"/>
        <bgColor indexed="64"/>
      </patternFill>
    </fill>
    <fill>
      <patternFill patternType="solid">
        <fgColor rgb="FF17365D"/>
        <bgColor indexed="64"/>
      </patternFill>
    </fill>
    <fill>
      <patternFill patternType="solid">
        <fgColor theme="0"/>
        <bgColor indexed="64"/>
      </patternFill>
    </fill>
    <fill>
      <patternFill patternType="solid">
        <fgColor rgb="FFDDEBF7"/>
        <bgColor indexed="64"/>
      </patternFill>
    </fill>
    <fill>
      <patternFill patternType="solid">
        <fgColor rgb="FFF2F2F2"/>
        <bgColor indexed="64"/>
      </patternFill>
    </fill>
    <fill>
      <patternFill patternType="solid">
        <fgColor rgb="FFF7F9FC"/>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35">
    <border>
      <left/>
      <right/>
      <top/>
      <bottom/>
      <diagonal/>
    </border>
    <border>
      <left/>
      <right/>
      <top/>
      <bottom style="thin">
        <color rgb="FF9EADBA"/>
      </bottom>
      <diagonal/>
    </border>
    <border>
      <left style="thin">
        <color rgb="FFD9E1F2"/>
      </left>
      <right style="thin">
        <color rgb="FFD9E1F2"/>
      </right>
      <top style="thin">
        <color rgb="FFD9E1F2"/>
      </top>
      <bottom style="thin">
        <color rgb="FFD9E1F2"/>
      </bottom>
      <diagonal/>
    </border>
    <border>
      <left/>
      <right/>
      <top/>
      <bottom style="hair">
        <color rgb="FFE5E7EB"/>
      </bottom>
      <diagonal/>
    </border>
    <border>
      <left/>
      <right/>
      <top/>
      <bottom style="thin">
        <color rgb="FFE5E7EB"/>
      </bottom>
      <diagonal/>
    </border>
    <border>
      <left/>
      <right style="thin">
        <color rgb="FFE5E7EB"/>
      </right>
      <top/>
      <bottom style="thin">
        <color rgb="FFE5E7EB"/>
      </bottom>
      <diagonal/>
    </border>
    <border>
      <left style="thin">
        <color rgb="FFE5E7EB"/>
      </left>
      <right style="thin">
        <color rgb="FFE5E7EB"/>
      </right>
      <top/>
      <bottom style="thin">
        <color rgb="FFE5E7EB"/>
      </bottom>
      <diagonal/>
    </border>
    <border>
      <left style="thin">
        <color rgb="FFE5E7EB"/>
      </left>
      <right/>
      <top/>
      <bottom style="thin">
        <color rgb="FFE5E7EB"/>
      </bottom>
      <diagonal/>
    </border>
    <border>
      <left/>
      <right style="thin">
        <color rgb="FFE5E7EB"/>
      </right>
      <top style="thin">
        <color rgb="FFE5E7EB"/>
      </top>
      <bottom style="thin">
        <color rgb="FFE5E7EB"/>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right style="thin">
        <color rgb="FFE5E7EB"/>
      </right>
      <top style="thin">
        <color rgb="FFE5E7EB"/>
      </top>
      <bottom/>
      <diagonal/>
    </border>
    <border>
      <left style="thin">
        <color rgb="FFE5E7EB"/>
      </left>
      <right style="thin">
        <color rgb="FFE5E7EB"/>
      </right>
      <top style="thin">
        <color rgb="FFE5E7EB"/>
      </top>
      <bottom/>
      <diagonal/>
    </border>
    <border>
      <left style="thin">
        <color rgb="FFE5E7EB"/>
      </left>
      <right/>
      <top style="thin">
        <color rgb="FFE5E7EB"/>
      </top>
      <bottom/>
      <diagonal/>
    </border>
    <border>
      <left style="thin">
        <color rgb="FFE5E7EB"/>
      </left>
      <right style="thin">
        <color rgb="FFE5E7EB"/>
      </right>
      <top/>
      <bottom/>
      <diagonal/>
    </border>
    <border>
      <left/>
      <right/>
      <top style="medium">
        <color rgb="FF9EADBA"/>
      </top>
      <bottom style="hair">
        <color rgb="FFE5E7EB"/>
      </bottom>
      <diagonal/>
    </border>
    <border>
      <left/>
      <right/>
      <top style="medium">
        <color rgb="FF9EADBA"/>
      </top>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
      <left style="thin">
        <color rgb="FFB4C6E7"/>
      </left>
      <right style="thin">
        <color rgb="FFB4C6E7"/>
      </right>
      <top style="thin">
        <color rgb="FFB4C6E7"/>
      </top>
      <bottom style="thin">
        <color rgb="FFB4C6E7"/>
      </bottom>
      <diagonal/>
    </border>
    <border>
      <left/>
      <right/>
      <top style="thin">
        <color rgb="FFB4C6E7"/>
      </top>
      <bottom/>
      <diagonal/>
    </border>
    <border>
      <left/>
      <right style="thin">
        <color rgb="FFB4C6E7"/>
      </right>
      <top style="thin">
        <color rgb="FFB4C6E7"/>
      </top>
      <bottom/>
      <diagonal/>
    </border>
    <border>
      <left style="thin">
        <color rgb="FFB4C6E7"/>
      </left>
      <right/>
      <top/>
      <bottom/>
      <diagonal/>
    </border>
    <border>
      <left/>
      <right style="thin">
        <color rgb="FFB4C6E7"/>
      </right>
      <top/>
      <bottom/>
      <diagonal/>
    </border>
    <border>
      <left style="thin">
        <color rgb="FFB4C6E7"/>
      </left>
      <right/>
      <top/>
      <bottom style="thin">
        <color rgb="FFB4C6E7"/>
      </bottom>
      <diagonal/>
    </border>
    <border>
      <left/>
      <right/>
      <top/>
      <bottom style="thin">
        <color rgb="FFB4C6E7"/>
      </bottom>
      <diagonal/>
    </border>
    <border>
      <left/>
      <right style="thin">
        <color rgb="FFB4C6E7"/>
      </right>
      <top/>
      <bottom style="thin">
        <color rgb="FFB4C6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7" fillId="0" borderId="0">
      <alignment vertical="center"/>
    </xf>
    <xf numFmtId="44" fontId="17" fillId="0" borderId="0">
      <alignment vertical="center"/>
    </xf>
    <xf numFmtId="9" fontId="17" fillId="0" borderId="0">
      <alignment vertical="center"/>
    </xf>
    <xf numFmtId="41" fontId="17" fillId="0" borderId="0">
      <alignment vertical="center"/>
    </xf>
    <xf numFmtId="42" fontId="17" fillId="0" borderId="0">
      <alignment vertical="center"/>
    </xf>
    <xf numFmtId="0" fontId="18" fillId="0" borderId="0">
      <alignment vertical="center"/>
    </xf>
    <xf numFmtId="0" fontId="19" fillId="0" borderId="0">
      <alignment vertical="center"/>
    </xf>
    <xf numFmtId="0" fontId="17" fillId="12" borderId="27">
      <alignment vertical="center"/>
    </xf>
    <xf numFmtId="0" fontId="20" fillId="0" borderId="0">
      <alignment vertical="center"/>
    </xf>
    <xf numFmtId="0" fontId="21" fillId="0" borderId="0">
      <alignment vertical="center"/>
    </xf>
    <xf numFmtId="0" fontId="22" fillId="0" borderId="0">
      <alignment vertical="center"/>
    </xf>
    <xf numFmtId="0" fontId="23" fillId="0" borderId="28">
      <alignment vertical="center"/>
    </xf>
    <xf numFmtId="0" fontId="24" fillId="0" borderId="28">
      <alignment vertical="center"/>
    </xf>
    <xf numFmtId="0" fontId="25" fillId="0" borderId="29">
      <alignment vertical="center"/>
    </xf>
    <xf numFmtId="0" fontId="25" fillId="0" borderId="0">
      <alignment vertical="center"/>
    </xf>
    <xf numFmtId="0" fontId="26" fillId="13" borderId="30">
      <alignment vertical="center"/>
    </xf>
    <xf numFmtId="0" fontId="27" fillId="9" borderId="31">
      <alignment vertical="center"/>
    </xf>
    <xf numFmtId="0" fontId="28" fillId="9" borderId="30">
      <alignment vertical="center"/>
    </xf>
    <xf numFmtId="0" fontId="29" fillId="14" borderId="32">
      <alignment vertical="center"/>
    </xf>
    <xf numFmtId="0" fontId="30" fillId="0" borderId="33">
      <alignment vertical="center"/>
    </xf>
    <xf numFmtId="0" fontId="31" fillId="0" borderId="34">
      <alignment vertical="center"/>
    </xf>
    <xf numFmtId="0" fontId="32" fillId="15" borderId="0">
      <alignment vertical="center"/>
    </xf>
    <xf numFmtId="0" fontId="33" fillId="16" borderId="0">
      <alignment vertical="center"/>
    </xf>
    <xf numFmtId="0" fontId="34" fillId="17" borderId="0">
      <alignment vertical="center"/>
    </xf>
    <xf numFmtId="0" fontId="35" fillId="18" borderId="0">
      <alignment vertical="center"/>
    </xf>
    <xf numFmtId="0" fontId="17" fillId="19" borderId="0">
      <alignment vertical="center"/>
    </xf>
    <xf numFmtId="0" fontId="17" fillId="20" borderId="0">
      <alignment vertical="center"/>
    </xf>
    <xf numFmtId="0" fontId="35" fillId="21" borderId="0">
      <alignment vertical="center"/>
    </xf>
    <xf numFmtId="0" fontId="35" fillId="22" borderId="0">
      <alignment vertical="center"/>
    </xf>
    <xf numFmtId="0" fontId="17" fillId="23" borderId="0">
      <alignment vertical="center"/>
    </xf>
    <xf numFmtId="0" fontId="17" fillId="24" borderId="0">
      <alignment vertical="center"/>
    </xf>
    <xf numFmtId="0" fontId="35" fillId="25" borderId="0">
      <alignment vertical="center"/>
    </xf>
    <xf numFmtId="0" fontId="35" fillId="26" borderId="0">
      <alignment vertical="center"/>
    </xf>
    <xf numFmtId="0" fontId="17" fillId="27" borderId="0">
      <alignment vertical="center"/>
    </xf>
    <xf numFmtId="0" fontId="17" fillId="28" borderId="0">
      <alignment vertical="center"/>
    </xf>
    <xf numFmtId="0" fontId="35" fillId="29" borderId="0">
      <alignment vertical="center"/>
    </xf>
    <xf numFmtId="0" fontId="35" fillId="30" borderId="0">
      <alignment vertical="center"/>
    </xf>
    <xf numFmtId="0" fontId="17" fillId="31" borderId="0">
      <alignment vertical="center"/>
    </xf>
    <xf numFmtId="0" fontId="17" fillId="32" borderId="0">
      <alignment vertical="center"/>
    </xf>
    <xf numFmtId="0" fontId="35" fillId="33" borderId="0">
      <alignment vertical="center"/>
    </xf>
    <xf numFmtId="0" fontId="35" fillId="34" borderId="0">
      <alignment vertical="center"/>
    </xf>
    <xf numFmtId="0" fontId="17" fillId="35" borderId="0">
      <alignment vertical="center"/>
    </xf>
    <xf numFmtId="0" fontId="17" fillId="36" borderId="0">
      <alignment vertical="center"/>
    </xf>
    <xf numFmtId="0" fontId="35" fillId="37" borderId="0">
      <alignment vertical="center"/>
    </xf>
    <xf numFmtId="0" fontId="35" fillId="38" borderId="0">
      <alignment vertical="center"/>
    </xf>
    <xf numFmtId="0" fontId="17" fillId="39" borderId="0">
      <alignment vertical="center"/>
    </xf>
    <xf numFmtId="0" fontId="17" fillId="40" borderId="0">
      <alignment vertical="center"/>
    </xf>
    <xf numFmtId="0" fontId="35" fillId="41" borderId="0">
      <alignment vertical="center"/>
    </xf>
    <xf numFmtId="0" fontId="0" fillId="0" borderId="0"/>
  </cellStyleXfs>
  <cellXfs count="112">
    <xf numFmtId="0" fontId="0" fillId="0" borderId="0" xfId="49"/>
    <xf numFmtId="0" fontId="0" fillId="0" borderId="0" xfId="0" applyAlignment="1"/>
    <xf numFmtId="0" fontId="1" fillId="0" borderId="0" xfId="0" applyFont="1" applyAlignment="1">
      <alignment horizontal="left" vertical="center"/>
    </xf>
    <xf numFmtId="0" fontId="2" fillId="0" borderId="0" xfId="0" applyFont="1" applyAlignment="1">
      <alignment horizontal="left" vertical="center"/>
    </xf>
    <xf numFmtId="0" fontId="0" fillId="0" borderId="1" xfId="0" applyBorder="1" applyAlignment="1"/>
    <xf numFmtId="0" fontId="3" fillId="2" borderId="2" xfId="0" applyFont="1" applyFill="1" applyBorder="1" applyAlignment="1">
      <alignment horizontal="center" vertical="center" wrapText="1"/>
    </xf>
    <xf numFmtId="0" fontId="4" fillId="0" borderId="3" xfId="0" applyFont="1" applyBorder="1" applyAlignment="1">
      <alignment vertical="top" wrapText="1"/>
    </xf>
    <xf numFmtId="176" fontId="4" fillId="3" borderId="3" xfId="0" applyNumberFormat="1" applyFont="1" applyFill="1" applyBorder="1" applyAlignment="1">
      <alignment vertical="top" wrapText="1"/>
    </xf>
    <xf numFmtId="0" fontId="4" fillId="3" borderId="3" xfId="0" applyFont="1" applyFill="1" applyBorder="1" applyAlignment="1">
      <alignment vertical="top" wrapText="1"/>
    </xf>
    <xf numFmtId="177" fontId="4" fillId="3" borderId="3" xfId="0" applyNumberFormat="1" applyFont="1" applyFill="1" applyBorder="1" applyAlignment="1">
      <alignment vertical="top" wrapText="1"/>
    </xf>
    <xf numFmtId="0" fontId="5" fillId="0" borderId="0" xfId="0" applyFont="1" applyAlignment="1"/>
    <xf numFmtId="177" fontId="0" fillId="4" borderId="0" xfId="0" applyNumberFormat="1" applyFill="1" applyAlignment="1">
      <alignment vertical="top" wrapText="1"/>
    </xf>
    <xf numFmtId="0" fontId="0" fillId="4" borderId="0" xfId="0" applyFill="1" applyAlignment="1">
      <alignment vertical="top" wrapText="1"/>
    </xf>
    <xf numFmtId="0" fontId="5" fillId="5" borderId="0" xfId="0" applyFont="1" applyFill="1" applyAlignment="1"/>
    <xf numFmtId="0" fontId="4" fillId="3" borderId="0" xfId="0" applyFont="1" applyFill="1" applyAlignment="1">
      <alignment vertical="top" wrapText="1"/>
    </xf>
    <xf numFmtId="0" fontId="6" fillId="0" borderId="0" xfId="0" applyFont="1" applyAlignment="1"/>
    <xf numFmtId="9" fontId="4" fillId="0" borderId="3" xfId="0" applyNumberFormat="1" applyFont="1" applyBorder="1" applyAlignment="1">
      <alignment vertical="top" wrapText="1"/>
    </xf>
    <xf numFmtId="177" fontId="4" fillId="0" borderId="3" xfId="0" applyNumberFormat="1" applyFont="1" applyBorder="1" applyAlignment="1">
      <alignment vertical="top" wrapText="1"/>
    </xf>
    <xf numFmtId="177" fontId="0" fillId="0" borderId="0" xfId="0" applyNumberFormat="1" applyAlignment="1"/>
    <xf numFmtId="0" fontId="0" fillId="3" borderId="0" xfId="0" applyFill="1" applyAlignment="1"/>
    <xf numFmtId="0" fontId="7" fillId="0" borderId="0" xfId="0" applyFont="1" applyAlignment="1"/>
    <xf numFmtId="0" fontId="8" fillId="0" borderId="0" xfId="0" applyFont="1" applyAlignment="1"/>
    <xf numFmtId="0" fontId="9" fillId="2" borderId="0" xfId="0" applyFont="1" applyFill="1" applyAlignment="1"/>
    <xf numFmtId="0" fontId="9" fillId="6" borderId="0" xfId="49" applyFont="1" applyFill="1" applyAlignment="1">
      <alignment horizontal="left" vertical="center"/>
    </xf>
    <xf numFmtId="0" fontId="5" fillId="5" borderId="2" xfId="49" applyFont="1" applyFill="1" applyBorder="1" applyAlignment="1">
      <alignment wrapText="1"/>
    </xf>
    <xf numFmtId="0" fontId="10" fillId="0" borderId="4" xfId="49" applyFont="1" applyBorder="1" applyAlignment="1">
      <alignment vertical="center" wrapText="1"/>
    </xf>
    <xf numFmtId="0" fontId="9" fillId="2" borderId="2" xfId="49" applyFont="1" applyFill="1" applyBorder="1" applyAlignment="1">
      <alignment horizontal="center" vertical="center" wrapText="1"/>
    </xf>
    <xf numFmtId="0" fontId="10" fillId="0" borderId="5" xfId="49" applyFont="1" applyBorder="1" applyAlignment="1">
      <alignment vertical="center" wrapText="1"/>
    </xf>
    <xf numFmtId="177" fontId="10" fillId="0" borderId="6" xfId="49" applyNumberFormat="1" applyFont="1" applyBorder="1" applyAlignment="1">
      <alignment vertical="center" wrapText="1"/>
    </xf>
    <xf numFmtId="0" fontId="10" fillId="0" borderId="6" xfId="49" applyFont="1" applyBorder="1" applyAlignment="1">
      <alignment vertical="center" wrapText="1"/>
    </xf>
    <xf numFmtId="0" fontId="10" fillId="0" borderId="7" xfId="49" applyFont="1" applyBorder="1" applyAlignment="1">
      <alignment vertical="center" wrapText="1"/>
    </xf>
    <xf numFmtId="0" fontId="10" fillId="0" borderId="8" xfId="49" applyFont="1" applyBorder="1" applyAlignment="1">
      <alignment vertical="center" wrapText="1"/>
    </xf>
    <xf numFmtId="177" fontId="10" fillId="0" borderId="9" xfId="49" applyNumberFormat="1" applyFont="1" applyBorder="1" applyAlignment="1">
      <alignment vertical="center" wrapText="1"/>
    </xf>
    <xf numFmtId="0" fontId="10" fillId="0" borderId="9" xfId="49" applyFont="1" applyBorder="1" applyAlignment="1">
      <alignment vertical="center" wrapText="1"/>
    </xf>
    <xf numFmtId="0" fontId="10" fillId="0" borderId="10" xfId="49" applyFont="1" applyBorder="1" applyAlignment="1">
      <alignment vertical="center" wrapText="1"/>
    </xf>
    <xf numFmtId="0" fontId="10" fillId="0" borderId="11" xfId="49" applyFont="1" applyBorder="1" applyAlignment="1">
      <alignment vertical="center" wrapText="1"/>
    </xf>
    <xf numFmtId="177" fontId="10" fillId="0" borderId="12" xfId="49" applyNumberFormat="1" applyFont="1" applyBorder="1" applyAlignment="1">
      <alignment vertical="center" wrapText="1"/>
    </xf>
    <xf numFmtId="0" fontId="10" fillId="0" borderId="12" xfId="49" applyFont="1" applyBorder="1" applyAlignment="1">
      <alignment vertical="center" wrapText="1"/>
    </xf>
    <xf numFmtId="0" fontId="10" fillId="0" borderId="13" xfId="49" applyFont="1" applyBorder="1" applyAlignment="1">
      <alignment vertical="center" wrapText="1"/>
    </xf>
    <xf numFmtId="0" fontId="0" fillId="0" borderId="0" xfId="49" applyAlignment="1">
      <alignment wrapText="1"/>
    </xf>
    <xf numFmtId="0" fontId="0" fillId="7" borderId="0" xfId="49" applyFill="1"/>
    <xf numFmtId="0" fontId="10" fillId="0" borderId="5" xfId="49" applyFont="1" applyBorder="1" applyAlignment="1">
      <alignment horizontal="center" vertical="center"/>
    </xf>
    <xf numFmtId="177" fontId="10" fillId="0" borderId="6" xfId="49" applyNumberFormat="1" applyFont="1" applyBorder="1" applyAlignment="1">
      <alignment horizontal="center" vertical="center"/>
    </xf>
    <xf numFmtId="0" fontId="10" fillId="0" borderId="6" xfId="49" applyFont="1" applyBorder="1" applyAlignment="1">
      <alignment horizontal="center" vertical="center" wrapText="1"/>
    </xf>
    <xf numFmtId="9" fontId="10" fillId="0" borderId="6" xfId="49" applyNumberFormat="1" applyFont="1" applyBorder="1" applyAlignment="1">
      <alignment vertical="center"/>
    </xf>
    <xf numFmtId="0" fontId="10" fillId="0" borderId="7" xfId="49" applyFont="1" applyBorder="1" applyAlignment="1">
      <alignment vertical="center"/>
    </xf>
    <xf numFmtId="0" fontId="10" fillId="0" borderId="8" xfId="49" applyFont="1" applyBorder="1" applyAlignment="1">
      <alignment horizontal="center" vertical="center"/>
    </xf>
    <xf numFmtId="177" fontId="10" fillId="0" borderId="9" xfId="49" applyNumberFormat="1" applyFont="1" applyBorder="1" applyAlignment="1">
      <alignment horizontal="center" vertical="center"/>
    </xf>
    <xf numFmtId="0" fontId="0" fillId="0" borderId="6" xfId="0" applyBorder="1" applyAlignment="1"/>
    <xf numFmtId="0" fontId="10" fillId="0" borderId="9" xfId="49" applyFont="1" applyBorder="1" applyAlignment="1">
      <alignment horizontal="center" vertical="center" wrapText="1"/>
    </xf>
    <xf numFmtId="9" fontId="10" fillId="0" borderId="9" xfId="49" applyNumberFormat="1" applyFont="1" applyBorder="1" applyAlignment="1">
      <alignment vertical="center"/>
    </xf>
    <xf numFmtId="0" fontId="10" fillId="0" borderId="10" xfId="49" applyFont="1" applyBorder="1" applyAlignment="1">
      <alignment vertical="center"/>
    </xf>
    <xf numFmtId="0" fontId="0" fillId="0" borderId="14" xfId="0" applyBorder="1" applyAlignment="1"/>
    <xf numFmtId="0" fontId="10" fillId="7" borderId="8" xfId="49" applyFont="1" applyFill="1" applyBorder="1" applyAlignment="1">
      <alignment horizontal="center" vertical="center"/>
    </xf>
    <xf numFmtId="177" fontId="10" fillId="7" borderId="9" xfId="49" applyNumberFormat="1" applyFont="1" applyFill="1" applyBorder="1" applyAlignment="1">
      <alignment horizontal="center" vertical="center"/>
    </xf>
    <xf numFmtId="0" fontId="10" fillId="7" borderId="9" xfId="49" applyFont="1" applyFill="1" applyBorder="1" applyAlignment="1">
      <alignment vertical="center" wrapText="1"/>
    </xf>
    <xf numFmtId="0" fontId="10" fillId="7" borderId="9" xfId="49" applyFont="1" applyFill="1" applyBorder="1" applyAlignment="1">
      <alignment horizontal="center" vertical="center" wrapText="1"/>
    </xf>
    <xf numFmtId="9" fontId="10" fillId="7" borderId="9" xfId="49" applyNumberFormat="1" applyFont="1" applyFill="1" applyBorder="1" applyAlignment="1">
      <alignment vertical="center"/>
    </xf>
    <xf numFmtId="0" fontId="10" fillId="7" borderId="10" xfId="49" applyFont="1" applyFill="1" applyBorder="1" applyAlignment="1">
      <alignment vertical="center"/>
    </xf>
    <xf numFmtId="0" fontId="10" fillId="0" borderId="11" xfId="49" applyFont="1" applyBorder="1" applyAlignment="1">
      <alignment horizontal="center" vertical="center"/>
    </xf>
    <xf numFmtId="177" fontId="10" fillId="0" borderId="12" xfId="49" applyNumberFormat="1" applyFont="1" applyBorder="1" applyAlignment="1">
      <alignment horizontal="center" vertical="center"/>
    </xf>
    <xf numFmtId="9" fontId="10" fillId="0" borderId="12" xfId="49" applyNumberFormat="1" applyFont="1" applyBorder="1" applyAlignment="1">
      <alignment vertical="center"/>
    </xf>
    <xf numFmtId="0" fontId="10" fillId="0" borderId="13" xfId="49" applyFont="1" applyBorder="1" applyAlignment="1">
      <alignment vertical="center"/>
    </xf>
    <xf numFmtId="178" fontId="4" fillId="0" borderId="3" xfId="0" applyNumberFormat="1" applyFont="1" applyBorder="1" applyAlignment="1">
      <alignment vertical="top" wrapText="1"/>
    </xf>
    <xf numFmtId="0" fontId="11" fillId="0" borderId="0" xfId="0" applyFont="1" applyAlignment="1"/>
    <xf numFmtId="0" fontId="4" fillId="0" borderId="15" xfId="0" applyFont="1" applyBorder="1" applyAlignment="1">
      <alignment horizontal="center" vertical="top" wrapText="1"/>
    </xf>
    <xf numFmtId="0" fontId="4" fillId="0" borderId="16" xfId="0" applyFont="1" applyBorder="1" applyAlignment="1">
      <alignment vertical="top" wrapText="1"/>
    </xf>
    <xf numFmtId="177" fontId="4" fillId="0" borderId="16" xfId="0" applyNumberFormat="1" applyFont="1" applyBorder="1" applyAlignment="1">
      <alignment vertical="top" wrapText="1"/>
    </xf>
    <xf numFmtId="178" fontId="4" fillId="3" borderId="16" xfId="0" applyNumberFormat="1" applyFont="1" applyFill="1" applyBorder="1" applyAlignment="1">
      <alignment vertical="top" wrapText="1"/>
    </xf>
    <xf numFmtId="0" fontId="4" fillId="3" borderId="16" xfId="0" applyFont="1" applyFill="1" applyBorder="1" applyAlignment="1">
      <alignment vertical="top" wrapText="1"/>
    </xf>
    <xf numFmtId="178" fontId="4" fillId="3" borderId="3" xfId="0" applyNumberFormat="1" applyFont="1" applyFill="1" applyBorder="1" applyAlignment="1">
      <alignment vertical="top" wrapText="1"/>
    </xf>
    <xf numFmtId="0" fontId="0" fillId="0" borderId="3" xfId="0" applyBorder="1" applyAlignment="1"/>
    <xf numFmtId="0" fontId="4" fillId="0" borderId="3" xfId="0" applyFont="1" applyBorder="1" applyAlignment="1">
      <alignment horizontal="center" vertical="top" wrapText="1"/>
    </xf>
    <xf numFmtId="0" fontId="12" fillId="8" borderId="0" xfId="49" applyFont="1" applyFill="1" applyAlignment="1">
      <alignment vertical="center"/>
    </xf>
    <xf numFmtId="9" fontId="10" fillId="0" borderId="6" xfId="49" applyNumberFormat="1" applyFont="1" applyBorder="1" applyAlignment="1">
      <alignment vertical="center" wrapText="1"/>
    </xf>
    <xf numFmtId="9" fontId="10" fillId="0" borderId="9" xfId="49" applyNumberFormat="1" applyFont="1" applyBorder="1" applyAlignment="1">
      <alignment vertical="center" wrapText="1"/>
    </xf>
    <xf numFmtId="9" fontId="10" fillId="0" borderId="12" xfId="49" applyNumberFormat="1" applyFont="1" applyBorder="1" applyAlignment="1">
      <alignment vertical="center" wrapText="1"/>
    </xf>
    <xf numFmtId="0" fontId="5" fillId="5" borderId="2" xfId="49" applyFont="1" applyFill="1" applyBorder="1"/>
    <xf numFmtId="177" fontId="5" fillId="5" borderId="2" xfId="49" applyNumberFormat="1" applyFont="1" applyFill="1" applyBorder="1"/>
    <xf numFmtId="0" fontId="5" fillId="9" borderId="2" xfId="49" applyFont="1" applyFill="1" applyBorder="1" applyAlignment="1">
      <alignment horizontal="center" vertical="center"/>
    </xf>
    <xf numFmtId="9" fontId="5" fillId="9" borderId="2" xfId="49" applyNumberFormat="1" applyFont="1" applyFill="1" applyBorder="1" applyAlignment="1">
      <alignment horizontal="center" vertical="center"/>
    </xf>
    <xf numFmtId="0" fontId="3" fillId="6" borderId="0" xfId="0" applyFont="1" applyFill="1" applyAlignment="1">
      <alignment horizontal="center" vertical="center"/>
    </xf>
    <xf numFmtId="9" fontId="13" fillId="4" borderId="0" xfId="0" applyNumberFormat="1" applyFont="1" applyFill="1" applyAlignment="1">
      <alignment horizontal="center" vertical="center"/>
    </xf>
    <xf numFmtId="178" fontId="13" fillId="4" borderId="0" xfId="0" applyNumberFormat="1" applyFont="1" applyFill="1" applyAlignment="1">
      <alignment horizontal="center" vertical="center"/>
    </xf>
    <xf numFmtId="179" fontId="13" fillId="4" borderId="0" xfId="0" applyNumberFormat="1" applyFont="1" applyFill="1" applyAlignment="1">
      <alignment horizontal="center" vertical="center"/>
    </xf>
    <xf numFmtId="179" fontId="13" fillId="3" borderId="0" xfId="0" applyNumberFormat="1" applyFont="1" applyFill="1" applyAlignment="1">
      <alignment horizontal="center" vertical="center"/>
    </xf>
    <xf numFmtId="0" fontId="10" fillId="0" borderId="5" xfId="49" applyFont="1" applyBorder="1" applyAlignment="1">
      <alignment vertical="center"/>
    </xf>
    <xf numFmtId="0" fontId="10" fillId="0" borderId="6" xfId="49" applyFont="1" applyBorder="1" applyAlignment="1">
      <alignment vertical="center"/>
    </xf>
    <xf numFmtId="9" fontId="10" fillId="0" borderId="7" xfId="49" applyNumberFormat="1" applyFont="1" applyBorder="1" applyAlignment="1">
      <alignment vertical="center"/>
    </xf>
    <xf numFmtId="0" fontId="10" fillId="0" borderId="8" xfId="49" applyFont="1" applyBorder="1" applyAlignment="1">
      <alignment vertical="center"/>
    </xf>
    <xf numFmtId="0" fontId="10" fillId="0" borderId="9" xfId="49" applyFont="1" applyBorder="1" applyAlignment="1">
      <alignment vertical="center"/>
    </xf>
    <xf numFmtId="9" fontId="10" fillId="0" borderId="10" xfId="49" applyNumberFormat="1" applyFont="1" applyBorder="1" applyAlignment="1">
      <alignment vertical="center"/>
    </xf>
    <xf numFmtId="0" fontId="10" fillId="0" borderId="11" xfId="49" applyFont="1" applyBorder="1" applyAlignment="1">
      <alignment vertical="center"/>
    </xf>
    <xf numFmtId="0" fontId="10" fillId="0" borderId="12" xfId="49" applyFont="1" applyBorder="1" applyAlignment="1">
      <alignment vertical="center"/>
    </xf>
    <xf numFmtId="9" fontId="10" fillId="0" borderId="13" xfId="49" applyNumberFormat="1" applyFont="1" applyBorder="1" applyAlignment="1">
      <alignment vertical="center"/>
    </xf>
    <xf numFmtId="0" fontId="0" fillId="0" borderId="17" xfId="0" applyBorder="1" applyAlignment="1"/>
    <xf numFmtId="0" fontId="0" fillId="0" borderId="18" xfId="0" applyBorder="1" applyAlignment="1"/>
    <xf numFmtId="0" fontId="10" fillId="10" borderId="19" xfId="49" applyFont="1" applyFill="1" applyBorder="1" applyAlignment="1">
      <alignment vertical="top" wrapText="1"/>
    </xf>
    <xf numFmtId="0" fontId="0" fillId="0" borderId="20" xfId="0" applyBorder="1" applyAlignment="1"/>
    <xf numFmtId="0" fontId="0" fillId="0" borderId="21" xfId="0" applyBorder="1" applyAlignment="1"/>
    <xf numFmtId="0" fontId="0" fillId="0" borderId="22" xfId="0" applyBorder="1" applyAlignment="1"/>
    <xf numFmtId="0" fontId="0" fillId="0" borderId="23" xfId="0" applyBorder="1" applyAlignment="1"/>
    <xf numFmtId="0" fontId="0" fillId="0" borderId="24" xfId="0" applyBorder="1" applyAlignment="1"/>
    <xf numFmtId="0" fontId="0" fillId="0" borderId="25" xfId="0" applyBorder="1" applyAlignment="1"/>
    <xf numFmtId="0" fontId="0" fillId="0" borderId="26" xfId="0" applyBorder="1" applyAlignment="1"/>
    <xf numFmtId="0" fontId="14" fillId="7" borderId="0" xfId="0" applyFont="1" applyFill="1" applyAlignment="1">
      <alignment horizontal="center" vertical="center"/>
    </xf>
    <xf numFmtId="0" fontId="15" fillId="4" borderId="0" xfId="0" applyFont="1" applyFill="1" applyAlignment="1"/>
    <xf numFmtId="9" fontId="4" fillId="11" borderId="0" xfId="0" applyNumberFormat="1" applyFont="1" applyFill="1" applyAlignment="1">
      <alignment horizontal="right" vertical="center"/>
    </xf>
    <xf numFmtId="179" fontId="4" fillId="3" borderId="0" xfId="0" applyNumberFormat="1" applyFont="1" applyFill="1" applyAlignment="1">
      <alignment horizontal="right" vertical="center"/>
    </xf>
    <xf numFmtId="179" fontId="4" fillId="11" borderId="0" xfId="0" applyNumberFormat="1" applyFont="1" applyFill="1" applyAlignment="1">
      <alignment horizontal="right" vertical="center"/>
    </xf>
    <xf numFmtId="178" fontId="4" fillId="11" borderId="0" xfId="0" applyNumberFormat="1" applyFont="1" applyFill="1" applyAlignment="1">
      <alignment horizontal="right" vertical="center"/>
    </xf>
    <xf numFmtId="0" fontId="16" fillId="0" borderId="0" xfId="0" applyFont="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8">
    <dxf>
      <font>
        <b val="1"/>
        <color rgb="FF375623"/>
      </font>
      <fill>
        <patternFill patternType="solid">
          <bgColor rgb="FFE2F0D9"/>
        </patternFill>
      </fill>
    </dxf>
    <dxf>
      <font>
        <b val="1"/>
        <color rgb="FF7F6000"/>
      </font>
      <fill>
        <patternFill patternType="solid">
          <bgColor rgb="FFFFF2CC"/>
        </patternFill>
      </fill>
    </dxf>
    <dxf>
      <font>
        <color rgb="FF595959"/>
      </font>
      <fill>
        <patternFill patternType="solid">
          <bgColor rgb="FFE7E6E6"/>
        </patternFill>
      </fill>
    </dxf>
    <dxf>
      <font>
        <b val="1"/>
        <color rgb="FFC00000"/>
      </font>
      <fill>
        <patternFill patternType="solid">
          <bgColor rgb="FFFCE4D6"/>
        </patternFill>
      </fill>
    </dxf>
    <dxf>
      <font>
        <b val="1"/>
        <color rgb="FFC00000"/>
      </font>
      <fill>
        <patternFill patternType="solid">
          <bgColor rgb="FFF4CCCC"/>
        </patternFill>
      </fill>
    </dxf>
    <dxf>
      <font>
        <color rgb="FF666666"/>
      </font>
      <fill>
        <patternFill patternType="solid">
          <fgColor rgb="FFE7E6E6"/>
        </patternFill>
      </fill>
    </dxf>
    <dxf>
      <font>
        <b val="1"/>
        <color rgb="FFC00000"/>
      </font>
      <fill>
        <patternFill patternType="solid">
          <fgColor rgb="FFFCE4D6"/>
        </patternFill>
      </fill>
    </dxf>
    <dxf>
      <font>
        <b val="1"/>
        <color rgb="FF9C6500"/>
      </font>
      <fill>
        <patternFill patternType="solid">
          <fgColor rgb="FFFFF2CC"/>
        </patternFill>
      </fill>
    </dxf>
    <dxf>
      <font>
        <color rgb="FF375623"/>
      </font>
      <fill>
        <patternFill patternType="solid">
          <fgColor rgb="FFE2F0D9"/>
        </patternFill>
      </fill>
    </dxf>
    <dxf>
      <font>
        <b val="1"/>
        <color rgb="FF375623"/>
      </font>
      <fill>
        <patternFill patternType="solid">
          <fgColor rgb="FFE2F0D9"/>
        </patternFill>
      </fill>
    </dxf>
    <dxf>
      <font>
        <b val="1"/>
        <color rgb="FF666666"/>
      </font>
      <fill>
        <patternFill patternType="solid">
          <fgColor rgb="FFF2F2F2"/>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aredStrings" Target="sharedStrings.xml"/><Relationship Id="rId18" Type="http://schemas.openxmlformats.org/officeDocument/2006/relationships/theme" Target="theme/theme1.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1800" b="1" i="0">
                <a:solidFill>
                  <a:schemeClr val="tx1"/>
                </a:solidFill>
                <a:latin typeface="+mn-lt"/>
                <a:ea typeface="+mn-lt"/>
                <a:cs typeface="+mn-lt"/>
              </a:rPr>
              <a:t>任务状态分布</a:t>
            </a:r>
            <a:endParaRPr sz="1800" b="1" i="0">
              <a:solidFill>
                <a:schemeClr val="tx1"/>
              </a:solidFill>
              <a:latin typeface="+mn-lt"/>
              <a:ea typeface="+mn-lt"/>
              <a:cs typeface="+mn-lt"/>
            </a:endParaRPr>
          </a:p>
        </c:rich>
      </c:tx>
      <c:layout/>
      <c:overlay val="0"/>
    </c:title>
    <c:autoTitleDeleted val="0"/>
    <c:plotArea>
      <c:layout/>
      <c:doughnutChart>
        <c:varyColors val="1"/>
        <c:ser>
          <c:idx val="0"/>
          <c:order val="0"/>
          <c:tx>
            <c:strRef>
              <c:f>"任务数"</c:f>
              <c:strCache>
                <c:ptCount val="1"/>
                <c:pt idx="0">
                  <c:v>任务数</c:v>
                </c:pt>
              </c:strCache>
            </c:strRef>
          </c:tx>
          <c:spPr>
            <a:ln>
              <a:noFill/>
              <a:prstDash val="solid"/>
            </a:ln>
          </c:spPr>
          <c:explosion val="0"/>
          <c:dPt>
            <c:idx val="0"/>
            <c:bubble3D val="0"/>
            <c:spPr>
              <a:ln>
                <a:noFill/>
                <a:prstDash val="solid"/>
              </a:ln>
            </c:spPr>
          </c:dPt>
          <c:dPt>
            <c:idx val="1"/>
            <c:bubble3D val="0"/>
            <c:spPr>
              <a:ln>
                <a:noFill/>
                <a:prstDash val="solid"/>
              </a:ln>
            </c:spPr>
          </c:dPt>
          <c:dPt>
            <c:idx val="2"/>
            <c:bubble3D val="0"/>
            <c:spPr>
              <a:ln>
                <a:noFill/>
                <a:prstDash val="solid"/>
              </a:ln>
            </c:spPr>
          </c:dPt>
          <c:dPt>
            <c:idx val="3"/>
            <c:bubble3D val="0"/>
            <c:spPr>
              <a:ln>
                <a:noFill/>
                <a:prstDash val="solid"/>
              </a:ln>
            </c:spPr>
          </c:dPt>
          <c:dLbls>
            <c:delete val="1"/>
          </c:dLbls>
          <c:cat>
            <c:strRef>
              <c:f>项目驾驶舱!$A$10:$A$13</c:f>
              <c:strCache>
                <c:ptCount val="4"/>
                <c:pt idx="0">
                  <c:v>已完成</c:v>
                </c:pt>
                <c:pt idx="1">
                  <c:v>进行中</c:v>
                </c:pt>
                <c:pt idx="2">
                  <c:v>未开始</c:v>
                </c:pt>
                <c:pt idx="3">
                  <c:v>暂停</c:v>
                </c:pt>
              </c:strCache>
            </c:strRef>
          </c:cat>
          <c:val>
            <c:numRef>
              <c:f>项目驾驶舱!$B$10:$B$13</c:f>
              <c:numCache>
                <c:formatCode>General</c:formatCode>
                <c:ptCount val="4"/>
                <c:pt idx="0">
                  <c:v>73</c:v>
                </c:pt>
                <c:pt idx="1">
                  <c:v>15</c:v>
                </c:pt>
                <c:pt idx="2">
                  <c:v>51</c:v>
                </c:pt>
                <c:pt idx="3">
                  <c:v>6</c:v>
                </c:pt>
              </c:numCache>
            </c:numRef>
          </c:val>
        </c:ser>
        <c:dLbls>
          <c:showLegendKey val="0"/>
          <c:showVal val="0"/>
          <c:showCatName val="0"/>
          <c:showSerName val="0"/>
          <c:showPercent val="0"/>
          <c:showBubbleSize val="0"/>
          <c:showLeaderLines val="1"/>
        </c:dLbls>
        <c:firstSliceAng val="0"/>
        <c:holeSize val="1"/>
      </c:doughnutChart>
    </c:plotArea>
    <c:legend>
      <c:legendPos val="b"/>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c4f4c638-a391-4923-a725-856a6fb25c42}"/>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rPr sz="1800" b="1" i="0">
                <a:solidFill>
                  <a:schemeClr val="tx1"/>
                </a:solidFill>
                <a:latin typeface="+mn-lt"/>
                <a:ea typeface="+mn-lt"/>
                <a:cs typeface="+mn-lt"/>
              </a:rPr>
              <a:t>各批次任务数与已完成数</a:t>
            </a:r>
            <a:endParaRPr sz="1800" b="1" i="0">
              <a:solidFill>
                <a:schemeClr val="tx1"/>
              </a:solidFill>
              <a:latin typeface="+mn-lt"/>
              <a:ea typeface="+mn-lt"/>
              <a:cs typeface="+mn-lt"/>
            </a:endParaRPr>
          </a:p>
        </c:rich>
      </c:tx>
      <c:layout/>
      <c:overlay val="0"/>
    </c:title>
    <c:autoTitleDeleted val="0"/>
    <c:plotArea>
      <c:layout/>
      <c:barChart>
        <c:barDir val="col"/>
        <c:grouping val="clustered"/>
        <c:varyColors val="0"/>
        <c:ser>
          <c:idx val="0"/>
          <c:order val="0"/>
          <c:tx>
            <c:strRef>
              <c:f>"任务数"</c:f>
              <c:strCache>
                <c:ptCount val="1"/>
                <c:pt idx="0">
                  <c:v>任务数</c:v>
                </c:pt>
              </c:strCache>
            </c:strRef>
          </c:tx>
          <c:spPr>
            <a:ln>
              <a:noFill/>
              <a:prstDash val="solid"/>
            </a:ln>
          </c:spPr>
          <c:invertIfNegative val="0"/>
          <c:dLbls>
            <c:delete val="1"/>
          </c:dLbls>
          <c:cat>
            <c:strRef>
              <c:f>项目驾驶舱!$D$10:$D$12</c:f>
              <c:strCache>
                <c:ptCount val="3"/>
                <c:pt idx="0">
                  <c:v>第一批次</c:v>
                </c:pt>
                <c:pt idx="1">
                  <c:v>第二批次</c:v>
                </c:pt>
                <c:pt idx="2">
                  <c:v>其他</c:v>
                </c:pt>
              </c:strCache>
            </c:strRef>
          </c:cat>
          <c:val>
            <c:numRef>
              <c:f>项目驾驶舱!$E$10:$E$12</c:f>
              <c:numCache>
                <c:formatCode>General</c:formatCode>
                <c:ptCount val="3"/>
                <c:pt idx="0">
                  <c:v>61</c:v>
                </c:pt>
                <c:pt idx="1">
                  <c:v>78</c:v>
                </c:pt>
                <c:pt idx="2">
                  <c:v>6</c:v>
                </c:pt>
              </c:numCache>
            </c:numRef>
          </c:val>
        </c:ser>
        <c:ser>
          <c:idx val="1"/>
          <c:order val="1"/>
          <c:tx>
            <c:strRef>
              <c:f>"已完成"</c:f>
              <c:strCache>
                <c:ptCount val="1"/>
                <c:pt idx="0">
                  <c:v>已完成</c:v>
                </c:pt>
              </c:strCache>
            </c:strRef>
          </c:tx>
          <c:spPr>
            <a:solidFill>
              <a:srgbClr val="70AD47"/>
            </a:solidFill>
            <a:ln>
              <a:solidFill>
                <a:srgbClr val="70AD47"/>
              </a:solidFill>
              <a:prstDash val="solid"/>
            </a:ln>
          </c:spPr>
          <c:invertIfNegative val="0"/>
          <c:dLbls>
            <c:delete val="1"/>
          </c:dLbls>
          <c:cat>
            <c:strRef>
              <c:f>项目驾驶舱!$D$10:$D$12</c:f>
              <c:strCache>
                <c:ptCount val="3"/>
                <c:pt idx="0">
                  <c:v>第一批次</c:v>
                </c:pt>
                <c:pt idx="1">
                  <c:v>第二批次</c:v>
                </c:pt>
                <c:pt idx="2">
                  <c:v>其他</c:v>
                </c:pt>
              </c:strCache>
            </c:strRef>
          </c:cat>
          <c:val>
            <c:numRef>
              <c:f>项目驾驶舱!$F$10:$F$12</c:f>
              <c:numCache>
                <c:formatCode>General</c:formatCode>
                <c:ptCount val="3"/>
                <c:pt idx="0">
                  <c:v>57</c:v>
                </c:pt>
                <c:pt idx="1">
                  <c:v>16</c:v>
                </c:pt>
                <c:pt idx="2">
                  <c:v>0</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round/>
            </a:ln>
          </c:spPr>
        </c:majorGridlines>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crossAx val="48650112"/>
        <c:crosses val="autoZero"/>
        <c:crossBetween val="between"/>
      </c:valAx>
    </c:plotArea>
    <c:legend>
      <c:legendPos val="b"/>
      <c:layout/>
      <c:overlay val="0"/>
      <c:txPr>
        <a:bodyPr rot="0" spcFirstLastPara="0" vertOverflow="ellipsis" vert="horz" wrap="square" anchor="ctr" anchorCtr="1"/>
        <a:lstStyle/>
        <a:p>
          <a:pPr>
            <a:defRPr lang="zh-CN" sz="1000" b="0" i="0" u="none" strike="noStrike" kern="1200" baseline="0">
              <a:solidFill>
                <a:schemeClr val="tx1"/>
              </a:solidFill>
              <a:latin typeface="+mn-lt"/>
              <a:ea typeface="+mn-lt"/>
              <a:cs typeface="+mn-lt"/>
            </a:defRPr>
          </a:pPr>
        </a:p>
      </c:txPr>
    </c:legend>
    <c:plotVisOnly val="1"/>
    <c:dispBlanksAs val="gap"/>
    <c:showDLblsOverMax val="0"/>
    <c:extLst>
      <c:ext uri="{0b15fc19-7d7d-44ad-8c2d-2c3a37ce22c3}">
        <chartProps xmlns="https://web.wps.cn/et/2018/main" chartId="{7e493646-5992-4171-a584-2088dd17c3f0}"/>
      </c:ext>
    </c:extLst>
  </c:chart>
  <c:spPr>
    <a:ln w="9525">
      <a:solidFill>
        <a:srgbClr val="D9D9D9"/>
      </a:solidFill>
      <a:prstDash val="solid"/>
      <a:round/>
    </a:ln>
  </c:spPr>
  <c:txPr>
    <a:bodyPr/>
    <a:lstStyle/>
    <a:p>
      <a:pPr>
        <a:defRPr lang="zh-CN"/>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rot="0" spcFirstLastPara="0" vertOverflow="ellipsis" vert="horz" wrap="square" anchor="ctr" anchorCtr="1"/>
          <a:lstStyle/>
          <a:p>
            <a:pPr>
              <a:defRPr lang="zh-CN" sz="1800" b="1" i="0" u="none" strike="noStrike" kern="1200" baseline="0">
                <a:solidFill>
                  <a:schemeClr val="tx1"/>
                </a:solidFill>
                <a:latin typeface="+mn-lt"/>
                <a:ea typeface="+mn-ea"/>
                <a:cs typeface="+mn-cs"/>
              </a:defRPr>
            </a:pPr>
            <a:r>
              <a:t>健康状态</a:t>
            </a:r>
          </a:p>
        </c:rich>
      </c:tx>
      <c:layout/>
      <c:overlay val="0"/>
    </c:title>
    <c:autoTitleDeleted val="0"/>
    <c:plotArea>
      <c:layout/>
      <c:barChart>
        <c:barDir val="col"/>
        <c:grouping val="clustered"/>
        <c:varyColors val="0"/>
        <c:ser>
          <c:idx val="0"/>
          <c:order val="0"/>
          <c:tx>
            <c:strRef>
              <c:f>AI项目诊断!$I$14</c:f>
              <c:strCache>
                <c:ptCount val="1"/>
                <c:pt idx="0">
                  <c:v>数量</c:v>
                </c:pt>
              </c:strCache>
            </c:strRef>
          </c:tx>
          <c:spPr>
            <a:ln w="12700">
              <a:solidFill>
                <a:schemeClr val="lt1"/>
              </a:solidFill>
              <a:prstDash val="solid"/>
              <a:round/>
            </a:ln>
          </c:spPr>
          <c:invertIfNegative val="0"/>
          <c:dLbls>
            <c:delete val="1"/>
          </c:dLbls>
          <c:cat>
            <c:strRef>
              <c:f>AI项目诊断!$H$15:$H$18</c:f>
              <c:strCache>
                <c:ptCount val="4"/>
                <c:pt idx="0">
                  <c:v>绿</c:v>
                </c:pt>
                <c:pt idx="1">
                  <c:v>黄</c:v>
                </c:pt>
                <c:pt idx="2">
                  <c:v>红</c:v>
                </c:pt>
                <c:pt idx="3">
                  <c:v>灰</c:v>
                </c:pt>
              </c:strCache>
            </c:strRef>
          </c:cat>
          <c:val>
            <c:numRef>
              <c:f>AI项目诊断!$I$15:$I$18</c:f>
              <c:numCache>
                <c:formatCode>General</c:formatCode>
                <c:ptCount val="4"/>
                <c:pt idx="0">
                  <c:v>1</c:v>
                </c:pt>
                <c:pt idx="1">
                  <c:v>0</c:v>
                </c:pt>
                <c:pt idx="2">
                  <c:v>3</c:v>
                </c:pt>
                <c:pt idx="3">
                  <c:v>0</c:v>
                </c:pt>
              </c:numCache>
            </c:numRef>
          </c:val>
        </c:ser>
        <c:dLbls>
          <c:showLegendKey val="0"/>
          <c:showVal val="0"/>
          <c:showCatName val="0"/>
          <c:showSerName val="0"/>
          <c:showPercent val="0"/>
          <c:showBubbleSize val="0"/>
        </c:dLbls>
        <c:gapWidth val="150"/>
        <c:axId val="10"/>
        <c:axId val="100"/>
      </c:barChart>
      <c:catAx>
        <c:axId val="10"/>
        <c:scaling>
          <c:orientation val="minMax"/>
        </c:scaling>
        <c:delete val="0"/>
        <c:axPos val="b"/>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0"/>
        <c:crosses val="autoZero"/>
        <c:auto val="1"/>
        <c:lblAlgn val="ctr"/>
        <c:lblOffset val="100"/>
        <c:noMultiLvlLbl val="0"/>
      </c:catAx>
      <c:valAx>
        <c:axId val="100"/>
        <c:scaling>
          <c:orientation val="minMax"/>
        </c:scaling>
        <c:delete val="0"/>
        <c:axPos val="l"/>
        <c:majorGridlines/>
        <c:title>
          <c:tx>
            <c:rich>
              <a:bodyPr rot="-5400000" spcFirstLastPara="0" vertOverflow="ellipsis" vert="horz" wrap="square" anchor="ctr" anchorCtr="1"/>
              <a:lstStyle/>
              <a:p>
                <a:pPr>
                  <a:defRPr lang="zh-CN" sz="1000" b="1" i="0" u="none" strike="noStrike" kern="1200" baseline="0">
                    <a:solidFill>
                      <a:schemeClr val="tx1"/>
                    </a:solidFill>
                    <a:latin typeface="+mn-lt"/>
                    <a:ea typeface="+mn-ea"/>
                    <a:cs typeface="+mn-cs"/>
                  </a:defRPr>
                </a:pPr>
                <a:r>
                  <a:t>维度数</a:t>
                </a:r>
              </a:p>
            </c:rich>
          </c:tx>
          <c:layout/>
          <c:overlay val="0"/>
        </c:title>
        <c:majorTickMark val="none"/>
        <c:minorTickMark val="none"/>
        <c:tickLblPos val="nextTo"/>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0"/>
        <c:crosses val="autoZero"/>
        <c:crossBetween val="between"/>
      </c:valAx>
    </c:plotArea>
    <c:plotVisOnly val="1"/>
    <c:dispBlanksAs val="gap"/>
    <c:showDLblsOverMax val="0"/>
    <c:extLst>
      <c:ext uri="{0b15fc19-7d7d-44ad-8c2d-2c3a37ce22c3}">
        <chartProps xmlns="https://web.wps.cn/et/2018/main" chartId="{b7c66f42-1d2f-42a3-832d-11e344b948db}"/>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8</xdr:col>
      <xdr:colOff>0</xdr:colOff>
      <xdr:row>8</xdr:row>
      <xdr:rowOff>0</xdr:rowOff>
    </xdr:from>
    <xdr:to>
      <xdr:col>14</xdr:col>
      <xdr:colOff>0</xdr:colOff>
      <xdr:row>15</xdr:row>
      <xdr:rowOff>0</xdr:rowOff>
    </xdr:to>
    <xdr:graphicFrame>
      <xdr:nvGraphicFramePr>
        <xdr:cNvPr id="2" name="Chart 1"/>
        <xdr:cNvGraphicFramePr/>
      </xdr:nvGraphicFramePr>
      <xdr:xfrm>
        <a:off x="8636000" y="2672080"/>
        <a:ext cx="6995160" cy="1661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0</xdr:rowOff>
    </xdr:from>
    <xdr:to>
      <xdr:col>8</xdr:col>
      <xdr:colOff>0</xdr:colOff>
      <xdr:row>38</xdr:row>
      <xdr:rowOff>0</xdr:rowOff>
    </xdr:to>
    <xdr:graphicFrame>
      <xdr:nvGraphicFramePr>
        <xdr:cNvPr id="3" name="Chart 2"/>
        <xdr:cNvGraphicFramePr/>
      </xdr:nvGraphicFramePr>
      <xdr:xfrm>
        <a:off x="0" y="5613400"/>
        <a:ext cx="8636000" cy="3804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7</xdr:col>
      <xdr:colOff>0</xdr:colOff>
      <xdr:row>19</xdr:row>
      <xdr:rowOff>0</xdr:rowOff>
    </xdr:from>
    <xdr:ext cx="3600000" cy="2411460"/>
    <xdr:graphicFrame>
      <xdr:nvGraphicFramePr>
        <xdr:cNvPr id="2" name="Chart 1"/>
        <xdr:cNvGraphicFramePr/>
      </xdr:nvGraphicFramePr>
      <xdr:xfrm>
        <a:off x="11054080" y="4648200"/>
        <a:ext cx="3599815" cy="2411095"/>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ables/table1.xml><?xml version="1.0" encoding="utf-8"?>
<table xmlns="http://schemas.openxmlformats.org/spreadsheetml/2006/main" id="1" name="ResourceSummaryTable" displayName="ResourceSummaryTable" ref="A4:L10">
  <autoFilter xmlns:etc="http://www.wps.cn/officeDocument/2017/etCustomData" ref="A4:L10" etc:filterBottomFollowUsedRange="0"/>
  <tableColumns count="12">
    <tableColumn id="1" name="人员"/>
    <tableColumn id="2" name="角色"/>
    <tableColumn id="3" name="任务数"/>
    <tableColumn id="4" name="未完成任务"/>
    <tableColumn id="5" name="最早开始"/>
    <tableColumn id="6" name="最晚结束"/>
    <tableColumn id="7" name="周可用工时"/>
    <tableColumn id="8" name="计划投入工时"/>
    <tableColumn id="9" name="负荷率"/>
    <tableColumn id="10" name="负荷判断"/>
    <tableColumn id="11" name="资源建议"/>
    <tableColumn id="12" name="备注"/>
  </tableColumns>
  <tableStyleInfo name="TableStyleMedium2" showFirstColumn="0" showLastColumn="0" showRowStripes="1" showColumnStripes="0"/>
</table>
</file>

<file path=xl/tables/table2.xml><?xml version="1.0" encoding="utf-8"?>
<table xmlns="http://schemas.openxmlformats.org/spreadsheetml/2006/main" id="2" name="ResourceWeeklyTable" displayName="ResourceWeeklyTable" ref="A15:J153">
  <autoFilter xmlns:etc="http://www.wps.cn/officeDocument/2017/etCustomData" ref="A15:J153" etc:filterBottomFollowUsedRange="0"/>
  <tableColumns count="10">
    <tableColumn id="1" name="人员"/>
    <tableColumn id="2" name="周开始"/>
    <tableColumn id="3" name="周结束"/>
    <tableColumn id="4" name="是否有任务"/>
    <tableColumn id="5" name="任务数"/>
    <tableColumn id="6" name="周计划工时"/>
    <tableColumn id="7" name="负荷率"/>
    <tableColumn id="8" name="负荷判断"/>
    <tableColumn id="9" name="说明"/>
    <tableColumn id="10" name="任务清单"/>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9"/>
  <sheetViews>
    <sheetView showGridLines="0" workbookViewId="0">
      <selection activeCell="A1" sqref="A1:N1"/>
    </sheetView>
  </sheetViews>
  <sheetFormatPr defaultColWidth="9" defaultRowHeight="16.8"/>
  <cols>
    <col min="1" max="1" width="14" style="1" customWidth="1"/>
    <col min="2" max="3" width="12" style="1" customWidth="1"/>
    <col min="4" max="4" width="14" style="1" customWidth="1"/>
    <col min="5" max="9" width="12" style="1" customWidth="1"/>
    <col min="10" max="10" width="18" style="1" customWidth="1"/>
    <col min="11" max="11" width="14" style="1" customWidth="1"/>
    <col min="12" max="12" width="3" style="1" customWidth="1"/>
    <col min="13" max="13" width="18" style="1" customWidth="1"/>
    <col min="14" max="14" width="16" style="1" customWidth="1"/>
  </cols>
  <sheetData>
    <row r="1" ht="34" customHeight="1" spans="1:14">
      <c r="A1" s="23" t="s">
        <v>0</v>
      </c>
    </row>
    <row r="3" spans="1:14">
      <c r="A3" s="77" t="s">
        <v>1</v>
      </c>
      <c r="B3" s="78">
        <v>46268</v>
      </c>
    </row>
    <row r="5" ht="30" customHeight="1" spans="1:14">
      <c r="A5" s="26" t="s">
        <v>2</v>
      </c>
      <c r="B5" s="26" t="s">
        <v>3</v>
      </c>
      <c r="C5" s="26" t="s">
        <v>4</v>
      </c>
      <c r="D5" s="26" t="s">
        <v>5</v>
      </c>
      <c r="E5" s="26" t="s">
        <v>6</v>
      </c>
      <c r="F5" s="26" t="s">
        <v>7</v>
      </c>
      <c r="G5" s="26" t="s">
        <v>8</v>
      </c>
      <c r="H5" s="26" t="s">
        <v>9</v>
      </c>
      <c r="I5" s="26" t="s">
        <v>10</v>
      </c>
      <c r="J5" s="26" t="s">
        <v>11</v>
      </c>
      <c r="K5" s="26" t="s">
        <v>12</v>
      </c>
      <c r="L5" s="26" t="s">
        <v>13</v>
      </c>
      <c r="M5" s="26" t="s">
        <v>14</v>
      </c>
      <c r="N5" s="26" t="s">
        <v>15</v>
      </c>
    </row>
    <row r="6" ht="42" customHeight="1" spans="1:14">
      <c r="A6" s="79">
        <f>COUNTA(项目总控台账!$A$4:$A$203)</f>
        <v>145</v>
      </c>
      <c r="B6" s="79">
        <f>COUNTIF(项目总控台账!$G$4:$G$203,"已完成")</f>
        <v>73</v>
      </c>
      <c r="C6" s="79">
        <f>COUNTIF(项目总控台账!$G$4:$G$203,"进行中")</f>
        <v>15</v>
      </c>
      <c r="D6" s="79">
        <f>COUNTIF(项目总控台账!$G$4:$G$203,"未开始")</f>
        <v>51</v>
      </c>
      <c r="E6" s="79">
        <f>COUNTIF(项目总控台账!$G$4:$G$203,"暂停")</f>
        <v>6</v>
      </c>
      <c r="F6" s="80">
        <f>AVERAGE(项目总控台账!$AB$4:$AB$203)</f>
        <v>0.553620689655172</v>
      </c>
      <c r="G6" s="79">
        <f>COUNTIF(项目总控台账!$AC$4:$AC$203,"已延期")</f>
        <v>24</v>
      </c>
      <c r="H6" s="79">
        <f>COUNTIF(项目总控台账!$AC$4:$AC$203,"临近到期")</f>
        <v>0</v>
      </c>
      <c r="I6" s="79">
        <f>COUNTIFS(风险问题台账!$D$4:$D$103,"高",风险问题台账!$K$4:$K$103,"&lt;&gt;已关闭")</f>
        <v>5</v>
      </c>
      <c r="J6" s="79">
        <f>COUNTIF(风险问题台账!$K$4:$K$103,"处理中")+COUNTIF(风险问题台账!$K$4:$K$103,"待处理")</f>
        <v>6</v>
      </c>
      <c r="K6" s="79">
        <f>COUNTIF(变更台账!$G$4:$G$53,"评估中")+COUNTIF(变更台账!$G$4:$G$53,"待审批")</f>
        <v>0</v>
      </c>
      <c r="L6" s="80">
        <f>IFERROR(COUNTIF(里程碑计划!$G$4:$G$23,"已完成")/COUNTA(里程碑计划!$A$4:$A$23),0)</f>
        <v>0</v>
      </c>
      <c r="M6" s="80">
        <f>IFERROR(COUNTIF(集成管理!$G$4:$G$53,"已完成")/COUNTA(集成管理!$A$4:$A$53),0)</f>
        <v>0.333333333333333</v>
      </c>
      <c r="N6" s="80">
        <f>IFERROR(COUNTIF(交付物台账!$G$4:$G$53,"已完成")/COUNTA(交付物台账!$A$4:$A$53),0)</f>
        <v>0</v>
      </c>
    </row>
    <row r="7" ht="24" customHeight="1" spans="1:14">
      <c r="A7" s="81" t="s">
        <v>16</v>
      </c>
      <c r="D7" s="81" t="s">
        <v>17</v>
      </c>
      <c r="G7" s="81" t="s">
        <v>18</v>
      </c>
      <c r="J7" s="81" t="s">
        <v>19</v>
      </c>
      <c r="M7" s="81" t="s">
        <v>20</v>
      </c>
    </row>
    <row r="8" ht="30" customHeight="1" spans="1:14">
      <c r="A8" s="82">
        <f>AVERAGE(项目总控台账!$AB$4:$AB$148)</f>
        <v>0.553620689655172</v>
      </c>
      <c r="D8" s="82">
        <f>COUNTIF(项目总控台账!$G$4:$G$148,"已完成")/COUNTIF(项目总控台账!$A$4:$A$148,"&lt;&gt;")</f>
        <v>0.503448275862069</v>
      </c>
      <c r="G8" s="83">
        <f>SUM(资源计划!$H$158:$H$836)/8</f>
        <v>485</v>
      </c>
      <c r="J8" s="84">
        <f>G8*M8</f>
        <v>582000</v>
      </c>
      <c r="M8" s="85">
        <v>1200</v>
      </c>
    </row>
    <row r="9" ht="30" customHeight="1" spans="1:14">
      <c r="A9" s="26" t="s">
        <v>21</v>
      </c>
      <c r="B9" s="26" t="s">
        <v>22</v>
      </c>
      <c r="D9" s="26" t="s">
        <v>23</v>
      </c>
      <c r="E9" s="26" t="s">
        <v>22</v>
      </c>
      <c r="F9" s="26" t="s">
        <v>3</v>
      </c>
      <c r="G9" s="26" t="s">
        <v>24</v>
      </c>
    </row>
    <row r="10" spans="1:14">
      <c r="A10" s="86" t="s">
        <v>3</v>
      </c>
      <c r="B10" s="45">
        <f>B6</f>
        <v>73</v>
      </c>
      <c r="D10" s="86" t="s">
        <v>25</v>
      </c>
      <c r="E10" s="87">
        <f>COUNTIF(项目总控台账!$F$4:$F$203,D10)</f>
        <v>61</v>
      </c>
      <c r="F10" s="87">
        <f>COUNTIFS(项目总控台账!$F$4:$F$203,D10,项目总控台账!$G$4:$G$203,"已完成")</f>
        <v>57</v>
      </c>
      <c r="G10" s="88">
        <f>IFERROR(F10/E10,0)</f>
        <v>0.934426229508197</v>
      </c>
    </row>
    <row r="11" spans="1:14">
      <c r="A11" s="89" t="s">
        <v>4</v>
      </c>
      <c r="B11" s="51">
        <f>C6</f>
        <v>15</v>
      </c>
      <c r="D11" s="89" t="s">
        <v>26</v>
      </c>
      <c r="E11" s="90">
        <f>COUNTIF(项目总控台账!$F$4:$F$203,D11)</f>
        <v>78</v>
      </c>
      <c r="F11" s="90">
        <f>COUNTIFS(项目总控台账!$F$4:$F$203,D11,项目总控台账!$G$4:$G$203,"已完成")</f>
        <v>16</v>
      </c>
      <c r="G11" s="91">
        <f>IFERROR(F11/E11,0)</f>
        <v>0.205128205128205</v>
      </c>
    </row>
    <row r="12" spans="1:14">
      <c r="A12" s="89" t="s">
        <v>5</v>
      </c>
      <c r="B12" s="51">
        <f>D6</f>
        <v>51</v>
      </c>
      <c r="D12" s="92" t="s">
        <v>27</v>
      </c>
      <c r="E12" s="93">
        <f>$A$6-E10-E11</f>
        <v>6</v>
      </c>
      <c r="F12" s="93">
        <f>$B$6-F10-F11</f>
        <v>0</v>
      </c>
      <c r="G12" s="94">
        <f>IFERROR(F12/E12,0)</f>
        <v>0</v>
      </c>
    </row>
    <row r="13" spans="1:14">
      <c r="A13" s="92" t="s">
        <v>6</v>
      </c>
      <c r="B13" s="62">
        <f>E6</f>
        <v>6</v>
      </c>
    </row>
    <row r="16" spans="1:14">
      <c r="A16" s="77" t="s">
        <v>28</v>
      </c>
      <c r="B16" s="95"/>
      <c r="C16" s="95"/>
      <c r="D16" s="95"/>
      <c r="E16" s="95"/>
      <c r="F16" s="95"/>
      <c r="G16" s="95"/>
      <c r="H16" s="95"/>
      <c r="I16" s="95"/>
      <c r="J16" s="95"/>
      <c r="K16" s="95"/>
      <c r="L16" s="95"/>
      <c r="M16" s="95"/>
      <c r="N16" s="96"/>
    </row>
    <row r="17" spans="1:14">
      <c r="A17" s="97" t="str">
        <f>"截至 "&amp;TEXT($B$3,"yyyy-mm-dd")&amp;"：延期任务 "&amp;G6&amp;" 项，临近到期 "&amp;H6&amp;" 项，高风险 "&amp;I6&amp;" 项。建议优先处理外部系统集成依赖、第二批次未启动任务及无明确上线日期的功能。"</f>
        <v>截至 2026-09-03：延期任务 24 项，临近到期 0 项，高风险 5 项。建议优先处理外部系统集成依赖、第二批次未启动任务及无明确上线日期的功能。</v>
      </c>
      <c r="B17" s="98"/>
      <c r="C17" s="98"/>
      <c r="D17" s="98"/>
      <c r="E17" s="98"/>
      <c r="F17" s="98"/>
      <c r="G17" s="98"/>
      <c r="H17" s="98"/>
      <c r="I17" s="98"/>
      <c r="J17" s="98"/>
      <c r="K17" s="98"/>
      <c r="L17" s="98"/>
      <c r="M17" s="98"/>
      <c r="N17" s="99"/>
    </row>
    <row r="18" spans="1:14">
      <c r="A18" s="100"/>
      <c r="N18" s="101"/>
    </row>
    <row r="19" spans="1:14">
      <c r="A19" s="100"/>
      <c r="N19" s="101"/>
    </row>
    <row r="20" spans="1:14">
      <c r="A20" s="102"/>
      <c r="B20" s="103"/>
      <c r="C20" s="103"/>
      <c r="D20" s="103"/>
      <c r="E20" s="103"/>
      <c r="F20" s="103"/>
      <c r="G20" s="103"/>
      <c r="H20" s="103"/>
      <c r="I20" s="103"/>
      <c r="J20" s="103"/>
      <c r="K20" s="103"/>
      <c r="L20" s="103"/>
      <c r="M20" s="103"/>
      <c r="N20" s="104"/>
    </row>
    <row r="22" ht="17.6" customHeight="1" spans="1:14">
      <c r="J22" s="105"/>
    </row>
    <row r="23" spans="1:14">
      <c r="J23" s="106"/>
      <c r="K23" s="107"/>
      <c r="M23" s="106"/>
      <c r="N23" s="108"/>
    </row>
    <row r="24" spans="1:14">
      <c r="J24" s="106"/>
      <c r="K24" s="107"/>
      <c r="M24" s="106"/>
      <c r="N24" s="109"/>
    </row>
    <row r="25" spans="1:14">
      <c r="J25" s="106"/>
      <c r="K25" s="110"/>
      <c r="M25" s="106"/>
      <c r="N25" s="109"/>
    </row>
    <row r="26" spans="1:14">
      <c r="J26" s="106"/>
      <c r="K26" s="110"/>
      <c r="M26" s="106"/>
      <c r="N26" s="109"/>
    </row>
    <row r="27" spans="1:14">
      <c r="J27" s="106"/>
      <c r="K27" s="110"/>
      <c r="M27" s="106"/>
      <c r="N27" s="109"/>
    </row>
    <row r="29" ht="30" customHeight="1" spans="1:14">
      <c r="J29" s="111"/>
    </row>
  </sheetData>
  <mergeCells count="13">
    <mergeCell ref="A1:N1"/>
    <mergeCell ref="A7:C7"/>
    <mergeCell ref="D7:F7"/>
    <mergeCell ref="G7:I7"/>
    <mergeCell ref="J7:L7"/>
    <mergeCell ref="M7:N7"/>
    <mergeCell ref="A8:C8"/>
    <mergeCell ref="D8:F8"/>
    <mergeCell ref="G8:I8"/>
    <mergeCell ref="J8:L8"/>
    <mergeCell ref="M8:N8"/>
    <mergeCell ref="A16:N16"/>
    <mergeCell ref="A17:N20"/>
  </mergeCells>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E148"/>
  <sheetViews>
    <sheetView showGridLines="0" workbookViewId="0">
      <pane xSplit="5" ySplit="3" topLeftCell="Q95" activePane="bottomRight" state="frozen"/>
      <selection/>
      <selection pane="topRight"/>
      <selection pane="bottomLeft"/>
      <selection pane="bottomRight" activeCell="T144" sqref="T144"/>
    </sheetView>
  </sheetViews>
  <sheetFormatPr defaultColWidth="9" defaultRowHeight="16.8"/>
  <cols>
    <col min="1" max="1" width="11" style="1" customWidth="1"/>
    <col min="2" max="2" width="16" style="1" customWidth="1"/>
    <col min="3" max="3" width="22" style="1" customWidth="1"/>
    <col min="4" max="4" width="28" style="1" customWidth="1"/>
    <col min="5" max="5" width="16" style="1" customWidth="1"/>
    <col min="6" max="7" width="11" style="1" customWidth="1"/>
    <col min="8" max="8" width="14" style="1" customWidth="1"/>
    <col min="9" max="11" width="12" style="1" customWidth="1"/>
    <col min="12" max="12" width="14" style="1" customWidth="1"/>
    <col min="13" max="13" width="11" style="1" customWidth="1"/>
    <col min="14" max="15" width="12" style="1" customWidth="1"/>
    <col min="16" max="16" width="17" style="1" customWidth="1"/>
    <col min="17" max="17" width="11" style="1" customWidth="1"/>
    <col min="18" max="19" width="12" style="1" customWidth="1"/>
    <col min="20" max="20" width="14" style="1" customWidth="1"/>
    <col min="21" max="21" width="11" style="1" customWidth="1"/>
    <col min="22" max="23" width="12" style="1" customWidth="1"/>
    <col min="24" max="24" width="14" style="1" customWidth="1"/>
    <col min="25" max="25" width="11" style="1" customWidth="1"/>
    <col min="26" max="27" width="12" style="1" customWidth="1"/>
    <col min="28" max="28" width="11" style="1" customWidth="1"/>
    <col min="29" max="29" width="12" style="1" customWidth="1"/>
    <col min="30" max="31" width="24" style="1" customWidth="1"/>
  </cols>
  <sheetData>
    <row r="1" ht="34" customHeight="1" spans="1:31">
      <c r="A1" s="23" t="s">
        <v>29</v>
      </c>
    </row>
    <row r="2" spans="1:31">
      <c r="A2" s="73" t="s">
        <v>30</v>
      </c>
    </row>
    <row r="3" ht="30" customHeight="1" spans="1:31">
      <c r="A3" s="26" t="s">
        <v>31</v>
      </c>
      <c r="B3" s="26" t="s">
        <v>32</v>
      </c>
      <c r="C3" s="26" t="s">
        <v>33</v>
      </c>
      <c r="D3" s="26" t="s">
        <v>34</v>
      </c>
      <c r="E3" s="26" t="s">
        <v>35</v>
      </c>
      <c r="F3" s="26" t="s">
        <v>23</v>
      </c>
      <c r="G3" s="26" t="s">
        <v>36</v>
      </c>
      <c r="H3" s="26" t="s">
        <v>37</v>
      </c>
      <c r="I3" s="26" t="s">
        <v>38</v>
      </c>
      <c r="J3" s="26" t="s">
        <v>39</v>
      </c>
      <c r="K3" s="26" t="s">
        <v>40</v>
      </c>
      <c r="L3" s="26" t="s">
        <v>41</v>
      </c>
      <c r="M3" s="26" t="s">
        <v>42</v>
      </c>
      <c r="N3" s="26" t="s">
        <v>43</v>
      </c>
      <c r="O3" s="26" t="s">
        <v>44</v>
      </c>
      <c r="P3" s="26" t="s">
        <v>45</v>
      </c>
      <c r="Q3" s="26" t="s">
        <v>46</v>
      </c>
      <c r="R3" s="26" t="s">
        <v>47</v>
      </c>
      <c r="S3" s="26" t="s">
        <v>48</v>
      </c>
      <c r="T3" s="26" t="s">
        <v>49</v>
      </c>
      <c r="U3" s="26" t="s">
        <v>50</v>
      </c>
      <c r="V3" s="26" t="s">
        <v>51</v>
      </c>
      <c r="W3" s="26" t="s">
        <v>52</v>
      </c>
      <c r="X3" s="26" t="s">
        <v>53</v>
      </c>
      <c r="Y3" s="26" t="s">
        <v>54</v>
      </c>
      <c r="Z3" s="26" t="s">
        <v>55</v>
      </c>
      <c r="AA3" s="26" t="s">
        <v>56</v>
      </c>
      <c r="AB3" s="26" t="s">
        <v>16</v>
      </c>
      <c r="AC3" s="26" t="s">
        <v>57</v>
      </c>
      <c r="AD3" s="26" t="s">
        <v>58</v>
      </c>
      <c r="AE3" s="26" t="s">
        <v>59</v>
      </c>
    </row>
    <row r="4" ht="17" customHeight="1" spans="1:31">
      <c r="A4" s="27" t="s">
        <v>60</v>
      </c>
      <c r="B4" s="29" t="s">
        <v>61</v>
      </c>
      <c r="C4" s="29" t="s">
        <v>62</v>
      </c>
      <c r="D4" s="29" t="s">
        <v>63</v>
      </c>
      <c r="E4" s="29" t="s">
        <v>64</v>
      </c>
      <c r="F4" s="29" t="s">
        <v>25</v>
      </c>
      <c r="G4" s="29" t="str">
        <f t="shared" ref="G4:G15" si="0">IF(OR(M4="挂起",M4="暂停",Q4="挂起",Q4="暂停",U4="挂起",U4="暂停",Y4="挂起",Y4="暂停"),"暂停","已完成")</f>
        <v>已完成</v>
      </c>
      <c r="H4" s="29" t="str">
        <f t="shared" ref="H4:H67" si="1">IF(L4&lt;&gt;"",L4,IF(P4&lt;&gt;"",P4,IF(T4&lt;&gt;"",T4,X4)))</f>
        <v>郑士旺</v>
      </c>
      <c r="I4" s="28">
        <f t="shared" ref="I4:I67" si="2">IF(COUNT(N4,R4,V4,Z4)=0,"",MIN(N4,R4,V4,Z4))</f>
        <v>46202</v>
      </c>
      <c r="J4" s="28">
        <f t="shared" ref="J4:J67" si="3">IF(ISNUMBER(K4),K4,IF(COUNT(O4,S4,W4,AA4)=0,"",MAX(O4,S4,W4,AA4)))</f>
        <v>46234</v>
      </c>
      <c r="K4" s="28" t="s">
        <v>64</v>
      </c>
      <c r="L4" s="29" t="s">
        <v>65</v>
      </c>
      <c r="M4" s="29" t="s">
        <v>3</v>
      </c>
      <c r="N4" s="28">
        <v>46202</v>
      </c>
      <c r="O4" s="28">
        <v>46206</v>
      </c>
      <c r="P4" s="29" t="s">
        <v>66</v>
      </c>
      <c r="Q4" s="29" t="s">
        <v>3</v>
      </c>
      <c r="R4" s="28">
        <v>46209</v>
      </c>
      <c r="S4" s="28">
        <v>46225</v>
      </c>
      <c r="T4" s="29" t="s">
        <v>67</v>
      </c>
      <c r="U4" s="29" t="s">
        <v>3</v>
      </c>
      <c r="V4" s="28">
        <v>46209</v>
      </c>
      <c r="W4" s="28">
        <v>46225</v>
      </c>
      <c r="X4" s="29" t="s">
        <v>68</v>
      </c>
      <c r="Y4" s="29" t="s">
        <v>3</v>
      </c>
      <c r="Z4" s="28">
        <v>46216</v>
      </c>
      <c r="AA4" s="28">
        <v>46234</v>
      </c>
      <c r="AB4" s="74">
        <f t="shared" ref="AB4:AB67" si="4">(IF(M4="已完成",1,IF(M4="进行中",0.5,0))*15%+IF(Q4="已完成",1,IF(Q4="进行中",0.5,0))*35%+IF(U4="已完成",1,IF(U4="进行中",0.5,0))*30%+IF(Y4="已完成",1,IF(Y4="进行中",0.5,0))*20%)</f>
        <v>1</v>
      </c>
      <c r="AC4" s="29" t="str">
        <f>IF(G4="已完成","正常",IF(OR(G4="暂停",G4="挂起"),"暂停",IF(J4="","日期缺失",IF(J4&lt;项目驾驶舱!$B$3,"已延期",IF(J4&lt;=项目驾驶舱!$B$3+7,"临近到期","正常")))))</f>
        <v>正常</v>
      </c>
      <c r="AD4" s="29" t="s">
        <v>69</v>
      </c>
      <c r="AE4" s="30" t="s">
        <v>69</v>
      </c>
    </row>
    <row r="5" ht="17" customHeight="1" spans="1:31">
      <c r="A5" s="31" t="s">
        <v>70</v>
      </c>
      <c r="B5" s="33" t="s">
        <v>61</v>
      </c>
      <c r="C5" s="33" t="s">
        <v>62</v>
      </c>
      <c r="D5" s="33" t="s">
        <v>71</v>
      </c>
      <c r="E5" s="33" t="s">
        <v>64</v>
      </c>
      <c r="F5" s="33" t="s">
        <v>25</v>
      </c>
      <c r="G5" s="33" t="str">
        <f t="shared" si="0"/>
        <v>已完成</v>
      </c>
      <c r="H5" s="33" t="str">
        <f t="shared" si="1"/>
        <v>郑士旺</v>
      </c>
      <c r="I5" s="32">
        <f t="shared" si="2"/>
        <v>46202</v>
      </c>
      <c r="J5" s="32">
        <f t="shared" si="3"/>
        <v>46234</v>
      </c>
      <c r="K5" s="32" t="s">
        <v>64</v>
      </c>
      <c r="L5" s="33" t="s">
        <v>65</v>
      </c>
      <c r="M5" s="33" t="s">
        <v>3</v>
      </c>
      <c r="N5" s="32">
        <v>46202</v>
      </c>
      <c r="O5" s="32">
        <v>46206</v>
      </c>
      <c r="P5" s="33" t="s">
        <v>66</v>
      </c>
      <c r="Q5" s="33" t="s">
        <v>3</v>
      </c>
      <c r="R5" s="32">
        <v>46209</v>
      </c>
      <c r="S5" s="32">
        <v>46225</v>
      </c>
      <c r="T5" s="33" t="s">
        <v>67</v>
      </c>
      <c r="U5" s="33" t="s">
        <v>3</v>
      </c>
      <c r="V5" s="32">
        <v>46209</v>
      </c>
      <c r="W5" s="32">
        <v>46225</v>
      </c>
      <c r="X5" s="33" t="s">
        <v>68</v>
      </c>
      <c r="Y5" s="33" t="s">
        <v>3</v>
      </c>
      <c r="Z5" s="32">
        <v>46216</v>
      </c>
      <c r="AA5" s="32">
        <v>46234</v>
      </c>
      <c r="AB5" s="75">
        <f t="shared" si="4"/>
        <v>1</v>
      </c>
      <c r="AC5" s="33" t="str">
        <f>IF(G5="已完成","正常",IF(OR(G5="暂停",G5="挂起"),"暂停",IF(J5="","日期缺失",IF(J5&lt;项目驾驶舱!$B$3,"已延期",IF(J5&lt;=项目驾驶舱!$B$3+7,"临近到期","正常")))))</f>
        <v>正常</v>
      </c>
      <c r="AD5" s="33" t="s">
        <v>69</v>
      </c>
      <c r="AE5" s="34" t="s">
        <v>69</v>
      </c>
    </row>
    <row r="6" ht="17" customHeight="1" spans="1:31">
      <c r="A6" s="31" t="s">
        <v>72</v>
      </c>
      <c r="B6" s="33" t="s">
        <v>61</v>
      </c>
      <c r="C6" s="33" t="s">
        <v>62</v>
      </c>
      <c r="D6" s="33" t="s">
        <v>73</v>
      </c>
      <c r="E6" s="33" t="s">
        <v>64</v>
      </c>
      <c r="F6" s="33" t="s">
        <v>25</v>
      </c>
      <c r="G6" s="33" t="str">
        <f t="shared" si="0"/>
        <v>已完成</v>
      </c>
      <c r="H6" s="33" t="str">
        <f t="shared" si="1"/>
        <v>郑士旺</v>
      </c>
      <c r="I6" s="32">
        <f t="shared" si="2"/>
        <v>46202</v>
      </c>
      <c r="J6" s="32">
        <f t="shared" si="3"/>
        <v>46234</v>
      </c>
      <c r="K6" s="32" t="s">
        <v>64</v>
      </c>
      <c r="L6" s="33" t="s">
        <v>65</v>
      </c>
      <c r="M6" s="33" t="s">
        <v>3</v>
      </c>
      <c r="N6" s="32">
        <v>46202</v>
      </c>
      <c r="O6" s="32">
        <v>46206</v>
      </c>
      <c r="P6" s="33" t="s">
        <v>66</v>
      </c>
      <c r="Q6" s="33" t="s">
        <v>3</v>
      </c>
      <c r="R6" s="32">
        <v>46209</v>
      </c>
      <c r="S6" s="32">
        <v>46225</v>
      </c>
      <c r="T6" s="33" t="s">
        <v>67</v>
      </c>
      <c r="U6" s="33" t="s">
        <v>3</v>
      </c>
      <c r="V6" s="32">
        <v>46209</v>
      </c>
      <c r="W6" s="32">
        <v>46225</v>
      </c>
      <c r="X6" s="33" t="s">
        <v>68</v>
      </c>
      <c r="Y6" s="33" t="s">
        <v>3</v>
      </c>
      <c r="Z6" s="32">
        <v>46216</v>
      </c>
      <c r="AA6" s="32">
        <v>46234</v>
      </c>
      <c r="AB6" s="75">
        <f t="shared" si="4"/>
        <v>1</v>
      </c>
      <c r="AC6" s="33" t="str">
        <f>IF(G6="已完成","正常",IF(OR(G6="暂停",G6="挂起"),"暂停",IF(J6="","日期缺失",IF(J6&lt;项目驾驶舱!$B$3,"已延期",IF(J6&lt;=项目驾驶舱!$B$3+7,"临近到期","正常")))))</f>
        <v>正常</v>
      </c>
      <c r="AD6" s="33" t="s">
        <v>69</v>
      </c>
      <c r="AE6" s="34" t="s">
        <v>69</v>
      </c>
    </row>
    <row r="7" ht="17" customHeight="1" spans="1:31">
      <c r="A7" s="31" t="s">
        <v>74</v>
      </c>
      <c r="B7" s="33" t="s">
        <v>61</v>
      </c>
      <c r="C7" s="33" t="s">
        <v>62</v>
      </c>
      <c r="D7" s="33" t="s">
        <v>75</v>
      </c>
      <c r="E7" s="33" t="s">
        <v>64</v>
      </c>
      <c r="F7" s="33" t="s">
        <v>25</v>
      </c>
      <c r="G7" s="33" t="str">
        <f t="shared" si="0"/>
        <v>已完成</v>
      </c>
      <c r="H7" s="33" t="str">
        <f t="shared" si="1"/>
        <v>郑士旺</v>
      </c>
      <c r="I7" s="32">
        <f t="shared" si="2"/>
        <v>46202</v>
      </c>
      <c r="J7" s="32">
        <f t="shared" si="3"/>
        <v>46234</v>
      </c>
      <c r="K7" s="32" t="s">
        <v>64</v>
      </c>
      <c r="L7" s="33" t="s">
        <v>65</v>
      </c>
      <c r="M7" s="33" t="s">
        <v>3</v>
      </c>
      <c r="N7" s="32">
        <v>46202</v>
      </c>
      <c r="O7" s="32">
        <v>46206</v>
      </c>
      <c r="P7" s="33" t="s">
        <v>66</v>
      </c>
      <c r="Q7" s="33" t="s">
        <v>3</v>
      </c>
      <c r="R7" s="32">
        <v>46209</v>
      </c>
      <c r="S7" s="32">
        <v>46225</v>
      </c>
      <c r="T7" s="33" t="s">
        <v>67</v>
      </c>
      <c r="U7" s="33" t="s">
        <v>3</v>
      </c>
      <c r="V7" s="32">
        <v>46209</v>
      </c>
      <c r="W7" s="32">
        <v>46225</v>
      </c>
      <c r="X7" s="33" t="s">
        <v>68</v>
      </c>
      <c r="Y7" s="33" t="s">
        <v>3</v>
      </c>
      <c r="Z7" s="32">
        <v>46216</v>
      </c>
      <c r="AA7" s="32">
        <v>46234</v>
      </c>
      <c r="AB7" s="75">
        <f t="shared" si="4"/>
        <v>1</v>
      </c>
      <c r="AC7" s="33" t="str">
        <f>IF(G7="已完成","正常",IF(OR(G7="暂停",G7="挂起"),"暂停",IF(J7="","日期缺失",IF(J7&lt;项目驾驶舱!$B$3,"已延期",IF(J7&lt;=项目驾驶舱!$B$3+7,"临近到期","正常")))))</f>
        <v>正常</v>
      </c>
      <c r="AD7" s="33" t="s">
        <v>69</v>
      </c>
      <c r="AE7" s="34" t="s">
        <v>69</v>
      </c>
    </row>
    <row r="8" ht="17" customHeight="1" spans="1:31">
      <c r="A8" s="31" t="s">
        <v>76</v>
      </c>
      <c r="B8" s="33" t="s">
        <v>61</v>
      </c>
      <c r="C8" s="33" t="s">
        <v>77</v>
      </c>
      <c r="D8" s="33" t="s">
        <v>78</v>
      </c>
      <c r="E8" s="33" t="s">
        <v>64</v>
      </c>
      <c r="F8" s="33" t="s">
        <v>26</v>
      </c>
      <c r="G8" s="33" t="str">
        <f t="shared" si="0"/>
        <v>已完成</v>
      </c>
      <c r="H8" s="33" t="str">
        <f t="shared" si="1"/>
        <v>郑士旺</v>
      </c>
      <c r="I8" s="32">
        <f t="shared" si="2"/>
        <v>46230</v>
      </c>
      <c r="J8" s="32">
        <f t="shared" si="3"/>
        <v>46353</v>
      </c>
      <c r="K8" s="32" t="s">
        <v>64</v>
      </c>
      <c r="L8" s="33" t="s">
        <v>65</v>
      </c>
      <c r="M8" s="33" t="s">
        <v>3</v>
      </c>
      <c r="N8" s="32">
        <v>46230</v>
      </c>
      <c r="O8" s="32">
        <v>46241</v>
      </c>
      <c r="P8" s="33" t="s">
        <v>66</v>
      </c>
      <c r="Q8" s="33" t="s">
        <v>3</v>
      </c>
      <c r="R8" s="32">
        <v>46307</v>
      </c>
      <c r="S8" s="32">
        <v>46339</v>
      </c>
      <c r="T8" s="33" t="s">
        <v>67</v>
      </c>
      <c r="U8" s="33" t="s">
        <v>3</v>
      </c>
      <c r="V8" s="32">
        <v>46307</v>
      </c>
      <c r="W8" s="32">
        <v>46339</v>
      </c>
      <c r="X8" s="33" t="s">
        <v>68</v>
      </c>
      <c r="Y8" s="33" t="s">
        <v>3</v>
      </c>
      <c r="Z8" s="32">
        <v>46342</v>
      </c>
      <c r="AA8" s="32">
        <v>46353</v>
      </c>
      <c r="AB8" s="75">
        <f t="shared" si="4"/>
        <v>1</v>
      </c>
      <c r="AC8" s="33" t="str">
        <f>IF(G8="已完成","正常",IF(OR(G8="暂停",G8="挂起"),"暂停",IF(J8="","日期缺失",IF(J8&lt;项目驾驶舱!$B$3,"已延期",IF(J8&lt;=项目驾驶舱!$B$3+7,"临近到期","正常")))))</f>
        <v>正常</v>
      </c>
      <c r="AD8" s="33" t="s">
        <v>69</v>
      </c>
      <c r="AE8" s="34" t="s">
        <v>69</v>
      </c>
    </row>
    <row r="9" ht="17" customHeight="1" spans="1:31">
      <c r="A9" s="31" t="s">
        <v>79</v>
      </c>
      <c r="B9" s="33" t="s">
        <v>61</v>
      </c>
      <c r="C9" s="33" t="s">
        <v>80</v>
      </c>
      <c r="D9" s="33" t="s">
        <v>81</v>
      </c>
      <c r="E9" s="33" t="s">
        <v>64</v>
      </c>
      <c r="F9" s="33" t="s">
        <v>25</v>
      </c>
      <c r="G9" s="33" t="str">
        <f t="shared" si="0"/>
        <v>已完成</v>
      </c>
      <c r="H9" s="33" t="str">
        <f t="shared" si="1"/>
        <v>郑士旺</v>
      </c>
      <c r="I9" s="32">
        <f t="shared" si="2"/>
        <v>46202</v>
      </c>
      <c r="J9" s="32">
        <f t="shared" si="3"/>
        <v>46224</v>
      </c>
      <c r="K9" s="32">
        <v>46224</v>
      </c>
      <c r="L9" s="33" t="s">
        <v>65</v>
      </c>
      <c r="M9" s="33" t="s">
        <v>3</v>
      </c>
      <c r="N9" s="32">
        <v>46202</v>
      </c>
      <c r="O9" s="32">
        <v>46206</v>
      </c>
      <c r="P9" s="33" t="s">
        <v>66</v>
      </c>
      <c r="Q9" s="33" t="s">
        <v>3</v>
      </c>
      <c r="R9" s="32">
        <v>46209</v>
      </c>
      <c r="S9" s="32">
        <v>46227</v>
      </c>
      <c r="T9" s="33" t="s">
        <v>67</v>
      </c>
      <c r="U9" s="33" t="s">
        <v>3</v>
      </c>
      <c r="V9" s="32">
        <v>46209</v>
      </c>
      <c r="W9" s="32">
        <v>46227</v>
      </c>
      <c r="X9" s="33" t="s">
        <v>68</v>
      </c>
      <c r="Y9" s="33" t="s">
        <v>3</v>
      </c>
      <c r="Z9" s="32">
        <v>46216</v>
      </c>
      <c r="AA9" s="32">
        <v>46234</v>
      </c>
      <c r="AB9" s="75">
        <f t="shared" si="4"/>
        <v>1</v>
      </c>
      <c r="AC9" s="33" t="str">
        <f>IF(G9="已完成","正常",IF(OR(G9="暂停",G9="挂起"),"暂停",IF(J9="","日期缺失",IF(J9&lt;项目驾驶舱!$B$3,"已延期",IF(J9&lt;=项目驾驶舱!$B$3+7,"临近到期","正常")))))</f>
        <v>正常</v>
      </c>
      <c r="AD9" s="33" t="s">
        <v>69</v>
      </c>
      <c r="AE9" s="34" t="s">
        <v>69</v>
      </c>
    </row>
    <row r="10" ht="17" customHeight="1" spans="1:31">
      <c r="A10" s="31" t="s">
        <v>82</v>
      </c>
      <c r="B10" s="33" t="s">
        <v>61</v>
      </c>
      <c r="C10" s="33" t="s">
        <v>80</v>
      </c>
      <c r="D10" s="33" t="s">
        <v>83</v>
      </c>
      <c r="E10" s="33" t="s">
        <v>64</v>
      </c>
      <c r="F10" s="33" t="s">
        <v>25</v>
      </c>
      <c r="G10" s="33" t="str">
        <f t="shared" si="0"/>
        <v>已完成</v>
      </c>
      <c r="H10" s="33" t="str">
        <f t="shared" si="1"/>
        <v>郑士旺</v>
      </c>
      <c r="I10" s="32">
        <f t="shared" si="2"/>
        <v>46202</v>
      </c>
      <c r="J10" s="32">
        <f t="shared" si="3"/>
        <v>46224</v>
      </c>
      <c r="K10" s="32">
        <v>46224</v>
      </c>
      <c r="L10" s="33" t="s">
        <v>65</v>
      </c>
      <c r="M10" s="33" t="s">
        <v>3</v>
      </c>
      <c r="N10" s="32">
        <v>46202</v>
      </c>
      <c r="O10" s="32">
        <v>46206</v>
      </c>
      <c r="P10" s="33" t="s">
        <v>66</v>
      </c>
      <c r="Q10" s="33" t="s">
        <v>3</v>
      </c>
      <c r="R10" s="32">
        <v>46209</v>
      </c>
      <c r="S10" s="32">
        <v>46227</v>
      </c>
      <c r="T10" s="33" t="s">
        <v>67</v>
      </c>
      <c r="U10" s="33" t="s">
        <v>3</v>
      </c>
      <c r="V10" s="32">
        <v>46209</v>
      </c>
      <c r="W10" s="32">
        <v>46227</v>
      </c>
      <c r="X10" s="33" t="s">
        <v>68</v>
      </c>
      <c r="Y10" s="33" t="s">
        <v>3</v>
      </c>
      <c r="Z10" s="32">
        <v>46216</v>
      </c>
      <c r="AA10" s="32">
        <v>46234</v>
      </c>
      <c r="AB10" s="75">
        <f t="shared" si="4"/>
        <v>1</v>
      </c>
      <c r="AC10" s="33" t="str">
        <f>IF(G10="已完成","正常",IF(OR(G10="暂停",G10="挂起"),"暂停",IF(J10="","日期缺失",IF(J10&lt;项目驾驶舱!$B$3,"已延期",IF(J10&lt;=项目驾驶舱!$B$3+7,"临近到期","正常")))))</f>
        <v>正常</v>
      </c>
      <c r="AD10" s="33" t="s">
        <v>69</v>
      </c>
      <c r="AE10" s="34" t="s">
        <v>69</v>
      </c>
    </row>
    <row r="11" ht="17" customHeight="1" spans="1:31">
      <c r="A11" s="31" t="s">
        <v>84</v>
      </c>
      <c r="B11" s="33" t="s">
        <v>61</v>
      </c>
      <c r="C11" s="33" t="s">
        <v>80</v>
      </c>
      <c r="D11" s="33" t="s">
        <v>85</v>
      </c>
      <c r="E11" s="33" t="s">
        <v>64</v>
      </c>
      <c r="F11" s="33" t="s">
        <v>25</v>
      </c>
      <c r="G11" s="33" t="str">
        <f t="shared" si="0"/>
        <v>已完成</v>
      </c>
      <c r="H11" s="33" t="str">
        <f t="shared" si="1"/>
        <v>郑士旺</v>
      </c>
      <c r="I11" s="32">
        <f t="shared" si="2"/>
        <v>46202</v>
      </c>
      <c r="J11" s="32">
        <f t="shared" si="3"/>
        <v>46224</v>
      </c>
      <c r="K11" s="32">
        <v>46224</v>
      </c>
      <c r="L11" s="33" t="s">
        <v>65</v>
      </c>
      <c r="M11" s="33" t="s">
        <v>3</v>
      </c>
      <c r="N11" s="32">
        <v>46202</v>
      </c>
      <c r="O11" s="32">
        <v>46206</v>
      </c>
      <c r="P11" s="33" t="s">
        <v>66</v>
      </c>
      <c r="Q11" s="33" t="s">
        <v>3</v>
      </c>
      <c r="R11" s="32">
        <v>46209</v>
      </c>
      <c r="S11" s="32">
        <v>46227</v>
      </c>
      <c r="T11" s="33" t="s">
        <v>67</v>
      </c>
      <c r="U11" s="33" t="s">
        <v>3</v>
      </c>
      <c r="V11" s="32">
        <v>46209</v>
      </c>
      <c r="W11" s="32">
        <v>46227</v>
      </c>
      <c r="X11" s="33" t="s">
        <v>68</v>
      </c>
      <c r="Y11" s="33" t="s">
        <v>3</v>
      </c>
      <c r="Z11" s="32">
        <v>46216</v>
      </c>
      <c r="AA11" s="32">
        <v>46234</v>
      </c>
      <c r="AB11" s="75">
        <f t="shared" si="4"/>
        <v>1</v>
      </c>
      <c r="AC11" s="33" t="str">
        <f>IF(G11="已完成","正常",IF(OR(G11="暂停",G11="挂起"),"暂停",IF(J11="","日期缺失",IF(J11&lt;项目驾驶舱!$B$3,"已延期",IF(J11&lt;=项目驾驶舱!$B$3+7,"临近到期","正常")))))</f>
        <v>正常</v>
      </c>
      <c r="AD11" s="33" t="s">
        <v>69</v>
      </c>
      <c r="AE11" s="34" t="s">
        <v>69</v>
      </c>
    </row>
    <row r="12" ht="17" customHeight="1" spans="1:31">
      <c r="A12" s="31" t="s">
        <v>86</v>
      </c>
      <c r="B12" s="33" t="s">
        <v>61</v>
      </c>
      <c r="C12" s="33" t="s">
        <v>87</v>
      </c>
      <c r="D12" s="33" t="s">
        <v>88</v>
      </c>
      <c r="E12" s="33" t="s">
        <v>64</v>
      </c>
      <c r="F12" s="33" t="s">
        <v>25</v>
      </c>
      <c r="G12" s="33" t="str">
        <f t="shared" si="0"/>
        <v>已完成</v>
      </c>
      <c r="H12" s="33" t="str">
        <f t="shared" si="1"/>
        <v>郑士旺</v>
      </c>
      <c r="I12" s="32">
        <f t="shared" si="2"/>
        <v>46202</v>
      </c>
      <c r="J12" s="32">
        <f t="shared" si="3"/>
        <v>46224</v>
      </c>
      <c r="K12" s="32">
        <v>46224</v>
      </c>
      <c r="L12" s="33" t="s">
        <v>65</v>
      </c>
      <c r="M12" s="33" t="s">
        <v>3</v>
      </c>
      <c r="N12" s="32">
        <v>46202</v>
      </c>
      <c r="O12" s="32">
        <v>46206</v>
      </c>
      <c r="P12" s="33" t="s">
        <v>66</v>
      </c>
      <c r="Q12" s="33" t="s">
        <v>3</v>
      </c>
      <c r="R12" s="32">
        <v>46209</v>
      </c>
      <c r="S12" s="32">
        <v>46227</v>
      </c>
      <c r="T12" s="33" t="s">
        <v>67</v>
      </c>
      <c r="U12" s="33" t="s">
        <v>3</v>
      </c>
      <c r="V12" s="32">
        <v>46209</v>
      </c>
      <c r="W12" s="32">
        <v>46227</v>
      </c>
      <c r="X12" s="33" t="s">
        <v>68</v>
      </c>
      <c r="Y12" s="33" t="s">
        <v>3</v>
      </c>
      <c r="Z12" s="32">
        <v>46216</v>
      </c>
      <c r="AA12" s="32">
        <v>46234</v>
      </c>
      <c r="AB12" s="75">
        <f t="shared" si="4"/>
        <v>1</v>
      </c>
      <c r="AC12" s="33" t="str">
        <f>IF(G12="已完成","正常",IF(OR(G12="暂停",G12="挂起"),"暂停",IF(J12="","日期缺失",IF(J12&lt;项目驾驶舱!$B$3,"已延期",IF(J12&lt;=项目驾驶舱!$B$3+7,"临近到期","正常")))))</f>
        <v>正常</v>
      </c>
      <c r="AD12" s="33" t="s">
        <v>69</v>
      </c>
      <c r="AE12" s="34" t="s">
        <v>69</v>
      </c>
    </row>
    <row r="13" ht="17" customHeight="1" spans="1:31">
      <c r="A13" s="31" t="s">
        <v>89</v>
      </c>
      <c r="B13" s="33" t="s">
        <v>61</v>
      </c>
      <c r="C13" s="33" t="s">
        <v>87</v>
      </c>
      <c r="D13" s="33" t="s">
        <v>90</v>
      </c>
      <c r="E13" s="33" t="s">
        <v>64</v>
      </c>
      <c r="F13" s="33" t="s">
        <v>25</v>
      </c>
      <c r="G13" s="33" t="str">
        <f t="shared" si="0"/>
        <v>已完成</v>
      </c>
      <c r="H13" s="33" t="str">
        <f t="shared" si="1"/>
        <v>郑士旺</v>
      </c>
      <c r="I13" s="32">
        <f t="shared" si="2"/>
        <v>46202</v>
      </c>
      <c r="J13" s="32">
        <f t="shared" si="3"/>
        <v>46224</v>
      </c>
      <c r="K13" s="32">
        <v>46224</v>
      </c>
      <c r="L13" s="33" t="s">
        <v>65</v>
      </c>
      <c r="M13" s="33" t="s">
        <v>3</v>
      </c>
      <c r="N13" s="32">
        <v>46202</v>
      </c>
      <c r="O13" s="32">
        <v>46206</v>
      </c>
      <c r="P13" s="33" t="s">
        <v>66</v>
      </c>
      <c r="Q13" s="33" t="s">
        <v>3</v>
      </c>
      <c r="R13" s="32">
        <v>46209</v>
      </c>
      <c r="S13" s="32">
        <v>46227</v>
      </c>
      <c r="T13" s="33" t="s">
        <v>67</v>
      </c>
      <c r="U13" s="33" t="s">
        <v>3</v>
      </c>
      <c r="V13" s="32">
        <v>46209</v>
      </c>
      <c r="W13" s="32">
        <v>46227</v>
      </c>
      <c r="X13" s="33" t="s">
        <v>68</v>
      </c>
      <c r="Y13" s="33" t="s">
        <v>3</v>
      </c>
      <c r="Z13" s="32">
        <v>46216</v>
      </c>
      <c r="AA13" s="32">
        <v>46234</v>
      </c>
      <c r="AB13" s="75">
        <f t="shared" si="4"/>
        <v>1</v>
      </c>
      <c r="AC13" s="33" t="str">
        <f>IF(G13="已完成","正常",IF(OR(G13="暂停",G13="挂起"),"暂停",IF(J13="","日期缺失",IF(J13&lt;项目驾驶舱!$B$3,"已延期",IF(J13&lt;=项目驾驶舱!$B$3+7,"临近到期","正常")))))</f>
        <v>正常</v>
      </c>
      <c r="AD13" s="33" t="s">
        <v>69</v>
      </c>
      <c r="AE13" s="34" t="s">
        <v>69</v>
      </c>
    </row>
    <row r="14" ht="34" customHeight="1" spans="1:31">
      <c r="A14" s="31" t="s">
        <v>91</v>
      </c>
      <c r="B14" s="33" t="s">
        <v>92</v>
      </c>
      <c r="C14" s="33" t="s">
        <v>93</v>
      </c>
      <c r="D14" s="33" t="s">
        <v>94</v>
      </c>
      <c r="E14" s="33" t="s">
        <v>64</v>
      </c>
      <c r="F14" s="33" t="s">
        <v>25</v>
      </c>
      <c r="G14" s="33" t="str">
        <f t="shared" si="0"/>
        <v>已完成</v>
      </c>
      <c r="H14" s="33" t="str">
        <f t="shared" si="1"/>
        <v>郑士旺</v>
      </c>
      <c r="I14" s="32">
        <f t="shared" si="2"/>
        <v>46202</v>
      </c>
      <c r="J14" s="32">
        <f t="shared" si="3"/>
        <v>46224</v>
      </c>
      <c r="K14" s="32">
        <v>46224</v>
      </c>
      <c r="L14" s="33" t="s">
        <v>65</v>
      </c>
      <c r="M14" s="33" t="s">
        <v>3</v>
      </c>
      <c r="N14" s="32">
        <v>46202</v>
      </c>
      <c r="O14" s="32">
        <v>46206</v>
      </c>
      <c r="P14" s="33" t="s">
        <v>66</v>
      </c>
      <c r="Q14" s="33" t="s">
        <v>3</v>
      </c>
      <c r="R14" s="32">
        <v>46209</v>
      </c>
      <c r="S14" s="32">
        <v>46227</v>
      </c>
      <c r="T14" s="33" t="s">
        <v>67</v>
      </c>
      <c r="U14" s="33" t="s">
        <v>3</v>
      </c>
      <c r="V14" s="32">
        <v>46209</v>
      </c>
      <c r="W14" s="32">
        <v>46225</v>
      </c>
      <c r="X14" s="33" t="s">
        <v>68</v>
      </c>
      <c r="Y14" s="33" t="s">
        <v>3</v>
      </c>
      <c r="Z14" s="32">
        <v>46216</v>
      </c>
      <c r="AA14" s="32">
        <v>46234</v>
      </c>
      <c r="AB14" s="75">
        <f t="shared" si="4"/>
        <v>1</v>
      </c>
      <c r="AC14" s="33" t="str">
        <f>IF(G14="已完成","正常",IF(OR(G14="暂停",G14="挂起"),"暂停",IF(J14="","日期缺失",IF(J14&lt;项目驾驶舱!$B$3,"已延期",IF(J14&lt;=项目驾驶舱!$B$3+7,"临近到期","正常")))))</f>
        <v>正常</v>
      </c>
      <c r="AD14" s="33" t="s">
        <v>69</v>
      </c>
      <c r="AE14" s="34" t="s">
        <v>69</v>
      </c>
    </row>
    <row r="15" ht="34" customHeight="1" spans="1:31">
      <c r="A15" s="31" t="s">
        <v>95</v>
      </c>
      <c r="B15" s="33" t="s">
        <v>92</v>
      </c>
      <c r="C15" s="33" t="s">
        <v>93</v>
      </c>
      <c r="D15" s="33" t="s">
        <v>96</v>
      </c>
      <c r="E15" s="33" t="s">
        <v>64</v>
      </c>
      <c r="F15" s="33" t="s">
        <v>25</v>
      </c>
      <c r="G15" s="33" t="str">
        <f t="shared" si="0"/>
        <v>已完成</v>
      </c>
      <c r="H15" s="33" t="str">
        <f t="shared" si="1"/>
        <v>郑士旺</v>
      </c>
      <c r="I15" s="32">
        <f t="shared" si="2"/>
        <v>46202</v>
      </c>
      <c r="J15" s="32">
        <f t="shared" si="3"/>
        <v>46224</v>
      </c>
      <c r="K15" s="32">
        <v>46224</v>
      </c>
      <c r="L15" s="33" t="s">
        <v>65</v>
      </c>
      <c r="M15" s="33" t="s">
        <v>3</v>
      </c>
      <c r="N15" s="32">
        <v>46202</v>
      </c>
      <c r="O15" s="32">
        <v>46206</v>
      </c>
      <c r="P15" s="33" t="s">
        <v>66</v>
      </c>
      <c r="Q15" s="33" t="s">
        <v>3</v>
      </c>
      <c r="R15" s="32">
        <v>46209</v>
      </c>
      <c r="S15" s="32">
        <v>46227</v>
      </c>
      <c r="T15" s="33" t="s">
        <v>67</v>
      </c>
      <c r="U15" s="33" t="s">
        <v>3</v>
      </c>
      <c r="V15" s="32">
        <v>46209</v>
      </c>
      <c r="W15" s="32">
        <v>46225</v>
      </c>
      <c r="X15" s="33" t="s">
        <v>68</v>
      </c>
      <c r="Y15" s="33" t="s">
        <v>3</v>
      </c>
      <c r="Z15" s="32">
        <v>46216</v>
      </c>
      <c r="AA15" s="32">
        <v>46234</v>
      </c>
      <c r="AB15" s="75">
        <f t="shared" si="4"/>
        <v>1</v>
      </c>
      <c r="AC15" s="33" t="str">
        <f>IF(G15="已完成","正常",IF(OR(G15="暂停",G15="挂起"),"暂停",IF(J15="","日期缺失",IF(J15&lt;项目驾驶舱!$B$3,"已延期",IF(J15&lt;=项目驾驶舱!$B$3+7,"临近到期","正常")))))</f>
        <v>正常</v>
      </c>
      <c r="AD15" s="33" t="s">
        <v>69</v>
      </c>
      <c r="AE15" s="34" t="s">
        <v>69</v>
      </c>
    </row>
    <row r="16" ht="17" customHeight="1" spans="1:31">
      <c r="A16" s="31" t="s">
        <v>97</v>
      </c>
      <c r="B16" s="33" t="s">
        <v>92</v>
      </c>
      <c r="C16" s="33" t="s">
        <v>98</v>
      </c>
      <c r="D16" s="33" t="s">
        <v>99</v>
      </c>
      <c r="E16" s="33" t="s">
        <v>64</v>
      </c>
      <c r="F16" s="33" t="s">
        <v>26</v>
      </c>
      <c r="G16" s="33" t="str">
        <f t="shared" ref="G16:G21" si="5">IF(OR(M16="挂起",M16="暂停",Q16="挂起",Q16="暂停",U16="挂起",U16="暂停",Y16="挂起",Y16="暂停"),"暂停","未开始")</f>
        <v>未开始</v>
      </c>
      <c r="H16" s="33" t="str">
        <f t="shared" si="1"/>
        <v>郑士旺</v>
      </c>
      <c r="I16" s="32">
        <f t="shared" si="2"/>
        <v>46223</v>
      </c>
      <c r="J16" s="32">
        <f t="shared" si="3"/>
        <v>46318</v>
      </c>
      <c r="K16" s="32"/>
      <c r="L16" s="33" t="s">
        <v>65</v>
      </c>
      <c r="M16" s="33" t="s">
        <v>5</v>
      </c>
      <c r="N16" s="32">
        <v>46223</v>
      </c>
      <c r="O16" s="32">
        <v>46227</v>
      </c>
      <c r="P16" s="33" t="s">
        <v>66</v>
      </c>
      <c r="Q16" s="33" t="s">
        <v>5</v>
      </c>
      <c r="R16" s="32">
        <v>46272</v>
      </c>
      <c r="S16" s="32">
        <v>46304</v>
      </c>
      <c r="T16" s="33" t="s">
        <v>67</v>
      </c>
      <c r="U16" s="33" t="s">
        <v>5</v>
      </c>
      <c r="V16" s="32">
        <v>46272</v>
      </c>
      <c r="W16" s="32">
        <v>46304</v>
      </c>
      <c r="X16" s="33" t="s">
        <v>68</v>
      </c>
      <c r="Y16" s="33" t="s">
        <v>5</v>
      </c>
      <c r="Z16" s="32">
        <v>46307</v>
      </c>
      <c r="AA16" s="32">
        <v>46318</v>
      </c>
      <c r="AB16" s="75">
        <f t="shared" si="4"/>
        <v>0</v>
      </c>
      <c r="AC16" s="33" t="str">
        <f>IF(G16="已完成","正常",IF(OR(G16="暂停",G16="挂起"),"暂停",IF(J16="","日期缺失",IF(J16&lt;项目驾驶舱!$B$3,"已延期",IF(J16&lt;=项目驾驶舱!$B$3+7,"临近到期","正常")))))</f>
        <v>正常</v>
      </c>
      <c r="AD16" s="33" t="s">
        <v>69</v>
      </c>
      <c r="AE16" s="34" t="s">
        <v>69</v>
      </c>
    </row>
    <row r="17" ht="17" customHeight="1" spans="1:31">
      <c r="A17" s="31" t="s">
        <v>100</v>
      </c>
      <c r="B17" s="33" t="s">
        <v>92</v>
      </c>
      <c r="C17" s="33" t="s">
        <v>98</v>
      </c>
      <c r="D17" s="33" t="s">
        <v>101</v>
      </c>
      <c r="E17" s="33" t="s">
        <v>64</v>
      </c>
      <c r="F17" s="33" t="s">
        <v>26</v>
      </c>
      <c r="G17" s="33" t="str">
        <f t="shared" si="5"/>
        <v>未开始</v>
      </c>
      <c r="H17" s="33" t="str">
        <f t="shared" si="1"/>
        <v>郑士旺</v>
      </c>
      <c r="I17" s="32">
        <f t="shared" si="2"/>
        <v>46223</v>
      </c>
      <c r="J17" s="32">
        <f t="shared" si="3"/>
        <v>46318</v>
      </c>
      <c r="K17" s="32"/>
      <c r="L17" s="33" t="s">
        <v>65</v>
      </c>
      <c r="M17" s="33" t="s">
        <v>5</v>
      </c>
      <c r="N17" s="32">
        <v>46223</v>
      </c>
      <c r="O17" s="32">
        <v>46227</v>
      </c>
      <c r="P17" s="33" t="s">
        <v>66</v>
      </c>
      <c r="Q17" s="33" t="s">
        <v>5</v>
      </c>
      <c r="R17" s="32">
        <v>46272</v>
      </c>
      <c r="S17" s="32">
        <v>46304</v>
      </c>
      <c r="T17" s="33" t="s">
        <v>67</v>
      </c>
      <c r="U17" s="33" t="s">
        <v>5</v>
      </c>
      <c r="V17" s="32">
        <v>46272</v>
      </c>
      <c r="W17" s="32">
        <v>46304</v>
      </c>
      <c r="X17" s="33" t="s">
        <v>68</v>
      </c>
      <c r="Y17" s="33" t="s">
        <v>5</v>
      </c>
      <c r="Z17" s="32">
        <v>46307</v>
      </c>
      <c r="AA17" s="32">
        <v>46318</v>
      </c>
      <c r="AB17" s="75">
        <f t="shared" si="4"/>
        <v>0</v>
      </c>
      <c r="AC17" s="33" t="str">
        <f>IF(G17="已完成","正常",IF(OR(G17="暂停",G17="挂起"),"暂停",IF(J17="","日期缺失",IF(J17&lt;项目驾驶舱!$B$3,"已延期",IF(J17&lt;=项目驾驶舱!$B$3+7,"临近到期","正常")))))</f>
        <v>正常</v>
      </c>
      <c r="AD17" s="33" t="s">
        <v>69</v>
      </c>
      <c r="AE17" s="34" t="s">
        <v>69</v>
      </c>
    </row>
    <row r="18" ht="17" customHeight="1" spans="1:31">
      <c r="A18" s="31" t="s">
        <v>102</v>
      </c>
      <c r="B18" s="33" t="s">
        <v>92</v>
      </c>
      <c r="C18" s="33" t="s">
        <v>98</v>
      </c>
      <c r="D18" s="33" t="s">
        <v>103</v>
      </c>
      <c r="E18" s="33" t="s">
        <v>64</v>
      </c>
      <c r="F18" s="33" t="s">
        <v>26</v>
      </c>
      <c r="G18" s="33" t="str">
        <f t="shared" si="5"/>
        <v>未开始</v>
      </c>
      <c r="H18" s="33" t="str">
        <f t="shared" si="1"/>
        <v>郑士旺</v>
      </c>
      <c r="I18" s="32">
        <f t="shared" si="2"/>
        <v>46223</v>
      </c>
      <c r="J18" s="32">
        <f t="shared" si="3"/>
        <v>46318</v>
      </c>
      <c r="K18" s="32"/>
      <c r="L18" s="33" t="s">
        <v>65</v>
      </c>
      <c r="M18" s="33" t="s">
        <v>5</v>
      </c>
      <c r="N18" s="32">
        <v>46223</v>
      </c>
      <c r="O18" s="32">
        <v>46227</v>
      </c>
      <c r="P18" s="33" t="s">
        <v>66</v>
      </c>
      <c r="Q18" s="33" t="s">
        <v>5</v>
      </c>
      <c r="R18" s="32">
        <v>46272</v>
      </c>
      <c r="S18" s="32">
        <v>46304</v>
      </c>
      <c r="T18" s="33" t="s">
        <v>67</v>
      </c>
      <c r="U18" s="33" t="s">
        <v>5</v>
      </c>
      <c r="V18" s="32">
        <v>46272</v>
      </c>
      <c r="W18" s="32">
        <v>46304</v>
      </c>
      <c r="X18" s="33" t="s">
        <v>68</v>
      </c>
      <c r="Y18" s="33" t="s">
        <v>5</v>
      </c>
      <c r="Z18" s="32">
        <v>46307</v>
      </c>
      <c r="AA18" s="32">
        <v>46318</v>
      </c>
      <c r="AB18" s="75">
        <f t="shared" si="4"/>
        <v>0</v>
      </c>
      <c r="AC18" s="33" t="str">
        <f>IF(G18="已完成","正常",IF(OR(G18="暂停",G18="挂起"),"暂停",IF(J18="","日期缺失",IF(J18&lt;项目驾驶舱!$B$3,"已延期",IF(J18&lt;=项目驾驶舱!$B$3+7,"临近到期","正常")))))</f>
        <v>正常</v>
      </c>
      <c r="AD18" s="33" t="s">
        <v>69</v>
      </c>
      <c r="AE18" s="34" t="s">
        <v>69</v>
      </c>
    </row>
    <row r="19" ht="17" customHeight="1" spans="1:31">
      <c r="A19" s="31" t="s">
        <v>104</v>
      </c>
      <c r="B19" s="33" t="s">
        <v>92</v>
      </c>
      <c r="C19" s="33" t="s">
        <v>98</v>
      </c>
      <c r="D19" s="33" t="s">
        <v>105</v>
      </c>
      <c r="E19" s="33" t="s">
        <v>64</v>
      </c>
      <c r="F19" s="33" t="s">
        <v>26</v>
      </c>
      <c r="G19" s="33" t="str">
        <f t="shared" si="5"/>
        <v>未开始</v>
      </c>
      <c r="H19" s="33" t="str">
        <f t="shared" si="1"/>
        <v>郑士旺</v>
      </c>
      <c r="I19" s="32">
        <f t="shared" si="2"/>
        <v>46223</v>
      </c>
      <c r="J19" s="32">
        <f t="shared" si="3"/>
        <v>46318</v>
      </c>
      <c r="K19" s="32"/>
      <c r="L19" s="33" t="s">
        <v>65</v>
      </c>
      <c r="M19" s="33" t="s">
        <v>5</v>
      </c>
      <c r="N19" s="32">
        <v>46223</v>
      </c>
      <c r="O19" s="32">
        <v>46227</v>
      </c>
      <c r="P19" s="33" t="s">
        <v>66</v>
      </c>
      <c r="Q19" s="33" t="s">
        <v>5</v>
      </c>
      <c r="R19" s="32">
        <v>46272</v>
      </c>
      <c r="S19" s="32">
        <v>46304</v>
      </c>
      <c r="T19" s="33" t="s">
        <v>67</v>
      </c>
      <c r="U19" s="33" t="s">
        <v>5</v>
      </c>
      <c r="V19" s="32">
        <v>46272</v>
      </c>
      <c r="W19" s="32">
        <v>46304</v>
      </c>
      <c r="X19" s="33" t="s">
        <v>68</v>
      </c>
      <c r="Y19" s="33" t="s">
        <v>5</v>
      </c>
      <c r="Z19" s="32">
        <v>46307</v>
      </c>
      <c r="AA19" s="32">
        <v>46318</v>
      </c>
      <c r="AB19" s="75">
        <f t="shared" si="4"/>
        <v>0</v>
      </c>
      <c r="AC19" s="33" t="str">
        <f>IF(G19="已完成","正常",IF(OR(G19="暂停",G19="挂起"),"暂停",IF(J19="","日期缺失",IF(J19&lt;项目驾驶舱!$B$3,"已延期",IF(J19&lt;=项目驾驶舱!$B$3+7,"临近到期","正常")))))</f>
        <v>正常</v>
      </c>
      <c r="AD19" s="33" t="s">
        <v>69</v>
      </c>
      <c r="AE19" s="34" t="s">
        <v>69</v>
      </c>
    </row>
    <row r="20" ht="17" customHeight="1" spans="1:31">
      <c r="A20" s="31" t="s">
        <v>106</v>
      </c>
      <c r="B20" s="33" t="s">
        <v>92</v>
      </c>
      <c r="C20" s="33" t="s">
        <v>98</v>
      </c>
      <c r="D20" s="33" t="s">
        <v>107</v>
      </c>
      <c r="E20" s="33" t="s">
        <v>64</v>
      </c>
      <c r="F20" s="33" t="s">
        <v>26</v>
      </c>
      <c r="G20" s="33" t="str">
        <f t="shared" si="5"/>
        <v>未开始</v>
      </c>
      <c r="H20" s="33" t="str">
        <f t="shared" si="1"/>
        <v>郑士旺</v>
      </c>
      <c r="I20" s="32">
        <f t="shared" si="2"/>
        <v>46223</v>
      </c>
      <c r="J20" s="32">
        <f t="shared" si="3"/>
        <v>46318</v>
      </c>
      <c r="K20" s="32"/>
      <c r="L20" s="33" t="s">
        <v>65</v>
      </c>
      <c r="M20" s="33" t="s">
        <v>5</v>
      </c>
      <c r="N20" s="32">
        <v>46223</v>
      </c>
      <c r="O20" s="32">
        <v>46227</v>
      </c>
      <c r="P20" s="33" t="s">
        <v>66</v>
      </c>
      <c r="Q20" s="33" t="s">
        <v>5</v>
      </c>
      <c r="R20" s="32">
        <v>46272</v>
      </c>
      <c r="S20" s="32">
        <v>46304</v>
      </c>
      <c r="T20" s="33" t="s">
        <v>67</v>
      </c>
      <c r="U20" s="33" t="s">
        <v>5</v>
      </c>
      <c r="V20" s="32">
        <v>46272</v>
      </c>
      <c r="W20" s="32">
        <v>46304</v>
      </c>
      <c r="X20" s="33" t="s">
        <v>68</v>
      </c>
      <c r="Y20" s="33" t="s">
        <v>5</v>
      </c>
      <c r="Z20" s="32">
        <v>46307</v>
      </c>
      <c r="AA20" s="32">
        <v>46318</v>
      </c>
      <c r="AB20" s="75">
        <f t="shared" si="4"/>
        <v>0</v>
      </c>
      <c r="AC20" s="33" t="str">
        <f>IF(G20="已完成","正常",IF(OR(G20="暂停",G20="挂起"),"暂停",IF(J20="","日期缺失",IF(J20&lt;项目驾驶舱!$B$3,"已延期",IF(J20&lt;=项目驾驶舱!$B$3+7,"临近到期","正常")))))</f>
        <v>正常</v>
      </c>
      <c r="AD20" s="33" t="s">
        <v>69</v>
      </c>
      <c r="AE20" s="34" t="s">
        <v>69</v>
      </c>
    </row>
    <row r="21" ht="17" customHeight="1" spans="1:31">
      <c r="A21" s="31" t="s">
        <v>108</v>
      </c>
      <c r="B21" s="33" t="s">
        <v>92</v>
      </c>
      <c r="C21" s="33" t="s">
        <v>98</v>
      </c>
      <c r="D21" s="33" t="s">
        <v>109</v>
      </c>
      <c r="E21" s="33" t="s">
        <v>64</v>
      </c>
      <c r="F21" s="33" t="s">
        <v>26</v>
      </c>
      <c r="G21" s="33" t="str">
        <f t="shared" si="5"/>
        <v>未开始</v>
      </c>
      <c r="H21" s="33" t="str">
        <f t="shared" si="1"/>
        <v>郑士旺</v>
      </c>
      <c r="I21" s="32">
        <f t="shared" si="2"/>
        <v>46223</v>
      </c>
      <c r="J21" s="32">
        <f t="shared" si="3"/>
        <v>46318</v>
      </c>
      <c r="K21" s="32"/>
      <c r="L21" s="33" t="s">
        <v>65</v>
      </c>
      <c r="M21" s="33" t="s">
        <v>5</v>
      </c>
      <c r="N21" s="32">
        <v>46223</v>
      </c>
      <c r="O21" s="32">
        <v>46227</v>
      </c>
      <c r="P21" s="33" t="s">
        <v>66</v>
      </c>
      <c r="Q21" s="33" t="s">
        <v>5</v>
      </c>
      <c r="R21" s="32">
        <v>46272</v>
      </c>
      <c r="S21" s="32">
        <v>46304</v>
      </c>
      <c r="T21" s="33" t="s">
        <v>67</v>
      </c>
      <c r="U21" s="33" t="s">
        <v>5</v>
      </c>
      <c r="V21" s="32">
        <v>46272</v>
      </c>
      <c r="W21" s="32">
        <v>46304</v>
      </c>
      <c r="X21" s="33" t="s">
        <v>68</v>
      </c>
      <c r="Y21" s="33" t="s">
        <v>5</v>
      </c>
      <c r="Z21" s="32">
        <v>46307</v>
      </c>
      <c r="AA21" s="32">
        <v>46318</v>
      </c>
      <c r="AB21" s="75">
        <f t="shared" si="4"/>
        <v>0</v>
      </c>
      <c r="AC21" s="33" t="str">
        <f>IF(G21="已完成","正常",IF(OR(G21="暂停",G21="挂起"),"暂停",IF(J21="","日期缺失",IF(J21&lt;项目驾驶舱!$B$3,"已延期",IF(J21&lt;=项目驾驶舱!$B$3+7,"临近到期","正常")))))</f>
        <v>正常</v>
      </c>
      <c r="AD21" s="33" t="s">
        <v>69</v>
      </c>
      <c r="AE21" s="34" t="s">
        <v>69</v>
      </c>
    </row>
    <row r="22" ht="17" customHeight="1" spans="1:31">
      <c r="A22" s="31" t="s">
        <v>110</v>
      </c>
      <c r="B22" s="33" t="s">
        <v>92</v>
      </c>
      <c r="C22" s="33" t="s">
        <v>111</v>
      </c>
      <c r="D22" s="33" t="s">
        <v>112</v>
      </c>
      <c r="E22" s="33" t="s">
        <v>113</v>
      </c>
      <c r="F22" s="33" t="s">
        <v>26</v>
      </c>
      <c r="G22" s="33" t="str">
        <f>IF(OR(M22="挂起",M22="暂停",Q22="挂起",Q22="暂停",U22="挂起",U22="暂停",Y22="挂起",Y22="暂停"),"暂停","进行中")</f>
        <v>进行中</v>
      </c>
      <c r="H22" s="33" t="str">
        <f t="shared" si="1"/>
        <v>郑士旺</v>
      </c>
      <c r="I22" s="32">
        <f t="shared" si="2"/>
        <v>46230</v>
      </c>
      <c r="J22" s="32">
        <f t="shared" si="3"/>
        <v>46353</v>
      </c>
      <c r="K22" s="32"/>
      <c r="L22" s="33" t="s">
        <v>65</v>
      </c>
      <c r="M22" s="33" t="s">
        <v>3</v>
      </c>
      <c r="N22" s="32">
        <v>46230</v>
      </c>
      <c r="O22" s="32">
        <v>46241</v>
      </c>
      <c r="P22" s="33" t="s">
        <v>66</v>
      </c>
      <c r="Q22" s="33" t="s">
        <v>5</v>
      </c>
      <c r="R22" s="32">
        <v>46307</v>
      </c>
      <c r="S22" s="32">
        <v>46339</v>
      </c>
      <c r="T22" s="33" t="s">
        <v>67</v>
      </c>
      <c r="U22" s="33" t="s">
        <v>5</v>
      </c>
      <c r="V22" s="32">
        <v>46307</v>
      </c>
      <c r="W22" s="32">
        <v>46339</v>
      </c>
      <c r="X22" s="33" t="s">
        <v>68</v>
      </c>
      <c r="Y22" s="33" t="s">
        <v>5</v>
      </c>
      <c r="Z22" s="32">
        <v>46342</v>
      </c>
      <c r="AA22" s="32">
        <v>46353</v>
      </c>
      <c r="AB22" s="75">
        <f t="shared" si="4"/>
        <v>0.15</v>
      </c>
      <c r="AC22" s="33" t="str">
        <f>IF(G22="已完成","正常",IF(OR(G22="暂停",G22="挂起"),"暂停",IF(J22="","日期缺失",IF(J22&lt;项目驾驶舱!$B$3,"已延期",IF(J22&lt;=项目驾驶舱!$B$3+7,"临近到期","正常")))))</f>
        <v>正常</v>
      </c>
      <c r="AD22" s="33" t="s">
        <v>69</v>
      </c>
      <c r="AE22" s="34" t="s">
        <v>69</v>
      </c>
    </row>
    <row r="23" ht="17" customHeight="1" spans="1:31">
      <c r="A23" s="31" t="s">
        <v>114</v>
      </c>
      <c r="B23" s="33" t="s">
        <v>92</v>
      </c>
      <c r="C23" s="33" t="s">
        <v>111</v>
      </c>
      <c r="D23" s="33" t="s">
        <v>112</v>
      </c>
      <c r="E23" s="33" t="s">
        <v>115</v>
      </c>
      <c r="F23" s="33" t="s">
        <v>26</v>
      </c>
      <c r="G23" s="33" t="str">
        <f>IF(OR(M23="挂起",M23="暂停",Q23="挂起",Q23="暂停",U23="挂起",U23="暂停",Y23="挂起",Y23="暂停"),"暂停","进行中")</f>
        <v>进行中</v>
      </c>
      <c r="H23" s="33" t="str">
        <f t="shared" si="1"/>
        <v>郑士旺</v>
      </c>
      <c r="I23" s="32">
        <f t="shared" si="2"/>
        <v>46230</v>
      </c>
      <c r="J23" s="32">
        <f t="shared" si="3"/>
        <v>46353</v>
      </c>
      <c r="K23" s="32"/>
      <c r="L23" s="33" t="s">
        <v>65</v>
      </c>
      <c r="M23" s="33" t="s">
        <v>3</v>
      </c>
      <c r="N23" s="32">
        <v>46230</v>
      </c>
      <c r="O23" s="32">
        <v>46241</v>
      </c>
      <c r="P23" s="33" t="s">
        <v>66</v>
      </c>
      <c r="Q23" s="33" t="s">
        <v>4</v>
      </c>
      <c r="R23" s="32">
        <v>46307</v>
      </c>
      <c r="S23" s="32">
        <v>46339</v>
      </c>
      <c r="T23" s="33" t="s">
        <v>67</v>
      </c>
      <c r="U23" s="33" t="s">
        <v>4</v>
      </c>
      <c r="V23" s="32">
        <v>46307</v>
      </c>
      <c r="W23" s="32">
        <v>46339</v>
      </c>
      <c r="X23" s="33" t="s">
        <v>68</v>
      </c>
      <c r="Y23" s="33" t="s">
        <v>5</v>
      </c>
      <c r="Z23" s="32">
        <v>46342</v>
      </c>
      <c r="AA23" s="32">
        <v>46353</v>
      </c>
      <c r="AB23" s="75">
        <f t="shared" si="4"/>
        <v>0.475</v>
      </c>
      <c r="AC23" s="33" t="str">
        <f>IF(G23="已完成","正常",IF(OR(G23="暂停",G23="挂起"),"暂停",IF(J23="","日期缺失",IF(J23&lt;项目驾驶舱!$B$3,"已延期",IF(J23&lt;=项目驾驶舱!$B$3+7,"临近到期","正常")))))</f>
        <v>正常</v>
      </c>
      <c r="AD23" s="33" t="s">
        <v>69</v>
      </c>
      <c r="AE23" s="34" t="s">
        <v>69</v>
      </c>
    </row>
    <row r="24" ht="17" customHeight="1" spans="1:31">
      <c r="A24" s="31" t="s">
        <v>116</v>
      </c>
      <c r="B24" s="33" t="s">
        <v>92</v>
      </c>
      <c r="C24" s="33" t="s">
        <v>111</v>
      </c>
      <c r="D24" s="33" t="s">
        <v>112</v>
      </c>
      <c r="E24" s="33" t="s">
        <v>117</v>
      </c>
      <c r="F24" s="33" t="s">
        <v>26</v>
      </c>
      <c r="G24" s="33" t="str">
        <f>IF(OR(M24="挂起",M24="暂停",Q24="挂起",Q24="暂停",U24="挂起",U24="暂停",Y24="挂起",Y24="暂停"),"暂停","进行中")</f>
        <v>进行中</v>
      </c>
      <c r="H24" s="33" t="str">
        <f t="shared" si="1"/>
        <v>郑士旺</v>
      </c>
      <c r="I24" s="32">
        <f t="shared" si="2"/>
        <v>46230</v>
      </c>
      <c r="J24" s="32">
        <f t="shared" si="3"/>
        <v>46353</v>
      </c>
      <c r="K24" s="32"/>
      <c r="L24" s="33" t="s">
        <v>65</v>
      </c>
      <c r="M24" s="33" t="s">
        <v>3</v>
      </c>
      <c r="N24" s="32">
        <v>46230</v>
      </c>
      <c r="O24" s="32">
        <v>46241</v>
      </c>
      <c r="P24" s="33" t="s">
        <v>66</v>
      </c>
      <c r="Q24" s="33" t="s">
        <v>4</v>
      </c>
      <c r="R24" s="32">
        <v>46307</v>
      </c>
      <c r="S24" s="32">
        <v>46339</v>
      </c>
      <c r="T24" s="33" t="s">
        <v>67</v>
      </c>
      <c r="U24" s="33" t="s">
        <v>4</v>
      </c>
      <c r="V24" s="32">
        <v>46307</v>
      </c>
      <c r="W24" s="32">
        <v>46339</v>
      </c>
      <c r="X24" s="33" t="s">
        <v>68</v>
      </c>
      <c r="Y24" s="33" t="s">
        <v>5</v>
      </c>
      <c r="Z24" s="32">
        <v>46342</v>
      </c>
      <c r="AA24" s="32">
        <v>46353</v>
      </c>
      <c r="AB24" s="75">
        <f t="shared" si="4"/>
        <v>0.475</v>
      </c>
      <c r="AC24" s="33" t="str">
        <f>IF(G24="已完成","正常",IF(OR(G24="暂停",G24="挂起"),"暂停",IF(J24="","日期缺失",IF(J24&lt;项目驾驶舱!$B$3,"已延期",IF(J24&lt;=项目驾驶舱!$B$3+7,"临近到期","正常")))))</f>
        <v>正常</v>
      </c>
      <c r="AD24" s="33" t="s">
        <v>69</v>
      </c>
      <c r="AE24" s="34" t="s">
        <v>69</v>
      </c>
    </row>
    <row r="25" ht="34" customHeight="1" spans="1:31">
      <c r="A25" s="31" t="s">
        <v>118</v>
      </c>
      <c r="B25" s="33" t="s">
        <v>92</v>
      </c>
      <c r="C25" s="33" t="s">
        <v>111</v>
      </c>
      <c r="D25" s="33" t="s">
        <v>119</v>
      </c>
      <c r="E25" s="33" t="s">
        <v>120</v>
      </c>
      <c r="F25" s="33" t="s">
        <v>26</v>
      </c>
      <c r="G25" s="33" t="str">
        <f>IF(OR(M25="挂起",M25="暂停",Q25="挂起",Q25="暂停",U25="挂起",U25="暂停",Y25="挂起",Y25="暂停"),"暂停","未开始")</f>
        <v>未开始</v>
      </c>
      <c r="H25" s="33" t="str">
        <f t="shared" si="1"/>
        <v>郑士旺</v>
      </c>
      <c r="I25" s="32">
        <f t="shared" si="2"/>
        <v>46230</v>
      </c>
      <c r="J25" s="32">
        <f t="shared" si="3"/>
        <v>46353</v>
      </c>
      <c r="K25" s="32"/>
      <c r="L25" s="33" t="s">
        <v>65</v>
      </c>
      <c r="M25" s="33" t="s">
        <v>5</v>
      </c>
      <c r="N25" s="32">
        <v>46230</v>
      </c>
      <c r="O25" s="32">
        <v>46241</v>
      </c>
      <c r="P25" s="33" t="s">
        <v>66</v>
      </c>
      <c r="Q25" s="33" t="s">
        <v>5</v>
      </c>
      <c r="R25" s="32">
        <v>46307</v>
      </c>
      <c r="S25" s="32">
        <v>46339</v>
      </c>
      <c r="T25" s="33" t="s">
        <v>67</v>
      </c>
      <c r="U25" s="33" t="s">
        <v>5</v>
      </c>
      <c r="V25" s="32">
        <v>46307</v>
      </c>
      <c r="W25" s="32">
        <v>46339</v>
      </c>
      <c r="X25" s="33" t="s">
        <v>68</v>
      </c>
      <c r="Y25" s="33" t="s">
        <v>5</v>
      </c>
      <c r="Z25" s="32">
        <v>46342</v>
      </c>
      <c r="AA25" s="32">
        <v>46353</v>
      </c>
      <c r="AB25" s="75">
        <f t="shared" si="4"/>
        <v>0</v>
      </c>
      <c r="AC25" s="33" t="str">
        <f>IF(G25="已完成","正常",IF(OR(G25="暂停",G25="挂起"),"暂停",IF(J25="","日期缺失",IF(J25&lt;项目驾驶舱!$B$3,"已延期",IF(J25&lt;=项目驾驶舱!$B$3+7,"临近到期","正常")))))</f>
        <v>正常</v>
      </c>
      <c r="AD25" s="33" t="s">
        <v>69</v>
      </c>
      <c r="AE25" s="34" t="s">
        <v>69</v>
      </c>
    </row>
    <row r="26" ht="34" customHeight="1" spans="1:31">
      <c r="A26" s="31" t="s">
        <v>121</v>
      </c>
      <c r="B26" s="33" t="s">
        <v>92</v>
      </c>
      <c r="C26" s="33" t="s">
        <v>111</v>
      </c>
      <c r="D26" s="33" t="s">
        <v>119</v>
      </c>
      <c r="E26" s="33" t="s">
        <v>122</v>
      </c>
      <c r="F26" s="33" t="s">
        <v>26</v>
      </c>
      <c r="G26" s="33" t="str">
        <f>IF(OR(M26="挂起",M26="暂停",Q26="挂起",Q26="暂停",U26="挂起",U26="暂停",Y26="挂起",Y26="暂停"),"暂停","未开始")</f>
        <v>未开始</v>
      </c>
      <c r="H26" s="33" t="str">
        <f t="shared" si="1"/>
        <v>郑士旺</v>
      </c>
      <c r="I26" s="32">
        <f t="shared" si="2"/>
        <v>46230</v>
      </c>
      <c r="J26" s="32">
        <f t="shared" si="3"/>
        <v>46353</v>
      </c>
      <c r="K26" s="32"/>
      <c r="L26" s="33" t="s">
        <v>65</v>
      </c>
      <c r="M26" s="33" t="s">
        <v>5</v>
      </c>
      <c r="N26" s="32">
        <v>46230</v>
      </c>
      <c r="O26" s="32">
        <v>46241</v>
      </c>
      <c r="P26" s="33" t="s">
        <v>66</v>
      </c>
      <c r="Q26" s="33" t="s">
        <v>5</v>
      </c>
      <c r="R26" s="32">
        <v>46307</v>
      </c>
      <c r="S26" s="32">
        <v>46339</v>
      </c>
      <c r="T26" s="33" t="s">
        <v>67</v>
      </c>
      <c r="U26" s="33" t="s">
        <v>5</v>
      </c>
      <c r="V26" s="32">
        <v>46307</v>
      </c>
      <c r="W26" s="32">
        <v>46339</v>
      </c>
      <c r="X26" s="33" t="s">
        <v>68</v>
      </c>
      <c r="Y26" s="33" t="s">
        <v>5</v>
      </c>
      <c r="Z26" s="32">
        <v>46342</v>
      </c>
      <c r="AA26" s="32">
        <v>46353</v>
      </c>
      <c r="AB26" s="75">
        <f t="shared" si="4"/>
        <v>0</v>
      </c>
      <c r="AC26" s="33" t="str">
        <f>IF(G26="已完成","正常",IF(OR(G26="暂停",G26="挂起"),"暂停",IF(J26="","日期缺失",IF(J26&lt;项目驾驶舱!$B$3,"已延期",IF(J26&lt;=项目驾驶舱!$B$3+7,"临近到期","正常")))))</f>
        <v>正常</v>
      </c>
      <c r="AD26" s="33" t="s">
        <v>69</v>
      </c>
      <c r="AE26" s="34" t="s">
        <v>69</v>
      </c>
    </row>
    <row r="27" ht="17" customHeight="1" spans="1:31">
      <c r="A27" s="31" t="s">
        <v>123</v>
      </c>
      <c r="B27" s="33" t="s">
        <v>92</v>
      </c>
      <c r="C27" s="33" t="s">
        <v>111</v>
      </c>
      <c r="D27" s="33" t="s">
        <v>124</v>
      </c>
      <c r="E27" s="33" t="s">
        <v>125</v>
      </c>
      <c r="F27" s="33" t="s">
        <v>26</v>
      </c>
      <c r="G27" s="33" t="str">
        <f>IF(OR(M27="挂起",M27="暂停",Q27="挂起",Q27="暂停",U27="挂起",U27="暂停",Y27="挂起",Y27="暂停"),"暂停","未开始")</f>
        <v>未开始</v>
      </c>
      <c r="H27" s="33" t="str">
        <f t="shared" si="1"/>
        <v>郑士旺</v>
      </c>
      <c r="I27" s="32">
        <f t="shared" si="2"/>
        <v>46230</v>
      </c>
      <c r="J27" s="32">
        <f t="shared" si="3"/>
        <v>46353</v>
      </c>
      <c r="K27" s="32"/>
      <c r="L27" s="33" t="s">
        <v>65</v>
      </c>
      <c r="M27" s="33" t="s">
        <v>5</v>
      </c>
      <c r="N27" s="32">
        <v>46230</v>
      </c>
      <c r="O27" s="32">
        <v>46241</v>
      </c>
      <c r="P27" s="33" t="s">
        <v>66</v>
      </c>
      <c r="Q27" s="33" t="s">
        <v>5</v>
      </c>
      <c r="R27" s="32">
        <v>46307</v>
      </c>
      <c r="S27" s="32">
        <v>46339</v>
      </c>
      <c r="T27" s="33" t="s">
        <v>67</v>
      </c>
      <c r="U27" s="33" t="s">
        <v>5</v>
      </c>
      <c r="V27" s="32">
        <v>46307</v>
      </c>
      <c r="W27" s="32">
        <v>46339</v>
      </c>
      <c r="X27" s="33" t="s">
        <v>68</v>
      </c>
      <c r="Y27" s="33" t="s">
        <v>5</v>
      </c>
      <c r="Z27" s="32">
        <v>46342</v>
      </c>
      <c r="AA27" s="32">
        <v>46353</v>
      </c>
      <c r="AB27" s="75">
        <f t="shared" si="4"/>
        <v>0</v>
      </c>
      <c r="AC27" s="33" t="str">
        <f>IF(G27="已完成","正常",IF(OR(G27="暂停",G27="挂起"),"暂停",IF(J27="","日期缺失",IF(J27&lt;项目驾驶舱!$B$3,"已延期",IF(J27&lt;=项目驾驶舱!$B$3+7,"临近到期","正常")))))</f>
        <v>正常</v>
      </c>
      <c r="AD27" s="33" t="s">
        <v>69</v>
      </c>
      <c r="AE27" s="34" t="s">
        <v>69</v>
      </c>
    </row>
    <row r="28" ht="17" customHeight="1" spans="1:31">
      <c r="A28" s="31" t="s">
        <v>126</v>
      </c>
      <c r="B28" s="33" t="s">
        <v>92</v>
      </c>
      <c r="C28" s="33" t="s">
        <v>111</v>
      </c>
      <c r="D28" s="33" t="s">
        <v>124</v>
      </c>
      <c r="E28" s="33" t="s">
        <v>127</v>
      </c>
      <c r="F28" s="33" t="s">
        <v>26</v>
      </c>
      <c r="G28" s="33" t="str">
        <f>IF(OR(M28="挂起",M28="暂停",Q28="挂起",Q28="暂停",U28="挂起",U28="暂停",Y28="挂起",Y28="暂停"),"暂停","未开始")</f>
        <v>未开始</v>
      </c>
      <c r="H28" s="33" t="str">
        <f t="shared" si="1"/>
        <v>郑士旺</v>
      </c>
      <c r="I28" s="32">
        <f t="shared" si="2"/>
        <v>46230</v>
      </c>
      <c r="J28" s="32">
        <f t="shared" si="3"/>
        <v>46261</v>
      </c>
      <c r="K28" s="32">
        <v>46261</v>
      </c>
      <c r="L28" s="33" t="s">
        <v>65</v>
      </c>
      <c r="M28" s="33" t="s">
        <v>5</v>
      </c>
      <c r="N28" s="32">
        <v>46230</v>
      </c>
      <c r="O28" s="32">
        <v>46241</v>
      </c>
      <c r="P28" s="33" t="s">
        <v>66</v>
      </c>
      <c r="Q28" s="33" t="s">
        <v>5</v>
      </c>
      <c r="R28" s="32">
        <v>46307</v>
      </c>
      <c r="S28" s="32">
        <v>46339</v>
      </c>
      <c r="T28" s="33" t="s">
        <v>67</v>
      </c>
      <c r="U28" s="33" t="s">
        <v>5</v>
      </c>
      <c r="V28" s="32">
        <v>46307</v>
      </c>
      <c r="W28" s="32">
        <v>46339</v>
      </c>
      <c r="X28" s="33" t="s">
        <v>68</v>
      </c>
      <c r="Y28" s="33" t="s">
        <v>5</v>
      </c>
      <c r="Z28" s="32">
        <v>46342</v>
      </c>
      <c r="AA28" s="32">
        <v>46353</v>
      </c>
      <c r="AB28" s="75">
        <f t="shared" si="4"/>
        <v>0</v>
      </c>
      <c r="AC28" s="33" t="str">
        <f>IF(G28="已完成","正常",IF(OR(G28="暂停",G28="挂起"),"暂停",IF(J28="","日期缺失",IF(J28&lt;项目驾驶舱!$B$3,"已延期",IF(J28&lt;=项目驾驶舱!$B$3+7,"临近到期","正常")))))</f>
        <v>已延期</v>
      </c>
      <c r="AD28" s="33" t="s">
        <v>69</v>
      </c>
      <c r="AE28" s="34" t="s">
        <v>69</v>
      </c>
    </row>
    <row r="29" ht="17" customHeight="1" spans="1:31">
      <c r="A29" s="31" t="s">
        <v>128</v>
      </c>
      <c r="B29" s="33" t="s">
        <v>92</v>
      </c>
      <c r="C29" s="33" t="s">
        <v>111</v>
      </c>
      <c r="D29" s="33" t="s">
        <v>129</v>
      </c>
      <c r="E29" s="33" t="s">
        <v>130</v>
      </c>
      <c r="F29" s="33" t="s">
        <v>26</v>
      </c>
      <c r="G29" s="33" t="str">
        <f>IF(OR(M29="挂起",M29="暂停",Q29="挂起",Q29="暂停",U29="挂起",U29="暂停",Y29="挂起",Y29="暂停"),"暂停","进行中")</f>
        <v>进行中</v>
      </c>
      <c r="H29" s="33" t="str">
        <f t="shared" si="1"/>
        <v>郑士旺</v>
      </c>
      <c r="I29" s="32">
        <f t="shared" si="2"/>
        <v>46230</v>
      </c>
      <c r="J29" s="32">
        <f t="shared" si="3"/>
        <v>46261</v>
      </c>
      <c r="K29" s="32">
        <v>46261</v>
      </c>
      <c r="L29" s="33" t="s">
        <v>65</v>
      </c>
      <c r="M29" s="33" t="s">
        <v>3</v>
      </c>
      <c r="N29" s="32">
        <v>46230</v>
      </c>
      <c r="O29" s="32">
        <v>46241</v>
      </c>
      <c r="P29" s="33" t="s">
        <v>66</v>
      </c>
      <c r="Q29" s="33" t="s">
        <v>4</v>
      </c>
      <c r="R29" s="32">
        <v>46307</v>
      </c>
      <c r="S29" s="32">
        <v>46339</v>
      </c>
      <c r="T29" s="33" t="s">
        <v>67</v>
      </c>
      <c r="U29" s="33" t="s">
        <v>4</v>
      </c>
      <c r="V29" s="32">
        <v>46307</v>
      </c>
      <c r="W29" s="32">
        <v>46339</v>
      </c>
      <c r="X29" s="33" t="s">
        <v>68</v>
      </c>
      <c r="Y29" s="33" t="s">
        <v>5</v>
      </c>
      <c r="Z29" s="32">
        <v>46342</v>
      </c>
      <c r="AA29" s="32">
        <v>46353</v>
      </c>
      <c r="AB29" s="75">
        <f t="shared" si="4"/>
        <v>0.475</v>
      </c>
      <c r="AC29" s="33" t="str">
        <f>IF(G29="已完成","正常",IF(OR(G29="暂停",G29="挂起"),"暂停",IF(J29="","日期缺失",IF(J29&lt;项目驾驶舱!$B$3,"已延期",IF(J29&lt;=项目驾驶舱!$B$3+7,"临近到期","正常")))))</f>
        <v>已延期</v>
      </c>
      <c r="AD29" s="33" t="s">
        <v>69</v>
      </c>
      <c r="AE29" s="34" t="s">
        <v>69</v>
      </c>
    </row>
    <row r="30" ht="17" customHeight="1" spans="1:31">
      <c r="A30" s="31" t="s">
        <v>131</v>
      </c>
      <c r="B30" s="33" t="s">
        <v>92</v>
      </c>
      <c r="C30" s="33" t="s">
        <v>111</v>
      </c>
      <c r="D30" s="33" t="s">
        <v>129</v>
      </c>
      <c r="E30" s="33" t="s">
        <v>132</v>
      </c>
      <c r="F30" s="33" t="s">
        <v>26</v>
      </c>
      <c r="G30" s="33" t="str">
        <f>IF(OR(M30="挂起",M30="暂停",Q30="挂起",Q30="暂停",U30="挂起",U30="暂停",Y30="挂起",Y30="暂停"),"暂停","进行中")</f>
        <v>进行中</v>
      </c>
      <c r="H30" s="33" t="str">
        <f t="shared" si="1"/>
        <v>郑士旺</v>
      </c>
      <c r="I30" s="32">
        <f t="shared" si="2"/>
        <v>46230</v>
      </c>
      <c r="J30" s="32">
        <f t="shared" si="3"/>
        <v>46261</v>
      </c>
      <c r="K30" s="32">
        <v>46261</v>
      </c>
      <c r="L30" s="33" t="s">
        <v>65</v>
      </c>
      <c r="M30" s="33" t="s">
        <v>3</v>
      </c>
      <c r="N30" s="32">
        <v>46230</v>
      </c>
      <c r="O30" s="32">
        <v>46241</v>
      </c>
      <c r="P30" s="33" t="s">
        <v>66</v>
      </c>
      <c r="Q30" s="33" t="s">
        <v>4</v>
      </c>
      <c r="R30" s="32">
        <v>46307</v>
      </c>
      <c r="S30" s="32">
        <v>46339</v>
      </c>
      <c r="T30" s="33" t="s">
        <v>67</v>
      </c>
      <c r="U30" s="33" t="s">
        <v>4</v>
      </c>
      <c r="V30" s="32">
        <v>46307</v>
      </c>
      <c r="W30" s="32">
        <v>46339</v>
      </c>
      <c r="X30" s="33" t="s">
        <v>68</v>
      </c>
      <c r="Y30" s="33" t="s">
        <v>5</v>
      </c>
      <c r="Z30" s="32">
        <v>46342</v>
      </c>
      <c r="AA30" s="32">
        <v>46353</v>
      </c>
      <c r="AB30" s="75">
        <f t="shared" si="4"/>
        <v>0.475</v>
      </c>
      <c r="AC30" s="33" t="str">
        <f>IF(G30="已完成","正常",IF(OR(G30="暂停",G30="挂起"),"暂停",IF(J30="","日期缺失",IF(J30&lt;项目驾驶舱!$B$3,"已延期",IF(J30&lt;=项目驾驶舱!$B$3+7,"临近到期","正常")))))</f>
        <v>已延期</v>
      </c>
      <c r="AD30" s="33" t="s">
        <v>69</v>
      </c>
      <c r="AE30" s="34" t="s">
        <v>69</v>
      </c>
    </row>
    <row r="31" ht="17" customHeight="1" spans="1:31">
      <c r="A31" s="31" t="s">
        <v>133</v>
      </c>
      <c r="B31" s="33" t="s">
        <v>92</v>
      </c>
      <c r="C31" s="33" t="s">
        <v>111</v>
      </c>
      <c r="D31" s="33" t="s">
        <v>129</v>
      </c>
      <c r="E31" s="33" t="s">
        <v>134</v>
      </c>
      <c r="F31" s="33" t="s">
        <v>26</v>
      </c>
      <c r="G31" s="33" t="str">
        <f>IF(OR(M31="挂起",M31="暂停",Q31="挂起",Q31="暂停",U31="挂起",U31="暂停",Y31="挂起",Y31="暂停"),"暂停","进行中")</f>
        <v>进行中</v>
      </c>
      <c r="H31" s="33" t="str">
        <f t="shared" si="1"/>
        <v>郑士旺</v>
      </c>
      <c r="I31" s="32">
        <f t="shared" si="2"/>
        <v>46230</v>
      </c>
      <c r="J31" s="32">
        <f t="shared" si="3"/>
        <v>46261</v>
      </c>
      <c r="K31" s="32">
        <v>46261</v>
      </c>
      <c r="L31" s="33" t="s">
        <v>65</v>
      </c>
      <c r="M31" s="33" t="s">
        <v>4</v>
      </c>
      <c r="N31" s="32">
        <v>46230</v>
      </c>
      <c r="O31" s="32">
        <v>46241</v>
      </c>
      <c r="P31" s="33" t="s">
        <v>66</v>
      </c>
      <c r="Q31" s="33" t="s">
        <v>5</v>
      </c>
      <c r="R31" s="32">
        <v>46307</v>
      </c>
      <c r="S31" s="32">
        <v>46339</v>
      </c>
      <c r="T31" s="33" t="s">
        <v>67</v>
      </c>
      <c r="U31" s="33" t="s">
        <v>5</v>
      </c>
      <c r="V31" s="32">
        <v>46307</v>
      </c>
      <c r="W31" s="32">
        <v>46339</v>
      </c>
      <c r="X31" s="33" t="s">
        <v>68</v>
      </c>
      <c r="Y31" s="33" t="s">
        <v>5</v>
      </c>
      <c r="Z31" s="32">
        <v>46342</v>
      </c>
      <c r="AA31" s="32">
        <v>46353</v>
      </c>
      <c r="AB31" s="75">
        <f t="shared" si="4"/>
        <v>0.075</v>
      </c>
      <c r="AC31" s="33" t="str">
        <f>IF(G31="已完成","正常",IF(OR(G31="暂停",G31="挂起"),"暂停",IF(J31="","日期缺失",IF(J31&lt;项目驾驶舱!$B$3,"已延期",IF(J31&lt;=项目驾驶舱!$B$3+7,"临近到期","正常")))))</f>
        <v>已延期</v>
      </c>
      <c r="AD31" s="33" t="s">
        <v>69</v>
      </c>
      <c r="AE31" s="34" t="s">
        <v>69</v>
      </c>
    </row>
    <row r="32" ht="17" customHeight="1" spans="1:31">
      <c r="A32" s="31" t="s">
        <v>135</v>
      </c>
      <c r="B32" s="33" t="s">
        <v>92</v>
      </c>
      <c r="C32" s="33" t="s">
        <v>111</v>
      </c>
      <c r="D32" s="33" t="s">
        <v>129</v>
      </c>
      <c r="E32" s="33" t="s">
        <v>136</v>
      </c>
      <c r="F32" s="33" t="s">
        <v>26</v>
      </c>
      <c r="G32" s="33" t="str">
        <f>IF(OR(M32="挂起",M32="暂停",Q32="挂起",Q32="暂停",U32="挂起",U32="暂停",Y32="挂起",Y32="暂停"),"暂停","进行中")</f>
        <v>进行中</v>
      </c>
      <c r="H32" s="33" t="str">
        <f t="shared" si="1"/>
        <v>郑士旺</v>
      </c>
      <c r="I32" s="32">
        <f t="shared" si="2"/>
        <v>46230</v>
      </c>
      <c r="J32" s="32">
        <f t="shared" si="3"/>
        <v>46261</v>
      </c>
      <c r="K32" s="32">
        <v>46261</v>
      </c>
      <c r="L32" s="33" t="s">
        <v>65</v>
      </c>
      <c r="M32" s="33" t="s">
        <v>4</v>
      </c>
      <c r="N32" s="32">
        <v>46230</v>
      </c>
      <c r="O32" s="32">
        <v>46241</v>
      </c>
      <c r="P32" s="33" t="s">
        <v>66</v>
      </c>
      <c r="Q32" s="33" t="s">
        <v>5</v>
      </c>
      <c r="R32" s="32">
        <v>46307</v>
      </c>
      <c r="S32" s="32">
        <v>46339</v>
      </c>
      <c r="T32" s="33" t="s">
        <v>67</v>
      </c>
      <c r="U32" s="33" t="s">
        <v>5</v>
      </c>
      <c r="V32" s="32">
        <v>46307</v>
      </c>
      <c r="W32" s="32">
        <v>46339</v>
      </c>
      <c r="X32" s="33" t="s">
        <v>68</v>
      </c>
      <c r="Y32" s="33" t="s">
        <v>5</v>
      </c>
      <c r="Z32" s="32">
        <v>46342</v>
      </c>
      <c r="AA32" s="32">
        <v>46353</v>
      </c>
      <c r="AB32" s="75">
        <f t="shared" si="4"/>
        <v>0.075</v>
      </c>
      <c r="AC32" s="33" t="str">
        <f>IF(G32="已完成","正常",IF(OR(G32="暂停",G32="挂起"),"暂停",IF(J32="","日期缺失",IF(J32&lt;项目驾驶舱!$B$3,"已延期",IF(J32&lt;=项目驾驶舱!$B$3+7,"临近到期","正常")))))</f>
        <v>已延期</v>
      </c>
      <c r="AD32" s="33" t="s">
        <v>69</v>
      </c>
      <c r="AE32" s="34" t="s">
        <v>69</v>
      </c>
    </row>
    <row r="33" ht="17" customHeight="1" spans="1:31">
      <c r="A33" s="31" t="s">
        <v>137</v>
      </c>
      <c r="B33" s="33" t="s">
        <v>92</v>
      </c>
      <c r="C33" s="33" t="s">
        <v>111</v>
      </c>
      <c r="D33" s="33" t="s">
        <v>129</v>
      </c>
      <c r="E33" s="33" t="s">
        <v>138</v>
      </c>
      <c r="F33" s="33" t="s">
        <v>26</v>
      </c>
      <c r="G33" s="33" t="str">
        <f>IF(OR(M33="挂起",M33="暂停",Q33="挂起",Q33="暂停",U33="挂起",U33="暂停",Y33="挂起",Y33="暂停"),"暂停","进行中")</f>
        <v>进行中</v>
      </c>
      <c r="H33" s="33" t="str">
        <f t="shared" si="1"/>
        <v>郑士旺</v>
      </c>
      <c r="I33" s="32">
        <f t="shared" si="2"/>
        <v>46230</v>
      </c>
      <c r="J33" s="32">
        <f t="shared" si="3"/>
        <v>46261</v>
      </c>
      <c r="K33" s="32">
        <v>46261</v>
      </c>
      <c r="L33" s="33" t="s">
        <v>65</v>
      </c>
      <c r="M33" s="33" t="s">
        <v>3</v>
      </c>
      <c r="N33" s="32">
        <v>46230</v>
      </c>
      <c r="O33" s="32">
        <v>46241</v>
      </c>
      <c r="P33" s="33" t="s">
        <v>66</v>
      </c>
      <c r="Q33" s="33" t="s">
        <v>4</v>
      </c>
      <c r="R33" s="32">
        <v>46307</v>
      </c>
      <c r="S33" s="32">
        <v>46339</v>
      </c>
      <c r="T33" s="33" t="s">
        <v>67</v>
      </c>
      <c r="U33" s="33" t="s">
        <v>4</v>
      </c>
      <c r="V33" s="32">
        <v>46307</v>
      </c>
      <c r="W33" s="32">
        <v>46339</v>
      </c>
      <c r="X33" s="33" t="s">
        <v>68</v>
      </c>
      <c r="Y33" s="33" t="s">
        <v>5</v>
      </c>
      <c r="Z33" s="32">
        <v>46342</v>
      </c>
      <c r="AA33" s="32">
        <v>46353</v>
      </c>
      <c r="AB33" s="75">
        <f t="shared" si="4"/>
        <v>0.475</v>
      </c>
      <c r="AC33" s="33" t="str">
        <f>IF(G33="已完成","正常",IF(OR(G33="暂停",G33="挂起"),"暂停",IF(J33="","日期缺失",IF(J33&lt;项目驾驶舱!$B$3,"已延期",IF(J33&lt;=项目驾驶舱!$B$3+7,"临近到期","正常")))))</f>
        <v>已延期</v>
      </c>
      <c r="AD33" s="33" t="s">
        <v>69</v>
      </c>
      <c r="AE33" s="34" t="s">
        <v>69</v>
      </c>
    </row>
    <row r="34" ht="17" customHeight="1" spans="1:31">
      <c r="A34" s="31" t="s">
        <v>139</v>
      </c>
      <c r="B34" s="33" t="s">
        <v>92</v>
      </c>
      <c r="C34" s="33" t="s">
        <v>111</v>
      </c>
      <c r="D34" s="33" t="s">
        <v>140</v>
      </c>
      <c r="E34" s="33" t="s">
        <v>141</v>
      </c>
      <c r="F34" s="33" t="s">
        <v>26</v>
      </c>
      <c r="G34" s="33" t="str">
        <f>IF(OR(M34="挂起",M34="暂停",Q34="挂起",Q34="暂停",U34="挂起",U34="暂停",Y34="挂起",Y34="暂停"),"暂停","未开始")</f>
        <v>未开始</v>
      </c>
      <c r="H34" s="33" t="str">
        <f t="shared" si="1"/>
        <v>郑士旺</v>
      </c>
      <c r="I34" s="32">
        <f t="shared" si="2"/>
        <v>46230</v>
      </c>
      <c r="J34" s="32">
        <f t="shared" si="3"/>
        <v>46353</v>
      </c>
      <c r="K34" s="32"/>
      <c r="L34" s="33" t="s">
        <v>65</v>
      </c>
      <c r="M34" s="33" t="s">
        <v>5</v>
      </c>
      <c r="N34" s="32">
        <v>46230</v>
      </c>
      <c r="O34" s="32">
        <v>46241</v>
      </c>
      <c r="P34" s="33" t="s">
        <v>66</v>
      </c>
      <c r="Q34" s="33" t="s">
        <v>5</v>
      </c>
      <c r="R34" s="32">
        <v>46307</v>
      </c>
      <c r="S34" s="32">
        <v>46339</v>
      </c>
      <c r="T34" s="33" t="s">
        <v>67</v>
      </c>
      <c r="U34" s="33" t="s">
        <v>5</v>
      </c>
      <c r="V34" s="32">
        <v>46307</v>
      </c>
      <c r="W34" s="32">
        <v>46339</v>
      </c>
      <c r="X34" s="33" t="s">
        <v>68</v>
      </c>
      <c r="Y34" s="33" t="s">
        <v>5</v>
      </c>
      <c r="Z34" s="32">
        <v>46342</v>
      </c>
      <c r="AA34" s="32">
        <v>46353</v>
      </c>
      <c r="AB34" s="75">
        <f t="shared" si="4"/>
        <v>0</v>
      </c>
      <c r="AC34" s="33" t="str">
        <f>IF(G34="已完成","正常",IF(OR(G34="暂停",G34="挂起"),"暂停",IF(J34="","日期缺失",IF(J34&lt;项目驾驶舱!$B$3,"已延期",IF(J34&lt;=项目驾驶舱!$B$3+7,"临近到期","正常")))))</f>
        <v>正常</v>
      </c>
      <c r="AD34" s="33" t="s">
        <v>69</v>
      </c>
      <c r="AE34" s="34" t="s">
        <v>69</v>
      </c>
    </row>
    <row r="35" ht="17" customHeight="1" spans="1:31">
      <c r="A35" s="31" t="s">
        <v>142</v>
      </c>
      <c r="B35" s="33" t="s">
        <v>92</v>
      </c>
      <c r="C35" s="33" t="s">
        <v>111</v>
      </c>
      <c r="D35" s="33" t="s">
        <v>140</v>
      </c>
      <c r="E35" s="33" t="s">
        <v>143</v>
      </c>
      <c r="F35" s="33" t="s">
        <v>26</v>
      </c>
      <c r="G35" s="33" t="str">
        <f>IF(OR(M35="挂起",M35="暂停",Q35="挂起",Q35="暂停",U35="挂起",U35="暂停",Y35="挂起",Y35="暂停"),"暂停","未开始")</f>
        <v>未开始</v>
      </c>
      <c r="H35" s="33" t="str">
        <f t="shared" si="1"/>
        <v>郑士旺</v>
      </c>
      <c r="I35" s="32">
        <f t="shared" si="2"/>
        <v>46230</v>
      </c>
      <c r="J35" s="32">
        <f t="shared" si="3"/>
        <v>46353</v>
      </c>
      <c r="K35" s="32"/>
      <c r="L35" s="33" t="s">
        <v>65</v>
      </c>
      <c r="M35" s="33" t="s">
        <v>5</v>
      </c>
      <c r="N35" s="32">
        <v>46230</v>
      </c>
      <c r="O35" s="32">
        <v>46241</v>
      </c>
      <c r="P35" s="33" t="s">
        <v>66</v>
      </c>
      <c r="Q35" s="33" t="s">
        <v>5</v>
      </c>
      <c r="R35" s="32">
        <v>46307</v>
      </c>
      <c r="S35" s="32">
        <v>46339</v>
      </c>
      <c r="T35" s="33" t="s">
        <v>67</v>
      </c>
      <c r="U35" s="33" t="s">
        <v>5</v>
      </c>
      <c r="V35" s="32">
        <v>46307</v>
      </c>
      <c r="W35" s="32">
        <v>46339</v>
      </c>
      <c r="X35" s="33" t="s">
        <v>68</v>
      </c>
      <c r="Y35" s="33" t="s">
        <v>5</v>
      </c>
      <c r="Z35" s="32">
        <v>46342</v>
      </c>
      <c r="AA35" s="32">
        <v>46353</v>
      </c>
      <c r="AB35" s="75">
        <f t="shared" si="4"/>
        <v>0</v>
      </c>
      <c r="AC35" s="33" t="str">
        <f>IF(G35="已完成","正常",IF(OR(G35="暂停",G35="挂起"),"暂停",IF(J35="","日期缺失",IF(J35&lt;项目驾驶舱!$B$3,"已延期",IF(J35&lt;=项目驾驶舱!$B$3+7,"临近到期","正常")))))</f>
        <v>正常</v>
      </c>
      <c r="AD35" s="33" t="s">
        <v>69</v>
      </c>
      <c r="AE35" s="34" t="s">
        <v>69</v>
      </c>
    </row>
    <row r="36" ht="17" customHeight="1" spans="1:31">
      <c r="A36" s="31" t="s">
        <v>144</v>
      </c>
      <c r="B36" s="33" t="s">
        <v>92</v>
      </c>
      <c r="C36" s="33" t="s">
        <v>111</v>
      </c>
      <c r="D36" s="33" t="s">
        <v>140</v>
      </c>
      <c r="E36" s="33" t="s">
        <v>145</v>
      </c>
      <c r="F36" s="33" t="s">
        <v>26</v>
      </c>
      <c r="G36" s="33" t="str">
        <f>IF(OR(M36="挂起",M36="暂停",Q36="挂起",Q36="暂停",U36="挂起",U36="暂停",Y36="挂起",Y36="暂停"),"暂停","未开始")</f>
        <v>未开始</v>
      </c>
      <c r="H36" s="33" t="str">
        <f t="shared" si="1"/>
        <v>郑士旺</v>
      </c>
      <c r="I36" s="32">
        <f t="shared" si="2"/>
        <v>46230</v>
      </c>
      <c r="J36" s="32">
        <f t="shared" si="3"/>
        <v>46353</v>
      </c>
      <c r="K36" s="32"/>
      <c r="L36" s="33" t="s">
        <v>65</v>
      </c>
      <c r="M36" s="33" t="s">
        <v>5</v>
      </c>
      <c r="N36" s="32">
        <v>46230</v>
      </c>
      <c r="O36" s="32">
        <v>46241</v>
      </c>
      <c r="P36" s="33" t="s">
        <v>66</v>
      </c>
      <c r="Q36" s="33" t="s">
        <v>5</v>
      </c>
      <c r="R36" s="32">
        <v>46307</v>
      </c>
      <c r="S36" s="32">
        <v>46339</v>
      </c>
      <c r="T36" s="33" t="s">
        <v>67</v>
      </c>
      <c r="U36" s="33" t="s">
        <v>5</v>
      </c>
      <c r="V36" s="32">
        <v>46307</v>
      </c>
      <c r="W36" s="32">
        <v>46339</v>
      </c>
      <c r="X36" s="33" t="s">
        <v>68</v>
      </c>
      <c r="Y36" s="33" t="s">
        <v>5</v>
      </c>
      <c r="Z36" s="32">
        <v>46342</v>
      </c>
      <c r="AA36" s="32">
        <v>46353</v>
      </c>
      <c r="AB36" s="75">
        <f t="shared" si="4"/>
        <v>0</v>
      </c>
      <c r="AC36" s="33" t="str">
        <f>IF(G36="已完成","正常",IF(OR(G36="暂停",G36="挂起"),"暂停",IF(J36="","日期缺失",IF(J36&lt;项目驾驶舱!$B$3,"已延期",IF(J36&lt;=项目驾驶舱!$B$3+7,"临近到期","正常")))))</f>
        <v>正常</v>
      </c>
      <c r="AD36" s="33" t="s">
        <v>69</v>
      </c>
      <c r="AE36" s="34" t="s">
        <v>69</v>
      </c>
    </row>
    <row r="37" ht="17" customHeight="1" spans="1:31">
      <c r="A37" s="31" t="s">
        <v>146</v>
      </c>
      <c r="B37" s="33" t="s">
        <v>92</v>
      </c>
      <c r="C37" s="33" t="s">
        <v>111</v>
      </c>
      <c r="D37" s="33" t="s">
        <v>147</v>
      </c>
      <c r="E37" s="33" t="s">
        <v>148</v>
      </c>
      <c r="F37" s="33" t="s">
        <v>26</v>
      </c>
      <c r="G37" s="33" t="str">
        <f>IF(OR(M37="挂起",M37="暂停",Q37="挂起",Q37="暂停",U37="挂起",U37="暂停",Y37="挂起",Y37="暂停"),"暂停","进行中")</f>
        <v>进行中</v>
      </c>
      <c r="H37" s="33" t="str">
        <f t="shared" si="1"/>
        <v>郑士旺</v>
      </c>
      <c r="I37" s="32">
        <f t="shared" si="2"/>
        <v>46230</v>
      </c>
      <c r="J37" s="32">
        <f t="shared" si="3"/>
        <v>46353</v>
      </c>
      <c r="K37" s="32"/>
      <c r="L37" s="33" t="s">
        <v>65</v>
      </c>
      <c r="M37" s="33" t="s">
        <v>3</v>
      </c>
      <c r="N37" s="32">
        <v>46230</v>
      </c>
      <c r="O37" s="32">
        <v>46241</v>
      </c>
      <c r="P37" s="33" t="s">
        <v>66</v>
      </c>
      <c r="Q37" s="33" t="s">
        <v>4</v>
      </c>
      <c r="R37" s="32">
        <v>46307</v>
      </c>
      <c r="S37" s="32">
        <v>46339</v>
      </c>
      <c r="T37" s="33" t="s">
        <v>67</v>
      </c>
      <c r="U37" s="33" t="s">
        <v>4</v>
      </c>
      <c r="V37" s="32">
        <v>46307</v>
      </c>
      <c r="W37" s="32">
        <v>46339</v>
      </c>
      <c r="X37" s="33" t="s">
        <v>68</v>
      </c>
      <c r="Y37" s="33" t="s">
        <v>5</v>
      </c>
      <c r="Z37" s="32">
        <v>46342</v>
      </c>
      <c r="AA37" s="32">
        <v>46353</v>
      </c>
      <c r="AB37" s="75">
        <f t="shared" si="4"/>
        <v>0.475</v>
      </c>
      <c r="AC37" s="33" t="str">
        <f>IF(G37="已完成","正常",IF(OR(G37="暂停",G37="挂起"),"暂停",IF(J37="","日期缺失",IF(J37&lt;项目驾驶舱!$B$3,"已延期",IF(J37&lt;=项目驾驶舱!$B$3+7,"临近到期","正常")))))</f>
        <v>正常</v>
      </c>
      <c r="AD37" s="33" t="s">
        <v>69</v>
      </c>
      <c r="AE37" s="34" t="s">
        <v>69</v>
      </c>
    </row>
    <row r="38" ht="17" customHeight="1" spans="1:31">
      <c r="A38" s="31" t="s">
        <v>149</v>
      </c>
      <c r="B38" s="33" t="s">
        <v>92</v>
      </c>
      <c r="C38" s="33" t="s">
        <v>111</v>
      </c>
      <c r="D38" s="33" t="s">
        <v>147</v>
      </c>
      <c r="E38" s="33" t="s">
        <v>150</v>
      </c>
      <c r="F38" s="33" t="s">
        <v>26</v>
      </c>
      <c r="G38" s="33" t="str">
        <f>IF(OR(M38="挂起",M38="暂停",Q38="挂起",Q38="暂停",U38="挂起",U38="暂停",Y38="挂起",Y38="暂停"),"暂停","进行中")</f>
        <v>进行中</v>
      </c>
      <c r="H38" s="33" t="str">
        <f t="shared" si="1"/>
        <v>郑士旺</v>
      </c>
      <c r="I38" s="32">
        <f t="shared" si="2"/>
        <v>46230</v>
      </c>
      <c r="J38" s="32">
        <f t="shared" si="3"/>
        <v>46353</v>
      </c>
      <c r="K38" s="32"/>
      <c r="L38" s="33" t="s">
        <v>65</v>
      </c>
      <c r="M38" s="33" t="s">
        <v>3</v>
      </c>
      <c r="N38" s="32">
        <v>46230</v>
      </c>
      <c r="O38" s="32">
        <v>46241</v>
      </c>
      <c r="P38" s="33" t="s">
        <v>66</v>
      </c>
      <c r="Q38" s="33" t="s">
        <v>4</v>
      </c>
      <c r="R38" s="32">
        <v>46307</v>
      </c>
      <c r="S38" s="32">
        <v>46339</v>
      </c>
      <c r="T38" s="33" t="s">
        <v>67</v>
      </c>
      <c r="U38" s="33" t="s">
        <v>4</v>
      </c>
      <c r="V38" s="32">
        <v>46307</v>
      </c>
      <c r="W38" s="32">
        <v>46339</v>
      </c>
      <c r="X38" s="33" t="s">
        <v>68</v>
      </c>
      <c r="Y38" s="33" t="s">
        <v>5</v>
      </c>
      <c r="Z38" s="32">
        <v>46342</v>
      </c>
      <c r="AA38" s="32">
        <v>46353</v>
      </c>
      <c r="AB38" s="75">
        <f t="shared" si="4"/>
        <v>0.475</v>
      </c>
      <c r="AC38" s="33" t="str">
        <f>IF(G38="已完成","正常",IF(OR(G38="暂停",G38="挂起"),"暂停",IF(J38="","日期缺失",IF(J38&lt;项目驾驶舱!$B$3,"已延期",IF(J38&lt;=项目驾驶舱!$B$3+7,"临近到期","正常")))))</f>
        <v>正常</v>
      </c>
      <c r="AD38" s="33" t="s">
        <v>69</v>
      </c>
      <c r="AE38" s="34" t="s">
        <v>69</v>
      </c>
    </row>
    <row r="39" ht="17" customHeight="1" spans="1:31">
      <c r="A39" s="31" t="s">
        <v>151</v>
      </c>
      <c r="B39" s="33" t="s">
        <v>92</v>
      </c>
      <c r="C39" s="33" t="s">
        <v>111</v>
      </c>
      <c r="D39" s="33" t="s">
        <v>147</v>
      </c>
      <c r="E39" s="33" t="s">
        <v>152</v>
      </c>
      <c r="F39" s="33" t="s">
        <v>26</v>
      </c>
      <c r="G39" s="33" t="str">
        <f>IF(OR(M39="挂起",M39="暂停",Q39="挂起",Q39="暂停",U39="挂起",U39="暂停",Y39="挂起",Y39="暂停"),"暂停","进行中")</f>
        <v>进行中</v>
      </c>
      <c r="H39" s="33" t="str">
        <f t="shared" si="1"/>
        <v>郑士旺</v>
      </c>
      <c r="I39" s="32">
        <f t="shared" si="2"/>
        <v>46230</v>
      </c>
      <c r="J39" s="32">
        <f t="shared" si="3"/>
        <v>46353</v>
      </c>
      <c r="K39" s="32"/>
      <c r="L39" s="33" t="s">
        <v>65</v>
      </c>
      <c r="M39" s="33" t="s">
        <v>3</v>
      </c>
      <c r="N39" s="32">
        <v>46230</v>
      </c>
      <c r="O39" s="32">
        <v>46241</v>
      </c>
      <c r="P39" s="33" t="s">
        <v>66</v>
      </c>
      <c r="Q39" s="33" t="s">
        <v>4</v>
      </c>
      <c r="R39" s="32">
        <v>46307</v>
      </c>
      <c r="S39" s="32">
        <v>46339</v>
      </c>
      <c r="T39" s="33" t="s">
        <v>67</v>
      </c>
      <c r="U39" s="33" t="s">
        <v>4</v>
      </c>
      <c r="V39" s="32">
        <v>46307</v>
      </c>
      <c r="W39" s="32">
        <v>46339</v>
      </c>
      <c r="X39" s="33" t="s">
        <v>68</v>
      </c>
      <c r="Y39" s="33" t="s">
        <v>5</v>
      </c>
      <c r="Z39" s="32">
        <v>46342</v>
      </c>
      <c r="AA39" s="32">
        <v>46353</v>
      </c>
      <c r="AB39" s="75">
        <f t="shared" si="4"/>
        <v>0.475</v>
      </c>
      <c r="AC39" s="33" t="str">
        <f>IF(G39="已完成","正常",IF(OR(G39="暂停",G39="挂起"),"暂停",IF(J39="","日期缺失",IF(J39&lt;项目驾驶舱!$B$3,"已延期",IF(J39&lt;=项目驾驶舱!$B$3+7,"临近到期","正常")))))</f>
        <v>正常</v>
      </c>
      <c r="AD39" s="33" t="s">
        <v>69</v>
      </c>
      <c r="AE39" s="34" t="s">
        <v>69</v>
      </c>
    </row>
    <row r="40" ht="17" customHeight="1" spans="1:31">
      <c r="A40" s="31" t="s">
        <v>153</v>
      </c>
      <c r="B40" s="33" t="s">
        <v>92</v>
      </c>
      <c r="C40" s="33" t="s">
        <v>154</v>
      </c>
      <c r="D40" s="33" t="s">
        <v>155</v>
      </c>
      <c r="E40" s="33" t="s">
        <v>64</v>
      </c>
      <c r="F40" s="33" t="s">
        <v>25</v>
      </c>
      <c r="G40" s="33" t="str">
        <f t="shared" ref="G40:G49" si="6">IF(OR(M40="挂起",M40="暂停",Q40="挂起",Q40="暂停",U40="挂起",U40="暂停",Y40="挂起",Y40="暂停"),"暂停","已完成")</f>
        <v>已完成</v>
      </c>
      <c r="H40" s="33" t="str">
        <f t="shared" si="1"/>
        <v>郑士旺</v>
      </c>
      <c r="I40" s="32">
        <f t="shared" si="2"/>
        <v>46209</v>
      </c>
      <c r="J40" s="32">
        <f t="shared" si="3"/>
        <v>46261</v>
      </c>
      <c r="K40" s="32">
        <v>46261</v>
      </c>
      <c r="L40" s="33" t="s">
        <v>65</v>
      </c>
      <c r="M40" s="33" t="s">
        <v>3</v>
      </c>
      <c r="N40" s="32">
        <v>46209</v>
      </c>
      <c r="O40" s="32">
        <v>46213</v>
      </c>
      <c r="P40" s="33" t="s">
        <v>66</v>
      </c>
      <c r="Q40" s="33" t="s">
        <v>3</v>
      </c>
      <c r="R40" s="32">
        <v>46230</v>
      </c>
      <c r="S40" s="32">
        <v>46262</v>
      </c>
      <c r="T40" s="33" t="s">
        <v>67</v>
      </c>
      <c r="U40" s="33" t="s">
        <v>3</v>
      </c>
      <c r="V40" s="32">
        <v>46230</v>
      </c>
      <c r="W40" s="32">
        <v>46262</v>
      </c>
      <c r="X40" s="33" t="s">
        <v>68</v>
      </c>
      <c r="Y40" s="33" t="s">
        <v>3</v>
      </c>
      <c r="Z40" s="32">
        <v>46253</v>
      </c>
      <c r="AA40" s="32">
        <v>46269</v>
      </c>
      <c r="AB40" s="75">
        <f t="shared" si="4"/>
        <v>1</v>
      </c>
      <c r="AC40" s="33" t="str">
        <f>IF(G40="已完成","正常",IF(OR(G40="暂停",G40="挂起"),"暂停",IF(J40="","日期缺失",IF(J40&lt;项目驾驶舱!$B$3,"已延期",IF(J40&lt;=项目驾驶舱!$B$3+7,"临近到期","正常")))))</f>
        <v>正常</v>
      </c>
      <c r="AD40" s="33" t="s">
        <v>69</v>
      </c>
      <c r="AE40" s="34" t="s">
        <v>69</v>
      </c>
    </row>
    <row r="41" ht="17" customHeight="1" spans="1:31">
      <c r="A41" s="31" t="s">
        <v>156</v>
      </c>
      <c r="B41" s="33" t="s">
        <v>92</v>
      </c>
      <c r="C41" s="33" t="s">
        <v>154</v>
      </c>
      <c r="D41" s="33" t="s">
        <v>157</v>
      </c>
      <c r="E41" s="33" t="s">
        <v>64</v>
      </c>
      <c r="F41" s="33" t="s">
        <v>25</v>
      </c>
      <c r="G41" s="33" t="str">
        <f t="shared" si="6"/>
        <v>已完成</v>
      </c>
      <c r="H41" s="33" t="str">
        <f t="shared" si="1"/>
        <v>郑士旺</v>
      </c>
      <c r="I41" s="32">
        <f t="shared" si="2"/>
        <v>46209</v>
      </c>
      <c r="J41" s="32">
        <f t="shared" si="3"/>
        <v>46261</v>
      </c>
      <c r="K41" s="32">
        <v>46261</v>
      </c>
      <c r="L41" s="33" t="s">
        <v>65</v>
      </c>
      <c r="M41" s="33" t="s">
        <v>3</v>
      </c>
      <c r="N41" s="32">
        <v>46209</v>
      </c>
      <c r="O41" s="32">
        <v>46213</v>
      </c>
      <c r="P41" s="33" t="s">
        <v>66</v>
      </c>
      <c r="Q41" s="33" t="s">
        <v>3</v>
      </c>
      <c r="R41" s="32">
        <v>46230</v>
      </c>
      <c r="S41" s="32">
        <v>46262</v>
      </c>
      <c r="T41" s="33" t="s">
        <v>67</v>
      </c>
      <c r="U41" s="33" t="s">
        <v>3</v>
      </c>
      <c r="V41" s="32">
        <v>46230</v>
      </c>
      <c r="W41" s="32">
        <v>46262</v>
      </c>
      <c r="X41" s="33" t="s">
        <v>68</v>
      </c>
      <c r="Y41" s="33" t="s">
        <v>3</v>
      </c>
      <c r="Z41" s="32">
        <v>46253</v>
      </c>
      <c r="AA41" s="32">
        <v>46269</v>
      </c>
      <c r="AB41" s="75">
        <f t="shared" si="4"/>
        <v>1</v>
      </c>
      <c r="AC41" s="33" t="str">
        <f>IF(G41="已完成","正常",IF(OR(G41="暂停",G41="挂起"),"暂停",IF(J41="","日期缺失",IF(J41&lt;项目驾驶舱!$B$3,"已延期",IF(J41&lt;=项目驾驶舱!$B$3+7,"临近到期","正常")))))</f>
        <v>正常</v>
      </c>
      <c r="AD41" s="33" t="s">
        <v>69</v>
      </c>
      <c r="AE41" s="34" t="s">
        <v>69</v>
      </c>
    </row>
    <row r="42" ht="34" customHeight="1" spans="1:31">
      <c r="A42" s="31" t="s">
        <v>158</v>
      </c>
      <c r="B42" s="33" t="s">
        <v>92</v>
      </c>
      <c r="C42" s="33" t="s">
        <v>154</v>
      </c>
      <c r="D42" s="33" t="s">
        <v>159</v>
      </c>
      <c r="E42" s="33" t="s">
        <v>64</v>
      </c>
      <c r="F42" s="33" t="s">
        <v>25</v>
      </c>
      <c r="G42" s="33" t="str">
        <f t="shared" si="6"/>
        <v>已完成</v>
      </c>
      <c r="H42" s="33" t="str">
        <f t="shared" si="1"/>
        <v>郑士旺</v>
      </c>
      <c r="I42" s="32">
        <f t="shared" si="2"/>
        <v>46209</v>
      </c>
      <c r="J42" s="32">
        <f t="shared" si="3"/>
        <v>46261</v>
      </c>
      <c r="K42" s="32">
        <v>46261</v>
      </c>
      <c r="L42" s="33" t="s">
        <v>65</v>
      </c>
      <c r="M42" s="33" t="s">
        <v>3</v>
      </c>
      <c r="N42" s="32">
        <v>46209</v>
      </c>
      <c r="O42" s="32">
        <v>46213</v>
      </c>
      <c r="P42" s="33" t="s">
        <v>66</v>
      </c>
      <c r="Q42" s="33" t="s">
        <v>3</v>
      </c>
      <c r="R42" s="32">
        <v>46230</v>
      </c>
      <c r="S42" s="32">
        <v>46262</v>
      </c>
      <c r="T42" s="33" t="s">
        <v>67</v>
      </c>
      <c r="U42" s="33" t="s">
        <v>3</v>
      </c>
      <c r="V42" s="32">
        <v>46230</v>
      </c>
      <c r="W42" s="32">
        <v>46262</v>
      </c>
      <c r="X42" s="33" t="s">
        <v>68</v>
      </c>
      <c r="Y42" s="33" t="s">
        <v>3</v>
      </c>
      <c r="Z42" s="32">
        <v>46253</v>
      </c>
      <c r="AA42" s="32">
        <v>46269</v>
      </c>
      <c r="AB42" s="75">
        <f t="shared" si="4"/>
        <v>1</v>
      </c>
      <c r="AC42" s="33" t="str">
        <f>IF(G42="已完成","正常",IF(OR(G42="暂停",G42="挂起"),"暂停",IF(J42="","日期缺失",IF(J42&lt;项目驾驶舱!$B$3,"已延期",IF(J42&lt;=项目驾驶舱!$B$3+7,"临近到期","正常")))))</f>
        <v>正常</v>
      </c>
      <c r="AD42" s="33" t="s">
        <v>69</v>
      </c>
      <c r="AE42" s="34" t="s">
        <v>69</v>
      </c>
    </row>
    <row r="43" ht="17" customHeight="1" spans="1:31">
      <c r="A43" s="31" t="s">
        <v>160</v>
      </c>
      <c r="B43" s="33" t="s">
        <v>92</v>
      </c>
      <c r="C43" s="33" t="s">
        <v>161</v>
      </c>
      <c r="D43" s="33" t="s">
        <v>162</v>
      </c>
      <c r="E43" s="33" t="s">
        <v>64</v>
      </c>
      <c r="F43" s="33" t="s">
        <v>25</v>
      </c>
      <c r="G43" s="33" t="str">
        <f t="shared" si="6"/>
        <v>已完成</v>
      </c>
      <c r="H43" s="33" t="str">
        <f t="shared" si="1"/>
        <v>郑士旺</v>
      </c>
      <c r="I43" s="32">
        <f t="shared" si="2"/>
        <v>46209</v>
      </c>
      <c r="J43" s="32">
        <f t="shared" si="3"/>
        <v>46261</v>
      </c>
      <c r="K43" s="32">
        <v>46261</v>
      </c>
      <c r="L43" s="33" t="s">
        <v>65</v>
      </c>
      <c r="M43" s="33" t="s">
        <v>3</v>
      </c>
      <c r="N43" s="32">
        <v>46209</v>
      </c>
      <c r="O43" s="32">
        <v>46213</v>
      </c>
      <c r="P43" s="33" t="s">
        <v>66</v>
      </c>
      <c r="Q43" s="33" t="s">
        <v>3</v>
      </c>
      <c r="R43" s="32">
        <v>46230</v>
      </c>
      <c r="S43" s="32">
        <v>46262</v>
      </c>
      <c r="T43" s="33" t="s">
        <v>67</v>
      </c>
      <c r="U43" s="33" t="s">
        <v>3</v>
      </c>
      <c r="V43" s="32">
        <v>46230</v>
      </c>
      <c r="W43" s="32">
        <v>46262</v>
      </c>
      <c r="X43" s="33" t="s">
        <v>68</v>
      </c>
      <c r="Y43" s="33" t="s">
        <v>3</v>
      </c>
      <c r="Z43" s="32">
        <v>46253</v>
      </c>
      <c r="AA43" s="32">
        <v>46269</v>
      </c>
      <c r="AB43" s="75">
        <f t="shared" si="4"/>
        <v>1</v>
      </c>
      <c r="AC43" s="33" t="str">
        <f>IF(G43="已完成","正常",IF(OR(G43="暂停",G43="挂起"),"暂停",IF(J43="","日期缺失",IF(J43&lt;项目驾驶舱!$B$3,"已延期",IF(J43&lt;=项目驾驶舱!$B$3+7,"临近到期","正常")))))</f>
        <v>正常</v>
      </c>
      <c r="AD43" s="33" t="s">
        <v>69</v>
      </c>
      <c r="AE43" s="34" t="s">
        <v>69</v>
      </c>
    </row>
    <row r="44" ht="17" customHeight="1" spans="1:31">
      <c r="A44" s="31" t="s">
        <v>163</v>
      </c>
      <c r="B44" s="33" t="s">
        <v>92</v>
      </c>
      <c r="C44" s="33" t="s">
        <v>161</v>
      </c>
      <c r="D44" s="33" t="s">
        <v>164</v>
      </c>
      <c r="E44" s="33" t="s">
        <v>64</v>
      </c>
      <c r="F44" s="33" t="s">
        <v>25</v>
      </c>
      <c r="G44" s="33" t="str">
        <f t="shared" si="6"/>
        <v>已完成</v>
      </c>
      <c r="H44" s="33" t="str">
        <f t="shared" si="1"/>
        <v>郑士旺</v>
      </c>
      <c r="I44" s="32">
        <f t="shared" si="2"/>
        <v>46209</v>
      </c>
      <c r="J44" s="32">
        <f t="shared" si="3"/>
        <v>46261</v>
      </c>
      <c r="K44" s="32">
        <v>46261</v>
      </c>
      <c r="L44" s="33" t="s">
        <v>65</v>
      </c>
      <c r="M44" s="33" t="s">
        <v>3</v>
      </c>
      <c r="N44" s="32">
        <v>46209</v>
      </c>
      <c r="O44" s="32">
        <v>46213</v>
      </c>
      <c r="P44" s="33" t="s">
        <v>66</v>
      </c>
      <c r="Q44" s="33" t="s">
        <v>3</v>
      </c>
      <c r="R44" s="32">
        <v>46230</v>
      </c>
      <c r="S44" s="32">
        <v>46262</v>
      </c>
      <c r="T44" s="33" t="s">
        <v>67</v>
      </c>
      <c r="U44" s="33" t="s">
        <v>3</v>
      </c>
      <c r="V44" s="32">
        <v>46230</v>
      </c>
      <c r="W44" s="32">
        <v>46262</v>
      </c>
      <c r="X44" s="33" t="s">
        <v>68</v>
      </c>
      <c r="Y44" s="33" t="s">
        <v>3</v>
      </c>
      <c r="Z44" s="32">
        <v>46253</v>
      </c>
      <c r="AA44" s="32">
        <v>46269</v>
      </c>
      <c r="AB44" s="75">
        <f t="shared" si="4"/>
        <v>1</v>
      </c>
      <c r="AC44" s="33" t="str">
        <f>IF(G44="已完成","正常",IF(OR(G44="暂停",G44="挂起"),"暂停",IF(J44="","日期缺失",IF(J44&lt;项目驾驶舱!$B$3,"已延期",IF(J44&lt;=项目驾驶舱!$B$3+7,"临近到期","正常")))))</f>
        <v>正常</v>
      </c>
      <c r="AD44" s="33" t="s">
        <v>69</v>
      </c>
      <c r="AE44" s="34" t="s">
        <v>69</v>
      </c>
    </row>
    <row r="45" ht="17" customHeight="1" spans="1:31">
      <c r="A45" s="31" t="s">
        <v>165</v>
      </c>
      <c r="B45" s="33" t="s">
        <v>92</v>
      </c>
      <c r="C45" s="33" t="s">
        <v>161</v>
      </c>
      <c r="D45" s="33" t="s">
        <v>166</v>
      </c>
      <c r="E45" s="33" t="s">
        <v>64</v>
      </c>
      <c r="F45" s="33" t="s">
        <v>25</v>
      </c>
      <c r="G45" s="33" t="str">
        <f t="shared" si="6"/>
        <v>已完成</v>
      </c>
      <c r="H45" s="33" t="str">
        <f t="shared" si="1"/>
        <v>郑士旺</v>
      </c>
      <c r="I45" s="32">
        <f t="shared" si="2"/>
        <v>46209</v>
      </c>
      <c r="J45" s="32">
        <f t="shared" si="3"/>
        <v>46261</v>
      </c>
      <c r="K45" s="32">
        <v>46261</v>
      </c>
      <c r="L45" s="33" t="s">
        <v>65</v>
      </c>
      <c r="M45" s="33" t="s">
        <v>3</v>
      </c>
      <c r="N45" s="32">
        <v>46209</v>
      </c>
      <c r="O45" s="32">
        <v>46213</v>
      </c>
      <c r="P45" s="33" t="s">
        <v>66</v>
      </c>
      <c r="Q45" s="33" t="s">
        <v>3</v>
      </c>
      <c r="R45" s="32">
        <v>46230</v>
      </c>
      <c r="S45" s="32">
        <v>46262</v>
      </c>
      <c r="T45" s="33" t="s">
        <v>67</v>
      </c>
      <c r="U45" s="33" t="s">
        <v>3</v>
      </c>
      <c r="V45" s="32">
        <v>46230</v>
      </c>
      <c r="W45" s="32">
        <v>46262</v>
      </c>
      <c r="X45" s="33" t="s">
        <v>68</v>
      </c>
      <c r="Y45" s="33" t="s">
        <v>3</v>
      </c>
      <c r="Z45" s="32">
        <v>46253</v>
      </c>
      <c r="AA45" s="32">
        <v>46269</v>
      </c>
      <c r="AB45" s="75">
        <f t="shared" si="4"/>
        <v>1</v>
      </c>
      <c r="AC45" s="33" t="str">
        <f>IF(G45="已完成","正常",IF(OR(G45="暂停",G45="挂起"),"暂停",IF(J45="","日期缺失",IF(J45&lt;项目驾驶舱!$B$3,"已延期",IF(J45&lt;=项目驾驶舱!$B$3+7,"临近到期","正常")))))</f>
        <v>正常</v>
      </c>
      <c r="AD45" s="33" t="s">
        <v>69</v>
      </c>
      <c r="AE45" s="34" t="s">
        <v>69</v>
      </c>
    </row>
    <row r="46" ht="17" customHeight="1" spans="1:31">
      <c r="A46" s="31" t="s">
        <v>167</v>
      </c>
      <c r="B46" s="33" t="s">
        <v>92</v>
      </c>
      <c r="C46" s="33" t="s">
        <v>168</v>
      </c>
      <c r="D46" s="33" t="s">
        <v>169</v>
      </c>
      <c r="E46" s="33" t="s">
        <v>64</v>
      </c>
      <c r="F46" s="33" t="s">
        <v>26</v>
      </c>
      <c r="G46" s="33" t="str">
        <f t="shared" si="6"/>
        <v>已完成</v>
      </c>
      <c r="H46" s="33" t="str">
        <f t="shared" si="1"/>
        <v>郑士旺</v>
      </c>
      <c r="I46" s="32">
        <f t="shared" si="2"/>
        <v>46209</v>
      </c>
      <c r="J46" s="32">
        <f t="shared" si="3"/>
        <v>46269</v>
      </c>
      <c r="K46" s="32"/>
      <c r="L46" s="33" t="s">
        <v>65</v>
      </c>
      <c r="M46" s="33" t="s">
        <v>3</v>
      </c>
      <c r="N46" s="32">
        <v>46209</v>
      </c>
      <c r="O46" s="32">
        <v>46213</v>
      </c>
      <c r="P46" s="33" t="s">
        <v>66</v>
      </c>
      <c r="Q46" s="33" t="s">
        <v>3</v>
      </c>
      <c r="R46" s="32">
        <v>46230</v>
      </c>
      <c r="S46" s="32">
        <v>46262</v>
      </c>
      <c r="T46" s="33" t="s">
        <v>67</v>
      </c>
      <c r="U46" s="33" t="s">
        <v>3</v>
      </c>
      <c r="V46" s="32">
        <v>46230</v>
      </c>
      <c r="W46" s="32">
        <v>46262</v>
      </c>
      <c r="X46" s="33" t="s">
        <v>68</v>
      </c>
      <c r="Y46" s="33" t="s">
        <v>3</v>
      </c>
      <c r="Z46" s="32">
        <v>46253</v>
      </c>
      <c r="AA46" s="32">
        <v>46269</v>
      </c>
      <c r="AB46" s="75">
        <f t="shared" si="4"/>
        <v>1</v>
      </c>
      <c r="AC46" s="33" t="str">
        <f>IF(G46="已完成","正常",IF(OR(G46="暂停",G46="挂起"),"暂停",IF(J46="","日期缺失",IF(J46&lt;项目驾驶舱!$B$3,"已延期",IF(J46&lt;=项目驾驶舱!$B$3+7,"临近到期","正常")))))</f>
        <v>正常</v>
      </c>
      <c r="AD46" s="33" t="s">
        <v>69</v>
      </c>
      <c r="AE46" s="34" t="s">
        <v>69</v>
      </c>
    </row>
    <row r="47" ht="17" customHeight="1" spans="1:31">
      <c r="A47" s="31" t="s">
        <v>170</v>
      </c>
      <c r="B47" s="33" t="s">
        <v>92</v>
      </c>
      <c r="C47" s="33" t="s">
        <v>168</v>
      </c>
      <c r="D47" s="33" t="s">
        <v>171</v>
      </c>
      <c r="E47" s="33" t="s">
        <v>64</v>
      </c>
      <c r="F47" s="33" t="s">
        <v>26</v>
      </c>
      <c r="G47" s="33" t="str">
        <f t="shared" si="6"/>
        <v>已完成</v>
      </c>
      <c r="H47" s="33" t="str">
        <f t="shared" si="1"/>
        <v>郑士旺</v>
      </c>
      <c r="I47" s="32">
        <f t="shared" si="2"/>
        <v>46209</v>
      </c>
      <c r="J47" s="32">
        <f t="shared" si="3"/>
        <v>46269</v>
      </c>
      <c r="K47" s="32"/>
      <c r="L47" s="33" t="s">
        <v>65</v>
      </c>
      <c r="M47" s="33" t="s">
        <v>3</v>
      </c>
      <c r="N47" s="32">
        <v>46209</v>
      </c>
      <c r="O47" s="32">
        <v>46213</v>
      </c>
      <c r="P47" s="33" t="s">
        <v>66</v>
      </c>
      <c r="Q47" s="33" t="s">
        <v>3</v>
      </c>
      <c r="R47" s="32">
        <v>46230</v>
      </c>
      <c r="S47" s="32">
        <v>46262</v>
      </c>
      <c r="T47" s="33" t="s">
        <v>67</v>
      </c>
      <c r="U47" s="33" t="s">
        <v>3</v>
      </c>
      <c r="V47" s="32">
        <v>46230</v>
      </c>
      <c r="W47" s="32">
        <v>46262</v>
      </c>
      <c r="X47" s="33" t="s">
        <v>68</v>
      </c>
      <c r="Y47" s="33" t="s">
        <v>3</v>
      </c>
      <c r="Z47" s="32">
        <v>46253</v>
      </c>
      <c r="AA47" s="32">
        <v>46269</v>
      </c>
      <c r="AB47" s="75">
        <f t="shared" si="4"/>
        <v>1</v>
      </c>
      <c r="AC47" s="33" t="str">
        <f>IF(G47="已完成","正常",IF(OR(G47="暂停",G47="挂起"),"暂停",IF(J47="","日期缺失",IF(J47&lt;项目驾驶舱!$B$3,"已延期",IF(J47&lt;=项目驾驶舱!$B$3+7,"临近到期","正常")))))</f>
        <v>正常</v>
      </c>
      <c r="AD47" s="33" t="s">
        <v>69</v>
      </c>
      <c r="AE47" s="34" t="s">
        <v>69</v>
      </c>
    </row>
    <row r="48" ht="17" customHeight="1" spans="1:31">
      <c r="A48" s="31" t="s">
        <v>172</v>
      </c>
      <c r="B48" s="33" t="s">
        <v>92</v>
      </c>
      <c r="C48" s="33" t="s">
        <v>168</v>
      </c>
      <c r="D48" s="33" t="s">
        <v>173</v>
      </c>
      <c r="E48" s="33" t="s">
        <v>64</v>
      </c>
      <c r="F48" s="33" t="s">
        <v>26</v>
      </c>
      <c r="G48" s="33" t="str">
        <f t="shared" si="6"/>
        <v>已完成</v>
      </c>
      <c r="H48" s="33" t="str">
        <f t="shared" si="1"/>
        <v>郑士旺</v>
      </c>
      <c r="I48" s="32">
        <f t="shared" si="2"/>
        <v>46209</v>
      </c>
      <c r="J48" s="32">
        <f t="shared" si="3"/>
        <v>46269</v>
      </c>
      <c r="K48" s="32"/>
      <c r="L48" s="33" t="s">
        <v>65</v>
      </c>
      <c r="M48" s="33" t="s">
        <v>3</v>
      </c>
      <c r="N48" s="32">
        <v>46209</v>
      </c>
      <c r="O48" s="32">
        <v>46213</v>
      </c>
      <c r="P48" s="33" t="s">
        <v>66</v>
      </c>
      <c r="Q48" s="33" t="s">
        <v>3</v>
      </c>
      <c r="R48" s="32">
        <v>46230</v>
      </c>
      <c r="S48" s="32">
        <v>46262</v>
      </c>
      <c r="T48" s="33" t="s">
        <v>67</v>
      </c>
      <c r="U48" s="33" t="s">
        <v>3</v>
      </c>
      <c r="V48" s="32">
        <v>46230</v>
      </c>
      <c r="W48" s="32">
        <v>46262</v>
      </c>
      <c r="X48" s="33" t="s">
        <v>68</v>
      </c>
      <c r="Y48" s="33" t="s">
        <v>3</v>
      </c>
      <c r="Z48" s="32">
        <v>46253</v>
      </c>
      <c r="AA48" s="32">
        <v>46269</v>
      </c>
      <c r="AB48" s="75">
        <f t="shared" si="4"/>
        <v>1</v>
      </c>
      <c r="AC48" s="33" t="str">
        <f>IF(G48="已完成","正常",IF(OR(G48="暂停",G48="挂起"),"暂停",IF(J48="","日期缺失",IF(J48&lt;项目驾驶舱!$B$3,"已延期",IF(J48&lt;=项目驾驶舱!$B$3+7,"临近到期","正常")))))</f>
        <v>正常</v>
      </c>
      <c r="AD48" s="33" t="s">
        <v>69</v>
      </c>
      <c r="AE48" s="34" t="s">
        <v>69</v>
      </c>
    </row>
    <row r="49" ht="17" customHeight="1" spans="1:31">
      <c r="A49" s="31" t="s">
        <v>174</v>
      </c>
      <c r="B49" s="33" t="s">
        <v>92</v>
      </c>
      <c r="C49" s="33" t="s">
        <v>175</v>
      </c>
      <c r="D49" s="33" t="s">
        <v>176</v>
      </c>
      <c r="E49" s="33" t="s">
        <v>64</v>
      </c>
      <c r="F49" s="33" t="s">
        <v>26</v>
      </c>
      <c r="G49" s="33" t="str">
        <f t="shared" si="6"/>
        <v>已完成</v>
      </c>
      <c r="H49" s="33" t="str">
        <f t="shared" si="1"/>
        <v>郑士旺</v>
      </c>
      <c r="I49" s="32">
        <f t="shared" si="2"/>
        <v>46230</v>
      </c>
      <c r="J49" s="32">
        <f t="shared" si="3"/>
        <v>46353</v>
      </c>
      <c r="K49" s="32" t="s">
        <v>64</v>
      </c>
      <c r="L49" s="33" t="s">
        <v>65</v>
      </c>
      <c r="M49" s="33" t="s">
        <v>3</v>
      </c>
      <c r="N49" s="32">
        <v>46230</v>
      </c>
      <c r="O49" s="32">
        <v>46241</v>
      </c>
      <c r="P49" s="33" t="s">
        <v>66</v>
      </c>
      <c r="Q49" s="33" t="s">
        <v>3</v>
      </c>
      <c r="R49" s="32">
        <v>46307</v>
      </c>
      <c r="S49" s="32">
        <v>46339</v>
      </c>
      <c r="T49" s="33" t="s">
        <v>67</v>
      </c>
      <c r="U49" s="33" t="s">
        <v>3</v>
      </c>
      <c r="V49" s="32">
        <v>46307</v>
      </c>
      <c r="W49" s="32">
        <v>46339</v>
      </c>
      <c r="X49" s="33" t="s">
        <v>68</v>
      </c>
      <c r="Y49" s="33" t="s">
        <v>3</v>
      </c>
      <c r="Z49" s="32">
        <v>46342</v>
      </c>
      <c r="AA49" s="32">
        <v>46353</v>
      </c>
      <c r="AB49" s="75">
        <f t="shared" si="4"/>
        <v>1</v>
      </c>
      <c r="AC49" s="33" t="str">
        <f>IF(G49="已完成","正常",IF(OR(G49="暂停",G49="挂起"),"暂停",IF(J49="","日期缺失",IF(J49&lt;项目驾驶舱!$B$3,"已延期",IF(J49&lt;=项目驾驶舱!$B$3+7,"临近到期","正常")))))</f>
        <v>正常</v>
      </c>
      <c r="AD49" s="33" t="s">
        <v>69</v>
      </c>
      <c r="AE49" s="34" t="s">
        <v>69</v>
      </c>
    </row>
    <row r="50" ht="17" customHeight="1" spans="1:31">
      <c r="A50" s="31" t="s">
        <v>177</v>
      </c>
      <c r="B50" s="33" t="s">
        <v>92</v>
      </c>
      <c r="C50" s="33" t="s">
        <v>175</v>
      </c>
      <c r="D50" s="33" t="s">
        <v>178</v>
      </c>
      <c r="E50" s="33" t="s">
        <v>64</v>
      </c>
      <c r="F50" s="33" t="s">
        <v>26</v>
      </c>
      <c r="G50" s="33" t="str">
        <f>IF(OR(M50="挂起",M50="暂停",Q50="挂起",Q50="暂停",U50="挂起",U50="暂停",Y50="挂起",Y50="暂停"),"暂停","未开始")</f>
        <v>未开始</v>
      </c>
      <c r="H50" s="33" t="str">
        <f t="shared" si="1"/>
        <v>郑士旺</v>
      </c>
      <c r="I50" s="32">
        <f t="shared" si="2"/>
        <v>46230</v>
      </c>
      <c r="J50" s="32">
        <f t="shared" si="3"/>
        <v>46353</v>
      </c>
      <c r="K50" s="32"/>
      <c r="L50" s="33" t="s">
        <v>65</v>
      </c>
      <c r="M50" s="33" t="s">
        <v>5</v>
      </c>
      <c r="N50" s="32">
        <v>46230</v>
      </c>
      <c r="O50" s="32">
        <v>46241</v>
      </c>
      <c r="P50" s="33" t="s">
        <v>66</v>
      </c>
      <c r="Q50" s="33" t="s">
        <v>5</v>
      </c>
      <c r="R50" s="32">
        <v>46307</v>
      </c>
      <c r="S50" s="32">
        <v>46339</v>
      </c>
      <c r="T50" s="33" t="s">
        <v>67</v>
      </c>
      <c r="U50" s="33" t="s">
        <v>5</v>
      </c>
      <c r="V50" s="32">
        <v>46307</v>
      </c>
      <c r="W50" s="32">
        <v>46339</v>
      </c>
      <c r="X50" s="33" t="s">
        <v>68</v>
      </c>
      <c r="Y50" s="33" t="s">
        <v>5</v>
      </c>
      <c r="Z50" s="32">
        <v>46342</v>
      </c>
      <c r="AA50" s="32">
        <v>46353</v>
      </c>
      <c r="AB50" s="75">
        <f t="shared" si="4"/>
        <v>0</v>
      </c>
      <c r="AC50" s="33" t="str">
        <f>IF(G50="已完成","正常",IF(OR(G50="暂停",G50="挂起"),"暂停",IF(J50="","日期缺失",IF(J50&lt;项目驾驶舱!$B$3,"已延期",IF(J50&lt;=项目驾驶舱!$B$3+7,"临近到期","正常")))))</f>
        <v>正常</v>
      </c>
      <c r="AD50" s="33" t="s">
        <v>69</v>
      </c>
      <c r="AE50" s="34" t="s">
        <v>69</v>
      </c>
    </row>
    <row r="51" ht="17" customHeight="1" spans="1:31">
      <c r="A51" s="31" t="s">
        <v>179</v>
      </c>
      <c r="B51" s="33" t="s">
        <v>92</v>
      </c>
      <c r="C51" s="33" t="s">
        <v>180</v>
      </c>
      <c r="D51" s="33" t="s">
        <v>178</v>
      </c>
      <c r="E51" s="33" t="s">
        <v>64</v>
      </c>
      <c r="F51" s="33" t="s">
        <v>26</v>
      </c>
      <c r="G51" s="33" t="str">
        <f>IF(OR(M51="挂起",M51="暂停",Q51="挂起",Q51="暂停",U51="挂起",U51="暂停",Y51="挂起",Y51="暂停"),"暂停","未开始")</f>
        <v>未开始</v>
      </c>
      <c r="H51" s="33" t="str">
        <f t="shared" si="1"/>
        <v>郑士旺</v>
      </c>
      <c r="I51" s="32">
        <f t="shared" si="2"/>
        <v>46230</v>
      </c>
      <c r="J51" s="32">
        <f t="shared" si="3"/>
        <v>46261</v>
      </c>
      <c r="K51" s="32">
        <v>46261</v>
      </c>
      <c r="L51" s="33" t="s">
        <v>65</v>
      </c>
      <c r="M51" s="33" t="s">
        <v>5</v>
      </c>
      <c r="N51" s="32">
        <v>46230</v>
      </c>
      <c r="O51" s="32">
        <v>46241</v>
      </c>
      <c r="P51" s="33" t="s">
        <v>66</v>
      </c>
      <c r="Q51" s="33" t="s">
        <v>5</v>
      </c>
      <c r="R51" s="32">
        <v>46307</v>
      </c>
      <c r="S51" s="32">
        <v>46339</v>
      </c>
      <c r="T51" s="33" t="s">
        <v>67</v>
      </c>
      <c r="U51" s="33" t="s">
        <v>5</v>
      </c>
      <c r="V51" s="32">
        <v>46307</v>
      </c>
      <c r="W51" s="32">
        <v>46339</v>
      </c>
      <c r="X51" s="33" t="s">
        <v>68</v>
      </c>
      <c r="Y51" s="33" t="s">
        <v>5</v>
      </c>
      <c r="Z51" s="32">
        <v>46342</v>
      </c>
      <c r="AA51" s="32">
        <v>46353</v>
      </c>
      <c r="AB51" s="75">
        <f t="shared" si="4"/>
        <v>0</v>
      </c>
      <c r="AC51" s="33" t="str">
        <f>IF(G51="已完成","正常",IF(OR(G51="暂停",G51="挂起"),"暂停",IF(J51="","日期缺失",IF(J51&lt;项目驾驶舱!$B$3,"已延期",IF(J51&lt;=项目驾驶舱!$B$3+7,"临近到期","正常")))))</f>
        <v>已延期</v>
      </c>
      <c r="AD51" s="33" t="s">
        <v>69</v>
      </c>
      <c r="AE51" s="34" t="s">
        <v>69</v>
      </c>
    </row>
    <row r="52" ht="17" customHeight="1" spans="1:31">
      <c r="A52" s="31" t="s">
        <v>181</v>
      </c>
      <c r="B52" s="33" t="s">
        <v>92</v>
      </c>
      <c r="C52" s="33" t="s">
        <v>182</v>
      </c>
      <c r="D52" s="33" t="s">
        <v>183</v>
      </c>
      <c r="E52" s="33" t="s">
        <v>64</v>
      </c>
      <c r="F52" s="33" t="s">
        <v>26</v>
      </c>
      <c r="G52" s="33" t="str">
        <f>IF(OR(M52="挂起",M52="暂停",Q52="挂起",Q52="暂停",U52="挂起",U52="暂停",Y52="挂起",Y52="暂停"),"暂停","已完成")</f>
        <v>已完成</v>
      </c>
      <c r="H52" s="33" t="str">
        <f t="shared" si="1"/>
        <v>郑士旺</v>
      </c>
      <c r="I52" s="32">
        <f t="shared" si="2"/>
        <v>46230</v>
      </c>
      <c r="J52" s="32">
        <f t="shared" si="3"/>
        <v>46261</v>
      </c>
      <c r="K52" s="32">
        <v>46261</v>
      </c>
      <c r="L52" s="33" t="s">
        <v>65</v>
      </c>
      <c r="M52" s="33" t="s">
        <v>3</v>
      </c>
      <c r="N52" s="32">
        <v>46230</v>
      </c>
      <c r="O52" s="32">
        <v>46241</v>
      </c>
      <c r="P52" s="33" t="s">
        <v>66</v>
      </c>
      <c r="Q52" s="33" t="s">
        <v>3</v>
      </c>
      <c r="R52" s="32">
        <v>46307</v>
      </c>
      <c r="S52" s="32">
        <v>46339</v>
      </c>
      <c r="T52" s="33" t="s">
        <v>67</v>
      </c>
      <c r="U52" s="33" t="s">
        <v>3</v>
      </c>
      <c r="V52" s="32">
        <v>46307</v>
      </c>
      <c r="W52" s="32">
        <v>46339</v>
      </c>
      <c r="X52" s="33" t="s">
        <v>68</v>
      </c>
      <c r="Y52" s="33" t="s">
        <v>3</v>
      </c>
      <c r="Z52" s="32">
        <v>46342</v>
      </c>
      <c r="AA52" s="32">
        <v>46353</v>
      </c>
      <c r="AB52" s="75">
        <f t="shared" si="4"/>
        <v>1</v>
      </c>
      <c r="AC52" s="33" t="str">
        <f>IF(G52="已完成","正常",IF(OR(G52="暂停",G52="挂起"),"暂停",IF(J52="","日期缺失",IF(J52&lt;项目驾驶舱!$B$3,"已延期",IF(J52&lt;=项目驾驶舱!$B$3+7,"临近到期","正常")))))</f>
        <v>正常</v>
      </c>
      <c r="AD52" s="33" t="s">
        <v>69</v>
      </c>
      <c r="AE52" s="34" t="s">
        <v>69</v>
      </c>
    </row>
    <row r="53" ht="17" customHeight="1" spans="1:31">
      <c r="A53" s="31" t="s">
        <v>184</v>
      </c>
      <c r="B53" s="33" t="s">
        <v>92</v>
      </c>
      <c r="C53" s="33" t="s">
        <v>185</v>
      </c>
      <c r="D53" s="33" t="s">
        <v>186</v>
      </c>
      <c r="E53" s="33" t="s">
        <v>64</v>
      </c>
      <c r="F53" s="33" t="s">
        <v>25</v>
      </c>
      <c r="G53" s="33" t="str">
        <f>IF(OR(M53="挂起",M53="暂停",Q53="挂起",Q53="暂停",U53="挂起",U53="暂停",Y53="挂起",Y53="暂停"),"暂停","进行中")</f>
        <v>进行中</v>
      </c>
      <c r="H53" s="33" t="str">
        <f t="shared" si="1"/>
        <v>郑士旺</v>
      </c>
      <c r="I53" s="32">
        <f t="shared" si="2"/>
        <v>46202</v>
      </c>
      <c r="J53" s="32">
        <f t="shared" si="3"/>
        <v>46234</v>
      </c>
      <c r="K53" s="32" t="s">
        <v>64</v>
      </c>
      <c r="L53" s="33" t="s">
        <v>65</v>
      </c>
      <c r="M53" s="33" t="s">
        <v>3</v>
      </c>
      <c r="N53" s="32">
        <v>46202</v>
      </c>
      <c r="O53" s="32">
        <v>46206</v>
      </c>
      <c r="P53" s="33" t="s">
        <v>187</v>
      </c>
      <c r="Q53" s="33" t="s">
        <v>3</v>
      </c>
      <c r="R53" s="32">
        <v>46209</v>
      </c>
      <c r="S53" s="32">
        <v>46227</v>
      </c>
      <c r="T53" s="33" t="s">
        <v>188</v>
      </c>
      <c r="U53" s="33" t="s">
        <v>3</v>
      </c>
      <c r="V53" s="32">
        <v>46209</v>
      </c>
      <c r="W53" s="32">
        <v>46227</v>
      </c>
      <c r="X53" s="33" t="s">
        <v>68</v>
      </c>
      <c r="Y53" s="33" t="s">
        <v>4</v>
      </c>
      <c r="Z53" s="32">
        <v>46216</v>
      </c>
      <c r="AA53" s="32">
        <v>46234</v>
      </c>
      <c r="AB53" s="75">
        <f t="shared" si="4"/>
        <v>0.9</v>
      </c>
      <c r="AC53" s="33" t="str">
        <f>IF(G53="已完成","正常",IF(OR(G53="暂停",G53="挂起"),"暂停",IF(J53="","日期缺失",IF(J53&lt;项目驾驶舱!$B$3,"已延期",IF(J53&lt;=项目驾驶舱!$B$3+7,"临近到期","正常")))))</f>
        <v>已延期</v>
      </c>
      <c r="AD53" s="33" t="s">
        <v>69</v>
      </c>
      <c r="AE53" s="34" t="s">
        <v>69</v>
      </c>
    </row>
    <row r="54" ht="17" customHeight="1" spans="1:31">
      <c r="A54" s="31" t="s">
        <v>189</v>
      </c>
      <c r="B54" s="33" t="s">
        <v>92</v>
      </c>
      <c r="C54" s="33" t="s">
        <v>185</v>
      </c>
      <c r="D54" s="33" t="s">
        <v>190</v>
      </c>
      <c r="E54" s="33" t="s">
        <v>64</v>
      </c>
      <c r="F54" s="33" t="s">
        <v>25</v>
      </c>
      <c r="G54" s="33" t="str">
        <f>IF(OR(M54="挂起",M54="暂停",Q54="挂起",Q54="暂停",U54="挂起",U54="暂停",Y54="挂起",Y54="暂停"),"暂停","进行中")</f>
        <v>进行中</v>
      </c>
      <c r="H54" s="33" t="str">
        <f t="shared" si="1"/>
        <v>郑士旺</v>
      </c>
      <c r="I54" s="32">
        <f t="shared" si="2"/>
        <v>46202</v>
      </c>
      <c r="J54" s="32">
        <f t="shared" si="3"/>
        <v>46261</v>
      </c>
      <c r="K54" s="32">
        <v>46261</v>
      </c>
      <c r="L54" s="33" t="s">
        <v>65</v>
      </c>
      <c r="M54" s="33" t="s">
        <v>3</v>
      </c>
      <c r="N54" s="32">
        <v>46202</v>
      </c>
      <c r="O54" s="32">
        <v>46206</v>
      </c>
      <c r="P54" s="33" t="s">
        <v>187</v>
      </c>
      <c r="Q54" s="33" t="s">
        <v>3</v>
      </c>
      <c r="R54" s="32">
        <v>46209</v>
      </c>
      <c r="S54" s="32">
        <v>46227</v>
      </c>
      <c r="T54" s="33" t="s">
        <v>188</v>
      </c>
      <c r="U54" s="33" t="s">
        <v>3</v>
      </c>
      <c r="V54" s="32">
        <v>46209</v>
      </c>
      <c r="W54" s="32">
        <v>46227</v>
      </c>
      <c r="X54" s="33" t="s">
        <v>68</v>
      </c>
      <c r="Y54" s="33" t="s">
        <v>4</v>
      </c>
      <c r="Z54" s="32">
        <v>46216</v>
      </c>
      <c r="AA54" s="32">
        <v>46234</v>
      </c>
      <c r="AB54" s="75">
        <f t="shared" si="4"/>
        <v>0.9</v>
      </c>
      <c r="AC54" s="33" t="str">
        <f>IF(G54="已完成","正常",IF(OR(G54="暂停",G54="挂起"),"暂停",IF(J54="","日期缺失",IF(J54&lt;项目驾驶舱!$B$3,"已延期",IF(J54&lt;=项目驾驶舱!$B$3+7,"临近到期","正常")))))</f>
        <v>已延期</v>
      </c>
      <c r="AD54" s="33" t="s">
        <v>69</v>
      </c>
      <c r="AE54" s="34" t="s">
        <v>69</v>
      </c>
    </row>
    <row r="55" ht="17" customHeight="1" spans="1:31">
      <c r="A55" s="31" t="s">
        <v>191</v>
      </c>
      <c r="B55" s="33" t="s">
        <v>92</v>
      </c>
      <c r="C55" s="33" t="s">
        <v>185</v>
      </c>
      <c r="D55" s="33" t="s">
        <v>185</v>
      </c>
      <c r="E55" s="33" t="s">
        <v>64</v>
      </c>
      <c r="F55" s="33" t="s">
        <v>25</v>
      </c>
      <c r="G55" s="33" t="str">
        <f>IF(OR(M55="挂起",M55="暂停",Q55="挂起",Q55="暂停",U55="挂起",U55="暂停",Y55="挂起",Y55="暂停"),"暂停","进行中")</f>
        <v>进行中</v>
      </c>
      <c r="H55" s="33" t="str">
        <f t="shared" si="1"/>
        <v>郑士旺</v>
      </c>
      <c r="I55" s="32">
        <f t="shared" si="2"/>
        <v>46202</v>
      </c>
      <c r="J55" s="32">
        <f t="shared" si="3"/>
        <v>46261</v>
      </c>
      <c r="K55" s="32">
        <v>46261</v>
      </c>
      <c r="L55" s="33" t="s">
        <v>65</v>
      </c>
      <c r="M55" s="33" t="s">
        <v>3</v>
      </c>
      <c r="N55" s="32">
        <v>46202</v>
      </c>
      <c r="O55" s="32">
        <v>46206</v>
      </c>
      <c r="P55" s="33" t="s">
        <v>187</v>
      </c>
      <c r="Q55" s="33" t="s">
        <v>3</v>
      </c>
      <c r="R55" s="32">
        <v>46209</v>
      </c>
      <c r="S55" s="32">
        <v>46227</v>
      </c>
      <c r="T55" s="33" t="s">
        <v>188</v>
      </c>
      <c r="U55" s="33" t="s">
        <v>3</v>
      </c>
      <c r="V55" s="32">
        <v>46209</v>
      </c>
      <c r="W55" s="32">
        <v>46227</v>
      </c>
      <c r="X55" s="33" t="s">
        <v>68</v>
      </c>
      <c r="Y55" s="33" t="s">
        <v>4</v>
      </c>
      <c r="Z55" s="32">
        <v>46216</v>
      </c>
      <c r="AA55" s="32">
        <v>46234</v>
      </c>
      <c r="AB55" s="75">
        <f t="shared" si="4"/>
        <v>0.9</v>
      </c>
      <c r="AC55" s="33" t="str">
        <f>IF(G55="已完成","正常",IF(OR(G55="暂停",G55="挂起"),"暂停",IF(J55="","日期缺失",IF(J55&lt;项目驾驶舱!$B$3,"已延期",IF(J55&lt;=项目驾驶舱!$B$3+7,"临近到期","正常")))))</f>
        <v>已延期</v>
      </c>
      <c r="AD55" s="33" t="s">
        <v>69</v>
      </c>
      <c r="AE55" s="34" t="s">
        <v>69</v>
      </c>
    </row>
    <row r="56" ht="34" customHeight="1" spans="1:31">
      <c r="A56" s="31" t="s">
        <v>192</v>
      </c>
      <c r="B56" s="33" t="s">
        <v>92</v>
      </c>
      <c r="C56" s="33" t="s">
        <v>193</v>
      </c>
      <c r="D56" s="33" t="s">
        <v>194</v>
      </c>
      <c r="E56" s="33" t="s">
        <v>64</v>
      </c>
      <c r="F56" s="33" t="s">
        <v>26</v>
      </c>
      <c r="G56" s="33" t="str">
        <f>IF(OR(M56="挂起",M56="暂停",Q56="挂起",Q56="暂停",U56="挂起",U56="暂停",Y56="挂起",Y56="暂停"),"暂停","未开始")</f>
        <v>未开始</v>
      </c>
      <c r="H56" s="33" t="str">
        <f t="shared" si="1"/>
        <v>郑士旺</v>
      </c>
      <c r="I56" s="32">
        <f t="shared" si="2"/>
        <v>46223</v>
      </c>
      <c r="J56" s="32">
        <f t="shared" si="3"/>
        <v>46224</v>
      </c>
      <c r="K56" s="32">
        <v>46224</v>
      </c>
      <c r="L56" s="33" t="s">
        <v>65</v>
      </c>
      <c r="M56" s="33" t="s">
        <v>5</v>
      </c>
      <c r="N56" s="32">
        <v>46223</v>
      </c>
      <c r="O56" s="32">
        <v>46227</v>
      </c>
      <c r="P56" s="33" t="s">
        <v>66</v>
      </c>
      <c r="Q56" s="33" t="s">
        <v>5</v>
      </c>
      <c r="R56" s="32">
        <v>46272</v>
      </c>
      <c r="S56" s="32">
        <v>46304</v>
      </c>
      <c r="T56" s="33" t="s">
        <v>67</v>
      </c>
      <c r="U56" s="33" t="s">
        <v>5</v>
      </c>
      <c r="V56" s="32">
        <v>46272</v>
      </c>
      <c r="W56" s="32">
        <v>46304</v>
      </c>
      <c r="X56" s="33" t="s">
        <v>68</v>
      </c>
      <c r="Y56" s="33" t="s">
        <v>5</v>
      </c>
      <c r="Z56" s="32">
        <v>46307</v>
      </c>
      <c r="AA56" s="32">
        <v>46318</v>
      </c>
      <c r="AB56" s="75">
        <f t="shared" si="4"/>
        <v>0</v>
      </c>
      <c r="AC56" s="33" t="str">
        <f>IF(G56="已完成","正常",IF(OR(G56="暂停",G56="挂起"),"暂停",IF(J56="","日期缺失",IF(J56&lt;项目驾驶舱!$B$3,"已延期",IF(J56&lt;=项目驾驶舱!$B$3+7,"临近到期","正常")))))</f>
        <v>已延期</v>
      </c>
      <c r="AD56" s="33" t="s">
        <v>69</v>
      </c>
      <c r="AE56" s="34" t="s">
        <v>69</v>
      </c>
    </row>
    <row r="57" ht="34" customHeight="1" spans="1:31">
      <c r="A57" s="31" t="s">
        <v>195</v>
      </c>
      <c r="B57" s="33" t="s">
        <v>92</v>
      </c>
      <c r="C57" s="33" t="s">
        <v>193</v>
      </c>
      <c r="D57" s="33" t="s">
        <v>196</v>
      </c>
      <c r="E57" s="33" t="s">
        <v>64</v>
      </c>
      <c r="F57" s="33" t="s">
        <v>26</v>
      </c>
      <c r="G57" s="33" t="str">
        <f>IF(OR(M57="挂起",M57="暂停",Q57="挂起",Q57="暂停",U57="挂起",U57="暂停",Y57="挂起",Y57="暂停"),"暂停","未开始")</f>
        <v>未开始</v>
      </c>
      <c r="H57" s="33" t="str">
        <f t="shared" si="1"/>
        <v>郑士旺</v>
      </c>
      <c r="I57" s="32">
        <f t="shared" si="2"/>
        <v>46223</v>
      </c>
      <c r="J57" s="32">
        <f t="shared" si="3"/>
        <v>46224</v>
      </c>
      <c r="K57" s="32">
        <v>46224</v>
      </c>
      <c r="L57" s="33" t="s">
        <v>65</v>
      </c>
      <c r="M57" s="33" t="s">
        <v>5</v>
      </c>
      <c r="N57" s="32">
        <v>46223</v>
      </c>
      <c r="O57" s="32">
        <v>46227</v>
      </c>
      <c r="P57" s="33" t="s">
        <v>66</v>
      </c>
      <c r="Q57" s="33" t="s">
        <v>5</v>
      </c>
      <c r="R57" s="32">
        <v>46272</v>
      </c>
      <c r="S57" s="32">
        <v>46304</v>
      </c>
      <c r="T57" s="33" t="s">
        <v>67</v>
      </c>
      <c r="U57" s="33" t="s">
        <v>5</v>
      </c>
      <c r="V57" s="32">
        <v>46272</v>
      </c>
      <c r="W57" s="32">
        <v>46304</v>
      </c>
      <c r="X57" s="33" t="s">
        <v>68</v>
      </c>
      <c r="Y57" s="33" t="s">
        <v>5</v>
      </c>
      <c r="Z57" s="32">
        <v>46307</v>
      </c>
      <c r="AA57" s="32">
        <v>46318</v>
      </c>
      <c r="AB57" s="75">
        <f t="shared" si="4"/>
        <v>0</v>
      </c>
      <c r="AC57" s="33" t="str">
        <f>IF(G57="已完成","正常",IF(OR(G57="暂停",G57="挂起"),"暂停",IF(J57="","日期缺失",IF(J57&lt;项目驾驶舱!$B$3,"已延期",IF(J57&lt;=项目驾驶舱!$B$3+7,"临近到期","正常")))))</f>
        <v>已延期</v>
      </c>
      <c r="AD57" s="33" t="s">
        <v>69</v>
      </c>
      <c r="AE57" s="34" t="s">
        <v>69</v>
      </c>
    </row>
    <row r="58" ht="34" customHeight="1" spans="1:31">
      <c r="A58" s="31" t="s">
        <v>197</v>
      </c>
      <c r="B58" s="33" t="s">
        <v>92</v>
      </c>
      <c r="C58" s="33" t="s">
        <v>193</v>
      </c>
      <c r="D58" s="33" t="s">
        <v>198</v>
      </c>
      <c r="E58" s="33" t="s">
        <v>64</v>
      </c>
      <c r="F58" s="33" t="s">
        <v>26</v>
      </c>
      <c r="G58" s="33" t="str">
        <f>IF(OR(M58="挂起",M58="暂停",Q58="挂起",Q58="暂停",U58="挂起",U58="暂停",Y58="挂起",Y58="暂停"),"暂停","未开始")</f>
        <v>未开始</v>
      </c>
      <c r="H58" s="33" t="str">
        <f t="shared" si="1"/>
        <v>郑士旺</v>
      </c>
      <c r="I58" s="32">
        <f t="shared" si="2"/>
        <v>46223</v>
      </c>
      <c r="J58" s="32">
        <f t="shared" si="3"/>
        <v>46224</v>
      </c>
      <c r="K58" s="32">
        <v>46224</v>
      </c>
      <c r="L58" s="33" t="s">
        <v>65</v>
      </c>
      <c r="M58" s="33" t="s">
        <v>5</v>
      </c>
      <c r="N58" s="32">
        <v>46223</v>
      </c>
      <c r="O58" s="32">
        <v>46227</v>
      </c>
      <c r="P58" s="33" t="s">
        <v>66</v>
      </c>
      <c r="Q58" s="33" t="s">
        <v>5</v>
      </c>
      <c r="R58" s="32">
        <v>46272</v>
      </c>
      <c r="S58" s="32">
        <v>46304</v>
      </c>
      <c r="T58" s="33" t="s">
        <v>67</v>
      </c>
      <c r="U58" s="33" t="s">
        <v>5</v>
      </c>
      <c r="V58" s="32">
        <v>46272</v>
      </c>
      <c r="W58" s="32">
        <v>46304</v>
      </c>
      <c r="X58" s="33" t="s">
        <v>68</v>
      </c>
      <c r="Y58" s="33" t="s">
        <v>5</v>
      </c>
      <c r="Z58" s="32">
        <v>46307</v>
      </c>
      <c r="AA58" s="32">
        <v>46318</v>
      </c>
      <c r="AB58" s="75">
        <f t="shared" si="4"/>
        <v>0</v>
      </c>
      <c r="AC58" s="33" t="str">
        <f>IF(G58="已完成","正常",IF(OR(G58="暂停",G58="挂起"),"暂停",IF(J58="","日期缺失",IF(J58&lt;项目驾驶舱!$B$3,"已延期",IF(J58&lt;=项目驾驶舱!$B$3+7,"临近到期","正常")))))</f>
        <v>已延期</v>
      </c>
      <c r="AD58" s="33" t="s">
        <v>69</v>
      </c>
      <c r="AE58" s="34" t="s">
        <v>69</v>
      </c>
    </row>
    <row r="59" ht="17" customHeight="1" spans="1:31">
      <c r="A59" s="31" t="s">
        <v>199</v>
      </c>
      <c r="B59" s="33" t="s">
        <v>92</v>
      </c>
      <c r="C59" s="33" t="s">
        <v>193</v>
      </c>
      <c r="D59" s="33" t="s">
        <v>200</v>
      </c>
      <c r="E59" s="33" t="s">
        <v>64</v>
      </c>
      <c r="F59" s="33" t="s">
        <v>26</v>
      </c>
      <c r="G59" s="33" t="str">
        <f>IF(OR(M59="挂起",M59="暂停",Q59="挂起",Q59="暂停",U59="挂起",U59="暂停",Y59="挂起",Y59="暂停"),"暂停","未开始")</f>
        <v>未开始</v>
      </c>
      <c r="H59" s="33" t="str">
        <f t="shared" si="1"/>
        <v>郑士旺</v>
      </c>
      <c r="I59" s="32">
        <f t="shared" si="2"/>
        <v>46223</v>
      </c>
      <c r="J59" s="32">
        <f t="shared" si="3"/>
        <v>46318</v>
      </c>
      <c r="K59" s="32"/>
      <c r="L59" s="33" t="s">
        <v>65</v>
      </c>
      <c r="M59" s="33" t="s">
        <v>5</v>
      </c>
      <c r="N59" s="32">
        <v>46223</v>
      </c>
      <c r="O59" s="32">
        <v>46227</v>
      </c>
      <c r="P59" s="33" t="s">
        <v>66</v>
      </c>
      <c r="Q59" s="33" t="s">
        <v>5</v>
      </c>
      <c r="R59" s="32">
        <v>46272</v>
      </c>
      <c r="S59" s="32">
        <v>46304</v>
      </c>
      <c r="T59" s="33" t="s">
        <v>67</v>
      </c>
      <c r="U59" s="33" t="s">
        <v>5</v>
      </c>
      <c r="V59" s="32">
        <v>46272</v>
      </c>
      <c r="W59" s="32">
        <v>46304</v>
      </c>
      <c r="X59" s="33" t="s">
        <v>68</v>
      </c>
      <c r="Y59" s="33" t="s">
        <v>5</v>
      </c>
      <c r="Z59" s="32">
        <v>46307</v>
      </c>
      <c r="AA59" s="32">
        <v>46318</v>
      </c>
      <c r="AB59" s="75">
        <f t="shared" si="4"/>
        <v>0</v>
      </c>
      <c r="AC59" s="33" t="str">
        <f>IF(G59="已完成","正常",IF(OR(G59="暂停",G59="挂起"),"暂停",IF(J59="","日期缺失",IF(J59&lt;项目驾驶舱!$B$3,"已延期",IF(J59&lt;=项目驾驶舱!$B$3+7,"临近到期","正常")))))</f>
        <v>正常</v>
      </c>
      <c r="AD59" s="33" t="s">
        <v>69</v>
      </c>
      <c r="AE59" s="34" t="s">
        <v>69</v>
      </c>
    </row>
    <row r="60" ht="17" customHeight="1" spans="1:31">
      <c r="A60" s="31" t="s">
        <v>201</v>
      </c>
      <c r="B60" s="33" t="s">
        <v>92</v>
      </c>
      <c r="C60" s="33" t="s">
        <v>193</v>
      </c>
      <c r="D60" s="33" t="s">
        <v>202</v>
      </c>
      <c r="E60" s="33" t="s">
        <v>64</v>
      </c>
      <c r="F60" s="33" t="s">
        <v>26</v>
      </c>
      <c r="G60" s="33" t="str">
        <f>IF(OR(M60="挂起",M60="暂停",Q60="挂起",Q60="暂停",U60="挂起",U60="暂停",Y60="挂起",Y60="暂停"),"暂停","未开始")</f>
        <v>未开始</v>
      </c>
      <c r="H60" s="33" t="str">
        <f t="shared" si="1"/>
        <v>郑士旺</v>
      </c>
      <c r="I60" s="32">
        <f t="shared" si="2"/>
        <v>46223</v>
      </c>
      <c r="J60" s="32">
        <f t="shared" si="3"/>
        <v>46224</v>
      </c>
      <c r="K60" s="32">
        <v>46224</v>
      </c>
      <c r="L60" s="33" t="s">
        <v>65</v>
      </c>
      <c r="M60" s="33" t="s">
        <v>5</v>
      </c>
      <c r="N60" s="32">
        <v>46223</v>
      </c>
      <c r="O60" s="32">
        <v>46227</v>
      </c>
      <c r="P60" s="33" t="s">
        <v>66</v>
      </c>
      <c r="Q60" s="33" t="s">
        <v>5</v>
      </c>
      <c r="R60" s="32">
        <v>46272</v>
      </c>
      <c r="S60" s="32">
        <v>46304</v>
      </c>
      <c r="T60" s="33" t="s">
        <v>67</v>
      </c>
      <c r="U60" s="33" t="s">
        <v>5</v>
      </c>
      <c r="V60" s="32">
        <v>46272</v>
      </c>
      <c r="W60" s="32">
        <v>46304</v>
      </c>
      <c r="X60" s="33" t="s">
        <v>68</v>
      </c>
      <c r="Y60" s="33" t="s">
        <v>5</v>
      </c>
      <c r="Z60" s="32">
        <v>46307</v>
      </c>
      <c r="AA60" s="32">
        <v>46318</v>
      </c>
      <c r="AB60" s="75">
        <f t="shared" si="4"/>
        <v>0</v>
      </c>
      <c r="AC60" s="33" t="str">
        <f>IF(G60="已完成","正常",IF(OR(G60="暂停",G60="挂起"),"暂停",IF(J60="","日期缺失",IF(J60&lt;项目驾驶舱!$B$3,"已延期",IF(J60&lt;=项目驾驶舱!$B$3+7,"临近到期","正常")))))</f>
        <v>已延期</v>
      </c>
      <c r="AD60" s="33" t="s">
        <v>69</v>
      </c>
      <c r="AE60" s="34" t="s">
        <v>69</v>
      </c>
    </row>
    <row r="61" ht="17" customHeight="1" spans="1:31">
      <c r="A61" s="31" t="s">
        <v>203</v>
      </c>
      <c r="B61" s="33" t="s">
        <v>92</v>
      </c>
      <c r="C61" s="33" t="s">
        <v>204</v>
      </c>
      <c r="D61" s="33" t="s">
        <v>205</v>
      </c>
      <c r="E61" s="33" t="s">
        <v>64</v>
      </c>
      <c r="F61" s="33" t="s">
        <v>25</v>
      </c>
      <c r="G61" s="33" t="str">
        <f t="shared" ref="G61:G80" si="7">IF(OR(M61="挂起",M61="暂停",Q61="挂起",Q61="暂停",U61="挂起",U61="暂停",Y61="挂起",Y61="暂停"),"暂停","已完成")</f>
        <v>已完成</v>
      </c>
      <c r="H61" s="33" t="str">
        <f t="shared" si="1"/>
        <v>郑士旺</v>
      </c>
      <c r="I61" s="32">
        <f t="shared" si="2"/>
        <v>46195</v>
      </c>
      <c r="J61" s="32">
        <f t="shared" si="3"/>
        <v>46224</v>
      </c>
      <c r="K61" s="32">
        <v>46224</v>
      </c>
      <c r="L61" s="33" t="s">
        <v>65</v>
      </c>
      <c r="M61" s="33" t="s">
        <v>3</v>
      </c>
      <c r="N61" s="32" t="s">
        <v>64</v>
      </c>
      <c r="O61" s="32" t="s">
        <v>64</v>
      </c>
      <c r="P61" s="33" t="s">
        <v>66</v>
      </c>
      <c r="Q61" s="33" t="s">
        <v>3</v>
      </c>
      <c r="R61" s="32">
        <v>46195</v>
      </c>
      <c r="S61" s="32">
        <v>46206</v>
      </c>
      <c r="T61" s="33" t="s">
        <v>67</v>
      </c>
      <c r="U61" s="33" t="s">
        <v>3</v>
      </c>
      <c r="V61" s="32">
        <v>46195</v>
      </c>
      <c r="W61" s="32">
        <v>46206</v>
      </c>
      <c r="X61" s="33" t="s">
        <v>68</v>
      </c>
      <c r="Y61" s="33" t="s">
        <v>3</v>
      </c>
      <c r="Z61" s="32">
        <v>46202</v>
      </c>
      <c r="AA61" s="32">
        <v>46213</v>
      </c>
      <c r="AB61" s="75">
        <f t="shared" si="4"/>
        <v>1</v>
      </c>
      <c r="AC61" s="33" t="str">
        <f>IF(G61="已完成","正常",IF(OR(G61="暂停",G61="挂起"),"暂停",IF(J61="","日期缺失",IF(J61&lt;项目驾驶舱!$B$3,"已延期",IF(J61&lt;=项目驾驶舱!$B$3+7,"临近到期","正常")))))</f>
        <v>正常</v>
      </c>
      <c r="AD61" s="33" t="s">
        <v>69</v>
      </c>
      <c r="AE61" s="34" t="s">
        <v>69</v>
      </c>
    </row>
    <row r="62" ht="17" customHeight="1" spans="1:31">
      <c r="A62" s="31" t="s">
        <v>206</v>
      </c>
      <c r="B62" s="33" t="s">
        <v>92</v>
      </c>
      <c r="C62" s="33" t="s">
        <v>207</v>
      </c>
      <c r="D62" s="33" t="s">
        <v>208</v>
      </c>
      <c r="E62" s="33" t="s">
        <v>64</v>
      </c>
      <c r="F62" s="33" t="s">
        <v>25</v>
      </c>
      <c r="G62" s="33" t="str">
        <f t="shared" si="7"/>
        <v>已完成</v>
      </c>
      <c r="H62" s="33" t="str">
        <f t="shared" si="1"/>
        <v>郑士旺</v>
      </c>
      <c r="I62" s="32">
        <f t="shared" si="2"/>
        <v>46230</v>
      </c>
      <c r="J62" s="32">
        <f t="shared" si="3"/>
        <v>46318</v>
      </c>
      <c r="K62" s="32" t="s">
        <v>64</v>
      </c>
      <c r="L62" s="33" t="s">
        <v>65</v>
      </c>
      <c r="M62" s="33" t="s">
        <v>3</v>
      </c>
      <c r="N62" s="32">
        <v>46230</v>
      </c>
      <c r="O62" s="32">
        <v>46241</v>
      </c>
      <c r="P62" s="33" t="s">
        <v>66</v>
      </c>
      <c r="Q62" s="33" t="s">
        <v>3</v>
      </c>
      <c r="R62" s="32">
        <v>46230</v>
      </c>
      <c r="S62" s="32">
        <v>46241</v>
      </c>
      <c r="T62" s="33" t="s">
        <v>67</v>
      </c>
      <c r="U62" s="33" t="s">
        <v>3</v>
      </c>
      <c r="V62" s="32">
        <v>46230</v>
      </c>
      <c r="W62" s="32">
        <v>46241</v>
      </c>
      <c r="X62" s="33" t="s">
        <v>68</v>
      </c>
      <c r="Y62" s="33" t="s">
        <v>3</v>
      </c>
      <c r="Z62" s="32">
        <v>46307</v>
      </c>
      <c r="AA62" s="32">
        <v>46318</v>
      </c>
      <c r="AB62" s="75">
        <f t="shared" si="4"/>
        <v>1</v>
      </c>
      <c r="AC62" s="33" t="str">
        <f>IF(G62="已完成","正常",IF(OR(G62="暂停",G62="挂起"),"暂停",IF(J62="","日期缺失",IF(J62&lt;项目驾驶舱!$B$3,"已延期",IF(J62&lt;=项目驾驶舱!$B$3+7,"临近到期","正常")))))</f>
        <v>正常</v>
      </c>
      <c r="AD62" s="33" t="s">
        <v>69</v>
      </c>
      <c r="AE62" s="34" t="s">
        <v>69</v>
      </c>
    </row>
    <row r="63" ht="17" customHeight="1" spans="1:31">
      <c r="A63" s="31" t="s">
        <v>209</v>
      </c>
      <c r="B63" s="33" t="s">
        <v>92</v>
      </c>
      <c r="C63" s="33" t="s">
        <v>210</v>
      </c>
      <c r="D63" s="33" t="s">
        <v>211</v>
      </c>
      <c r="E63" s="33" t="s">
        <v>64</v>
      </c>
      <c r="F63" s="33" t="s">
        <v>25</v>
      </c>
      <c r="G63" s="33" t="str">
        <f t="shared" si="7"/>
        <v>已完成</v>
      </c>
      <c r="H63" s="33" t="str">
        <f t="shared" si="1"/>
        <v>郑士旺</v>
      </c>
      <c r="I63" s="32">
        <f t="shared" si="2"/>
        <v>46202</v>
      </c>
      <c r="J63" s="32">
        <f t="shared" si="3"/>
        <v>46261</v>
      </c>
      <c r="K63" s="32">
        <v>46261</v>
      </c>
      <c r="L63" s="33" t="s">
        <v>65</v>
      </c>
      <c r="M63" s="33" t="s">
        <v>3</v>
      </c>
      <c r="N63" s="32">
        <v>46202</v>
      </c>
      <c r="O63" s="32">
        <v>46206</v>
      </c>
      <c r="P63" s="33" t="s">
        <v>66</v>
      </c>
      <c r="Q63" s="33" t="s">
        <v>3</v>
      </c>
      <c r="R63" s="32">
        <v>46209</v>
      </c>
      <c r="S63" s="32">
        <v>46227</v>
      </c>
      <c r="T63" s="33" t="s">
        <v>67</v>
      </c>
      <c r="U63" s="33" t="s">
        <v>3</v>
      </c>
      <c r="V63" s="32">
        <v>46209</v>
      </c>
      <c r="W63" s="32">
        <v>46227</v>
      </c>
      <c r="X63" s="33" t="s">
        <v>68</v>
      </c>
      <c r="Y63" s="33" t="s">
        <v>3</v>
      </c>
      <c r="Z63" s="32">
        <v>46216</v>
      </c>
      <c r="AA63" s="32">
        <v>46234</v>
      </c>
      <c r="AB63" s="75">
        <f t="shared" si="4"/>
        <v>1</v>
      </c>
      <c r="AC63" s="33" t="str">
        <f>IF(G63="已完成","正常",IF(OR(G63="暂停",G63="挂起"),"暂停",IF(J63="","日期缺失",IF(J63&lt;项目驾驶舱!$B$3,"已延期",IF(J63&lt;=项目驾驶舱!$B$3+7,"临近到期","正常")))))</f>
        <v>正常</v>
      </c>
      <c r="AD63" s="33" t="s">
        <v>69</v>
      </c>
      <c r="AE63" s="34" t="s">
        <v>69</v>
      </c>
    </row>
    <row r="64" ht="17" customHeight="1" spans="1:31">
      <c r="A64" s="31" t="s">
        <v>212</v>
      </c>
      <c r="B64" s="33" t="s">
        <v>92</v>
      </c>
      <c r="C64" s="33" t="s">
        <v>210</v>
      </c>
      <c r="D64" s="33" t="s">
        <v>213</v>
      </c>
      <c r="E64" s="33" t="s">
        <v>64</v>
      </c>
      <c r="F64" s="33" t="s">
        <v>25</v>
      </c>
      <c r="G64" s="33" t="str">
        <f t="shared" si="7"/>
        <v>已完成</v>
      </c>
      <c r="H64" s="33" t="str">
        <f t="shared" si="1"/>
        <v>郑士旺</v>
      </c>
      <c r="I64" s="32">
        <f t="shared" si="2"/>
        <v>46202</v>
      </c>
      <c r="J64" s="32">
        <f t="shared" si="3"/>
        <v>46261</v>
      </c>
      <c r="K64" s="32">
        <v>46261</v>
      </c>
      <c r="L64" s="33" t="s">
        <v>65</v>
      </c>
      <c r="M64" s="33" t="s">
        <v>3</v>
      </c>
      <c r="N64" s="32">
        <v>46202</v>
      </c>
      <c r="O64" s="32">
        <v>46206</v>
      </c>
      <c r="P64" s="33" t="s">
        <v>66</v>
      </c>
      <c r="Q64" s="33" t="s">
        <v>3</v>
      </c>
      <c r="R64" s="32">
        <v>46209</v>
      </c>
      <c r="S64" s="32">
        <v>46227</v>
      </c>
      <c r="T64" s="33" t="s">
        <v>67</v>
      </c>
      <c r="U64" s="33" t="s">
        <v>3</v>
      </c>
      <c r="V64" s="32">
        <v>46209</v>
      </c>
      <c r="W64" s="32">
        <v>46227</v>
      </c>
      <c r="X64" s="33" t="s">
        <v>68</v>
      </c>
      <c r="Y64" s="33" t="s">
        <v>3</v>
      </c>
      <c r="Z64" s="32">
        <v>46216</v>
      </c>
      <c r="AA64" s="32">
        <v>46234</v>
      </c>
      <c r="AB64" s="75">
        <f t="shared" si="4"/>
        <v>1</v>
      </c>
      <c r="AC64" s="33" t="str">
        <f>IF(G64="已完成","正常",IF(OR(G64="暂停",G64="挂起"),"暂停",IF(J64="","日期缺失",IF(J64&lt;项目驾驶舱!$B$3,"已延期",IF(J64&lt;=项目驾驶舱!$B$3+7,"临近到期","正常")))))</f>
        <v>正常</v>
      </c>
      <c r="AD64" s="33" t="s">
        <v>69</v>
      </c>
      <c r="AE64" s="34" t="s">
        <v>69</v>
      </c>
    </row>
    <row r="65" ht="17" customHeight="1" spans="1:31">
      <c r="A65" s="31" t="s">
        <v>214</v>
      </c>
      <c r="B65" s="33" t="s">
        <v>92</v>
      </c>
      <c r="C65" s="33" t="s">
        <v>210</v>
      </c>
      <c r="D65" s="33" t="s">
        <v>215</v>
      </c>
      <c r="E65" s="33" t="s">
        <v>64</v>
      </c>
      <c r="F65" s="33" t="s">
        <v>25</v>
      </c>
      <c r="G65" s="33" t="str">
        <f t="shared" si="7"/>
        <v>已完成</v>
      </c>
      <c r="H65" s="33" t="str">
        <f t="shared" si="1"/>
        <v>郑士旺</v>
      </c>
      <c r="I65" s="32">
        <f t="shared" si="2"/>
        <v>46202</v>
      </c>
      <c r="J65" s="32">
        <f t="shared" si="3"/>
        <v>46261</v>
      </c>
      <c r="K65" s="32">
        <v>46261</v>
      </c>
      <c r="L65" s="33" t="s">
        <v>65</v>
      </c>
      <c r="M65" s="33" t="s">
        <v>3</v>
      </c>
      <c r="N65" s="32">
        <v>46202</v>
      </c>
      <c r="O65" s="32">
        <v>46206</v>
      </c>
      <c r="P65" s="33" t="s">
        <v>66</v>
      </c>
      <c r="Q65" s="33" t="s">
        <v>3</v>
      </c>
      <c r="R65" s="32">
        <v>46209</v>
      </c>
      <c r="S65" s="32">
        <v>46227</v>
      </c>
      <c r="T65" s="33" t="s">
        <v>67</v>
      </c>
      <c r="U65" s="33" t="s">
        <v>3</v>
      </c>
      <c r="V65" s="32">
        <v>46209</v>
      </c>
      <c r="W65" s="32">
        <v>46227</v>
      </c>
      <c r="X65" s="33" t="s">
        <v>68</v>
      </c>
      <c r="Y65" s="33" t="s">
        <v>3</v>
      </c>
      <c r="Z65" s="32">
        <v>46216</v>
      </c>
      <c r="AA65" s="32">
        <v>46234</v>
      </c>
      <c r="AB65" s="75">
        <f t="shared" si="4"/>
        <v>1</v>
      </c>
      <c r="AC65" s="33" t="str">
        <f>IF(G65="已完成","正常",IF(OR(G65="暂停",G65="挂起"),"暂停",IF(J65="","日期缺失",IF(J65&lt;项目驾驶舱!$B$3,"已延期",IF(J65&lt;=项目驾驶舱!$B$3+7,"临近到期","正常")))))</f>
        <v>正常</v>
      </c>
      <c r="AD65" s="33" t="s">
        <v>69</v>
      </c>
      <c r="AE65" s="34" t="s">
        <v>69</v>
      </c>
    </row>
    <row r="66" ht="17" customHeight="1" spans="1:31">
      <c r="A66" s="31" t="s">
        <v>216</v>
      </c>
      <c r="B66" s="33" t="s">
        <v>92</v>
      </c>
      <c r="C66" s="33" t="s">
        <v>217</v>
      </c>
      <c r="D66" s="33" t="s">
        <v>218</v>
      </c>
      <c r="E66" s="33" t="s">
        <v>64</v>
      </c>
      <c r="F66" s="33" t="s">
        <v>25</v>
      </c>
      <c r="G66" s="33" t="str">
        <f t="shared" si="7"/>
        <v>已完成</v>
      </c>
      <c r="H66" s="33" t="str">
        <f t="shared" si="1"/>
        <v>郑士旺</v>
      </c>
      <c r="I66" s="32">
        <f t="shared" si="2"/>
        <v>46202</v>
      </c>
      <c r="J66" s="32">
        <f t="shared" si="3"/>
        <v>46261</v>
      </c>
      <c r="K66" s="32">
        <v>46261</v>
      </c>
      <c r="L66" s="33" t="s">
        <v>65</v>
      </c>
      <c r="M66" s="33" t="s">
        <v>3</v>
      </c>
      <c r="N66" s="32">
        <v>46202</v>
      </c>
      <c r="O66" s="32">
        <v>46206</v>
      </c>
      <c r="P66" s="33" t="s">
        <v>66</v>
      </c>
      <c r="Q66" s="33" t="s">
        <v>3</v>
      </c>
      <c r="R66" s="32">
        <v>46209</v>
      </c>
      <c r="S66" s="32">
        <v>46227</v>
      </c>
      <c r="T66" s="33" t="s">
        <v>67</v>
      </c>
      <c r="U66" s="33" t="s">
        <v>3</v>
      </c>
      <c r="V66" s="32">
        <v>46209</v>
      </c>
      <c r="W66" s="32">
        <v>46227</v>
      </c>
      <c r="X66" s="33" t="s">
        <v>68</v>
      </c>
      <c r="Y66" s="33" t="s">
        <v>3</v>
      </c>
      <c r="Z66" s="32">
        <v>46216</v>
      </c>
      <c r="AA66" s="32">
        <v>46234</v>
      </c>
      <c r="AB66" s="75">
        <f t="shared" si="4"/>
        <v>1</v>
      </c>
      <c r="AC66" s="33" t="str">
        <f>IF(G66="已完成","正常",IF(OR(G66="暂停",G66="挂起"),"暂停",IF(J66="","日期缺失",IF(J66&lt;项目驾驶舱!$B$3,"已延期",IF(J66&lt;=项目驾驶舱!$B$3+7,"临近到期","正常")))))</f>
        <v>正常</v>
      </c>
      <c r="AD66" s="33" t="s">
        <v>69</v>
      </c>
      <c r="AE66" s="34" t="s">
        <v>69</v>
      </c>
    </row>
    <row r="67" ht="17" customHeight="1" spans="1:31">
      <c r="A67" s="31" t="s">
        <v>219</v>
      </c>
      <c r="B67" s="33" t="s">
        <v>92</v>
      </c>
      <c r="C67" s="33" t="s">
        <v>217</v>
      </c>
      <c r="D67" s="33" t="s">
        <v>218</v>
      </c>
      <c r="E67" s="33" t="s">
        <v>64</v>
      </c>
      <c r="F67" s="33" t="s">
        <v>25</v>
      </c>
      <c r="G67" s="33" t="str">
        <f t="shared" si="7"/>
        <v>已完成</v>
      </c>
      <c r="H67" s="33" t="str">
        <f t="shared" si="1"/>
        <v>郑士旺</v>
      </c>
      <c r="I67" s="32">
        <f t="shared" si="2"/>
        <v>46202</v>
      </c>
      <c r="J67" s="32">
        <f t="shared" si="3"/>
        <v>46261</v>
      </c>
      <c r="K67" s="32">
        <v>46261</v>
      </c>
      <c r="L67" s="33" t="s">
        <v>65</v>
      </c>
      <c r="M67" s="33" t="s">
        <v>3</v>
      </c>
      <c r="N67" s="32">
        <v>46202</v>
      </c>
      <c r="O67" s="32">
        <v>46206</v>
      </c>
      <c r="P67" s="33" t="s">
        <v>66</v>
      </c>
      <c r="Q67" s="33" t="s">
        <v>3</v>
      </c>
      <c r="R67" s="32">
        <v>46209</v>
      </c>
      <c r="S67" s="32">
        <v>46227</v>
      </c>
      <c r="T67" s="33" t="s">
        <v>67</v>
      </c>
      <c r="U67" s="33" t="s">
        <v>3</v>
      </c>
      <c r="V67" s="32">
        <v>46209</v>
      </c>
      <c r="W67" s="32">
        <v>46227</v>
      </c>
      <c r="X67" s="33" t="s">
        <v>68</v>
      </c>
      <c r="Y67" s="33" t="s">
        <v>3</v>
      </c>
      <c r="Z67" s="32">
        <v>46216</v>
      </c>
      <c r="AA67" s="32">
        <v>46234</v>
      </c>
      <c r="AB67" s="75">
        <f t="shared" si="4"/>
        <v>1</v>
      </c>
      <c r="AC67" s="33" t="str">
        <f>IF(G67="已完成","正常",IF(OR(G67="暂停",G67="挂起"),"暂停",IF(J67="","日期缺失",IF(J67&lt;项目驾驶舱!$B$3,"已延期",IF(J67&lt;=项目驾驶舱!$B$3+7,"临近到期","正常")))))</f>
        <v>正常</v>
      </c>
      <c r="AD67" s="33" t="s">
        <v>69</v>
      </c>
      <c r="AE67" s="34" t="s">
        <v>69</v>
      </c>
    </row>
    <row r="68" ht="17" customHeight="1" spans="1:31">
      <c r="A68" s="31" t="s">
        <v>220</v>
      </c>
      <c r="B68" s="33" t="s">
        <v>92</v>
      </c>
      <c r="C68" s="33" t="s">
        <v>217</v>
      </c>
      <c r="D68" s="33" t="s">
        <v>221</v>
      </c>
      <c r="E68" s="33" t="s">
        <v>64</v>
      </c>
      <c r="F68" s="33" t="s">
        <v>25</v>
      </c>
      <c r="G68" s="33" t="str">
        <f t="shared" si="7"/>
        <v>已完成</v>
      </c>
      <c r="H68" s="33" t="str">
        <f t="shared" ref="H68:H131" si="8">IF(L68&lt;&gt;"",L68,IF(P68&lt;&gt;"",P68,IF(T68&lt;&gt;"",T68,X68)))</f>
        <v>郑士旺</v>
      </c>
      <c r="I68" s="32">
        <f t="shared" ref="I68:I131" si="9">IF(COUNT(N68,R68,V68,Z68)=0,"",MIN(N68,R68,V68,Z68))</f>
        <v>46202</v>
      </c>
      <c r="J68" s="32">
        <f t="shared" ref="J68:J131" si="10">IF(ISNUMBER(K68),K68,IF(COUNT(O68,S68,W68,AA68)=0,"",MAX(O68,S68,W68,AA68)))</f>
        <v>46261</v>
      </c>
      <c r="K68" s="32">
        <v>46261</v>
      </c>
      <c r="L68" s="33" t="s">
        <v>65</v>
      </c>
      <c r="M68" s="33" t="s">
        <v>3</v>
      </c>
      <c r="N68" s="32">
        <v>46202</v>
      </c>
      <c r="O68" s="32">
        <v>46206</v>
      </c>
      <c r="P68" s="33" t="s">
        <v>66</v>
      </c>
      <c r="Q68" s="33" t="s">
        <v>3</v>
      </c>
      <c r="R68" s="32">
        <v>46209</v>
      </c>
      <c r="S68" s="32">
        <v>46227</v>
      </c>
      <c r="T68" s="33" t="s">
        <v>67</v>
      </c>
      <c r="U68" s="33" t="s">
        <v>3</v>
      </c>
      <c r="V68" s="32">
        <v>46209</v>
      </c>
      <c r="W68" s="32">
        <v>46227</v>
      </c>
      <c r="X68" s="33" t="s">
        <v>68</v>
      </c>
      <c r="Y68" s="33" t="s">
        <v>3</v>
      </c>
      <c r="Z68" s="32">
        <v>46216</v>
      </c>
      <c r="AA68" s="32">
        <v>46234</v>
      </c>
      <c r="AB68" s="75">
        <f t="shared" ref="AB68:AB131" si="11">(IF(M68="已完成",1,IF(M68="进行中",0.5,0))*15%+IF(Q68="已完成",1,IF(Q68="进行中",0.5,0))*35%+IF(U68="已完成",1,IF(U68="进行中",0.5,0))*30%+IF(Y68="已完成",1,IF(Y68="进行中",0.5,0))*20%)</f>
        <v>1</v>
      </c>
      <c r="AC68" s="33" t="str">
        <f>IF(G68="已完成","正常",IF(OR(G68="暂停",G68="挂起"),"暂停",IF(J68="","日期缺失",IF(J68&lt;项目驾驶舱!$B$3,"已延期",IF(J68&lt;=项目驾驶舱!$B$3+7,"临近到期","正常")))))</f>
        <v>正常</v>
      </c>
      <c r="AD68" s="33" t="s">
        <v>69</v>
      </c>
      <c r="AE68" s="34" t="s">
        <v>69</v>
      </c>
    </row>
    <row r="69" ht="17" customHeight="1" spans="1:31">
      <c r="A69" s="31" t="s">
        <v>222</v>
      </c>
      <c r="B69" s="33" t="s">
        <v>92</v>
      </c>
      <c r="C69" s="33" t="s">
        <v>217</v>
      </c>
      <c r="D69" s="33" t="s">
        <v>221</v>
      </c>
      <c r="E69" s="33" t="s">
        <v>64</v>
      </c>
      <c r="F69" s="33" t="s">
        <v>25</v>
      </c>
      <c r="G69" s="33" t="str">
        <f t="shared" si="7"/>
        <v>已完成</v>
      </c>
      <c r="H69" s="33" t="str">
        <f t="shared" si="8"/>
        <v>郑士旺</v>
      </c>
      <c r="I69" s="32">
        <f t="shared" si="9"/>
        <v>46202</v>
      </c>
      <c r="J69" s="32">
        <f t="shared" si="10"/>
        <v>46261</v>
      </c>
      <c r="K69" s="32">
        <v>46261</v>
      </c>
      <c r="L69" s="33" t="s">
        <v>65</v>
      </c>
      <c r="M69" s="33" t="s">
        <v>3</v>
      </c>
      <c r="N69" s="32">
        <v>46202</v>
      </c>
      <c r="O69" s="32">
        <v>46206</v>
      </c>
      <c r="P69" s="33" t="s">
        <v>66</v>
      </c>
      <c r="Q69" s="33" t="s">
        <v>3</v>
      </c>
      <c r="R69" s="32">
        <v>46209</v>
      </c>
      <c r="S69" s="32">
        <v>46227</v>
      </c>
      <c r="T69" s="33" t="s">
        <v>67</v>
      </c>
      <c r="U69" s="33" t="s">
        <v>3</v>
      </c>
      <c r="V69" s="32">
        <v>46209</v>
      </c>
      <c r="W69" s="32">
        <v>46227</v>
      </c>
      <c r="X69" s="33" t="s">
        <v>68</v>
      </c>
      <c r="Y69" s="33" t="s">
        <v>3</v>
      </c>
      <c r="Z69" s="32">
        <v>46216</v>
      </c>
      <c r="AA69" s="32">
        <v>46234</v>
      </c>
      <c r="AB69" s="75">
        <f t="shared" si="11"/>
        <v>1</v>
      </c>
      <c r="AC69" s="33" t="str">
        <f>IF(G69="已完成","正常",IF(OR(G69="暂停",G69="挂起"),"暂停",IF(J69="","日期缺失",IF(J69&lt;项目驾驶舱!$B$3,"已延期",IF(J69&lt;=项目驾驶舱!$B$3+7,"临近到期","正常")))))</f>
        <v>正常</v>
      </c>
      <c r="AD69" s="33" t="s">
        <v>69</v>
      </c>
      <c r="AE69" s="34" t="s">
        <v>69</v>
      </c>
    </row>
    <row r="70" ht="17" customHeight="1" spans="1:31">
      <c r="A70" s="31" t="s">
        <v>223</v>
      </c>
      <c r="B70" s="33" t="s">
        <v>92</v>
      </c>
      <c r="C70" s="33" t="s">
        <v>217</v>
      </c>
      <c r="D70" s="33" t="s">
        <v>221</v>
      </c>
      <c r="E70" s="33" t="s">
        <v>64</v>
      </c>
      <c r="F70" s="33" t="s">
        <v>25</v>
      </c>
      <c r="G70" s="33" t="str">
        <f t="shared" si="7"/>
        <v>已完成</v>
      </c>
      <c r="H70" s="33" t="str">
        <f t="shared" si="8"/>
        <v>郑士旺</v>
      </c>
      <c r="I70" s="32">
        <f t="shared" si="9"/>
        <v>46202</v>
      </c>
      <c r="J70" s="32">
        <f t="shared" si="10"/>
        <v>46261</v>
      </c>
      <c r="K70" s="32">
        <v>46261</v>
      </c>
      <c r="L70" s="33" t="s">
        <v>65</v>
      </c>
      <c r="M70" s="33" t="s">
        <v>3</v>
      </c>
      <c r="N70" s="32">
        <v>46202</v>
      </c>
      <c r="O70" s="32">
        <v>46206</v>
      </c>
      <c r="P70" s="33" t="s">
        <v>66</v>
      </c>
      <c r="Q70" s="33" t="s">
        <v>3</v>
      </c>
      <c r="R70" s="32">
        <v>46209</v>
      </c>
      <c r="S70" s="32">
        <v>46227</v>
      </c>
      <c r="T70" s="33" t="s">
        <v>67</v>
      </c>
      <c r="U70" s="33" t="s">
        <v>3</v>
      </c>
      <c r="V70" s="32">
        <v>46209</v>
      </c>
      <c r="W70" s="32">
        <v>46227</v>
      </c>
      <c r="X70" s="33" t="s">
        <v>68</v>
      </c>
      <c r="Y70" s="33" t="s">
        <v>3</v>
      </c>
      <c r="Z70" s="32">
        <v>46216</v>
      </c>
      <c r="AA70" s="32">
        <v>46234</v>
      </c>
      <c r="AB70" s="75">
        <f t="shared" si="11"/>
        <v>1</v>
      </c>
      <c r="AC70" s="33" t="str">
        <f>IF(G70="已完成","正常",IF(OR(G70="暂停",G70="挂起"),"暂停",IF(J70="","日期缺失",IF(J70&lt;项目驾驶舱!$B$3,"已延期",IF(J70&lt;=项目驾驶舱!$B$3+7,"临近到期","正常")))))</f>
        <v>正常</v>
      </c>
      <c r="AD70" s="33" t="s">
        <v>69</v>
      </c>
      <c r="AE70" s="34" t="s">
        <v>69</v>
      </c>
    </row>
    <row r="71" ht="17" customHeight="1" spans="1:31">
      <c r="A71" s="31" t="s">
        <v>224</v>
      </c>
      <c r="B71" s="33" t="s">
        <v>92</v>
      </c>
      <c r="C71" s="33" t="s">
        <v>217</v>
      </c>
      <c r="D71" s="33" t="s">
        <v>221</v>
      </c>
      <c r="E71" s="33" t="s">
        <v>64</v>
      </c>
      <c r="F71" s="33" t="s">
        <v>25</v>
      </c>
      <c r="G71" s="33" t="str">
        <f t="shared" si="7"/>
        <v>已完成</v>
      </c>
      <c r="H71" s="33" t="str">
        <f t="shared" si="8"/>
        <v>郑士旺</v>
      </c>
      <c r="I71" s="32">
        <f t="shared" si="9"/>
        <v>46202</v>
      </c>
      <c r="J71" s="32">
        <f t="shared" si="10"/>
        <v>46261</v>
      </c>
      <c r="K71" s="32">
        <v>46261</v>
      </c>
      <c r="L71" s="33" t="s">
        <v>65</v>
      </c>
      <c r="M71" s="33" t="s">
        <v>3</v>
      </c>
      <c r="N71" s="32">
        <v>46202</v>
      </c>
      <c r="O71" s="32">
        <v>46206</v>
      </c>
      <c r="P71" s="33" t="s">
        <v>66</v>
      </c>
      <c r="Q71" s="33" t="s">
        <v>3</v>
      </c>
      <c r="R71" s="32">
        <v>46209</v>
      </c>
      <c r="S71" s="32">
        <v>46227</v>
      </c>
      <c r="T71" s="33" t="s">
        <v>67</v>
      </c>
      <c r="U71" s="33" t="s">
        <v>3</v>
      </c>
      <c r="V71" s="32">
        <v>46209</v>
      </c>
      <c r="W71" s="32">
        <v>46227</v>
      </c>
      <c r="X71" s="33" t="s">
        <v>68</v>
      </c>
      <c r="Y71" s="33" t="s">
        <v>3</v>
      </c>
      <c r="Z71" s="32">
        <v>46216</v>
      </c>
      <c r="AA71" s="32">
        <v>46234</v>
      </c>
      <c r="AB71" s="75">
        <f t="shared" si="11"/>
        <v>1</v>
      </c>
      <c r="AC71" s="33" t="str">
        <f>IF(G71="已完成","正常",IF(OR(G71="暂停",G71="挂起"),"暂停",IF(J71="","日期缺失",IF(J71&lt;项目驾驶舱!$B$3,"已延期",IF(J71&lt;=项目驾驶舱!$B$3+7,"临近到期","正常")))))</f>
        <v>正常</v>
      </c>
      <c r="AD71" s="33" t="s">
        <v>69</v>
      </c>
      <c r="AE71" s="34" t="s">
        <v>69</v>
      </c>
    </row>
    <row r="72" ht="17" customHeight="1" spans="1:31">
      <c r="A72" s="31" t="s">
        <v>225</v>
      </c>
      <c r="B72" s="33" t="s">
        <v>92</v>
      </c>
      <c r="C72" s="33" t="s">
        <v>226</v>
      </c>
      <c r="D72" s="33" t="s">
        <v>227</v>
      </c>
      <c r="E72" s="33" t="s">
        <v>64</v>
      </c>
      <c r="F72" s="33" t="s">
        <v>25</v>
      </c>
      <c r="G72" s="33" t="str">
        <f t="shared" si="7"/>
        <v>已完成</v>
      </c>
      <c r="H72" s="33" t="str">
        <f t="shared" si="8"/>
        <v>郑士旺</v>
      </c>
      <c r="I72" s="32">
        <f t="shared" si="9"/>
        <v>46195</v>
      </c>
      <c r="J72" s="32">
        <f t="shared" si="10"/>
        <v>46224</v>
      </c>
      <c r="K72" s="32">
        <v>46224</v>
      </c>
      <c r="L72" s="33" t="s">
        <v>65</v>
      </c>
      <c r="M72" s="33" t="s">
        <v>3</v>
      </c>
      <c r="N72" s="32" t="s">
        <v>64</v>
      </c>
      <c r="O72" s="32" t="s">
        <v>64</v>
      </c>
      <c r="P72" s="33" t="s">
        <v>228</v>
      </c>
      <c r="Q72" s="33" t="s">
        <v>3</v>
      </c>
      <c r="R72" s="32">
        <v>46195</v>
      </c>
      <c r="S72" s="32">
        <v>46206</v>
      </c>
      <c r="T72" s="33" t="s">
        <v>228</v>
      </c>
      <c r="U72" s="33" t="s">
        <v>3</v>
      </c>
      <c r="V72" s="32">
        <v>46195</v>
      </c>
      <c r="W72" s="32">
        <v>46206</v>
      </c>
      <c r="X72" s="33" t="s">
        <v>68</v>
      </c>
      <c r="Y72" s="33" t="s">
        <v>3</v>
      </c>
      <c r="Z72" s="32">
        <v>46216</v>
      </c>
      <c r="AA72" s="32">
        <v>46234</v>
      </c>
      <c r="AB72" s="75">
        <f t="shared" si="11"/>
        <v>1</v>
      </c>
      <c r="AC72" s="33" t="str">
        <f>IF(G72="已完成","正常",IF(OR(G72="暂停",G72="挂起"),"暂停",IF(J72="","日期缺失",IF(J72&lt;项目驾驶舱!$B$3,"已延期",IF(J72&lt;=项目驾驶舱!$B$3+7,"临近到期","正常")))))</f>
        <v>正常</v>
      </c>
      <c r="AD72" s="33" t="s">
        <v>69</v>
      </c>
      <c r="AE72" s="34" t="s">
        <v>69</v>
      </c>
    </row>
    <row r="73" ht="17" customHeight="1" spans="1:31">
      <c r="A73" s="31" t="s">
        <v>229</v>
      </c>
      <c r="B73" s="33" t="s">
        <v>92</v>
      </c>
      <c r="C73" s="33" t="s">
        <v>226</v>
      </c>
      <c r="D73" s="33" t="s">
        <v>230</v>
      </c>
      <c r="E73" s="33" t="s">
        <v>64</v>
      </c>
      <c r="F73" s="33" t="s">
        <v>25</v>
      </c>
      <c r="G73" s="33" t="str">
        <f t="shared" si="7"/>
        <v>已完成</v>
      </c>
      <c r="H73" s="33" t="str">
        <f t="shared" si="8"/>
        <v>郑士旺</v>
      </c>
      <c r="I73" s="32">
        <f t="shared" si="9"/>
        <v>46195</v>
      </c>
      <c r="J73" s="32">
        <f t="shared" si="10"/>
        <v>46224</v>
      </c>
      <c r="K73" s="32">
        <v>46224</v>
      </c>
      <c r="L73" s="33" t="s">
        <v>65</v>
      </c>
      <c r="M73" s="33" t="s">
        <v>3</v>
      </c>
      <c r="N73" s="32" t="s">
        <v>64</v>
      </c>
      <c r="O73" s="32" t="s">
        <v>64</v>
      </c>
      <c r="P73" s="33" t="s">
        <v>66</v>
      </c>
      <c r="Q73" s="33" t="s">
        <v>3</v>
      </c>
      <c r="R73" s="32">
        <v>46195</v>
      </c>
      <c r="S73" s="32">
        <v>46206</v>
      </c>
      <c r="T73" s="33" t="s">
        <v>67</v>
      </c>
      <c r="U73" s="33" t="s">
        <v>3</v>
      </c>
      <c r="V73" s="32">
        <v>46195</v>
      </c>
      <c r="W73" s="32">
        <v>46206</v>
      </c>
      <c r="X73" s="33" t="s">
        <v>68</v>
      </c>
      <c r="Y73" s="33" t="s">
        <v>3</v>
      </c>
      <c r="Z73" s="32">
        <v>46202</v>
      </c>
      <c r="AA73" s="32">
        <v>46213</v>
      </c>
      <c r="AB73" s="75">
        <f t="shared" si="11"/>
        <v>1</v>
      </c>
      <c r="AC73" s="33" t="str">
        <f>IF(G73="已完成","正常",IF(OR(G73="暂停",G73="挂起"),"暂停",IF(J73="","日期缺失",IF(J73&lt;项目驾驶舱!$B$3,"已延期",IF(J73&lt;=项目驾驶舱!$B$3+7,"临近到期","正常")))))</f>
        <v>正常</v>
      </c>
      <c r="AD73" s="33" t="s">
        <v>69</v>
      </c>
      <c r="AE73" s="34" t="s">
        <v>69</v>
      </c>
    </row>
    <row r="74" ht="17" customHeight="1" spans="1:31">
      <c r="A74" s="31" t="s">
        <v>231</v>
      </c>
      <c r="B74" s="33" t="s">
        <v>92</v>
      </c>
      <c r="C74" s="33" t="s">
        <v>232</v>
      </c>
      <c r="D74" s="33" t="s">
        <v>64</v>
      </c>
      <c r="E74" s="33" t="s">
        <v>64</v>
      </c>
      <c r="F74" s="33" t="s">
        <v>25</v>
      </c>
      <c r="G74" s="33" t="str">
        <f t="shared" si="7"/>
        <v>已完成</v>
      </c>
      <c r="H74" s="33" t="str">
        <f t="shared" si="8"/>
        <v>郑士旺</v>
      </c>
      <c r="I74" s="32">
        <f t="shared" si="9"/>
        <v>46195</v>
      </c>
      <c r="J74" s="32">
        <f t="shared" si="10"/>
        <v>46224</v>
      </c>
      <c r="K74" s="32">
        <v>46224</v>
      </c>
      <c r="L74" s="33" t="s">
        <v>65</v>
      </c>
      <c r="M74" s="33" t="s">
        <v>3</v>
      </c>
      <c r="N74" s="32" t="s">
        <v>64</v>
      </c>
      <c r="O74" s="32" t="s">
        <v>64</v>
      </c>
      <c r="P74" s="33" t="s">
        <v>66</v>
      </c>
      <c r="Q74" s="33" t="s">
        <v>3</v>
      </c>
      <c r="R74" s="32">
        <v>46195</v>
      </c>
      <c r="S74" s="32">
        <v>46206</v>
      </c>
      <c r="T74" s="33" t="s">
        <v>67</v>
      </c>
      <c r="U74" s="33" t="s">
        <v>3</v>
      </c>
      <c r="V74" s="32">
        <v>46195</v>
      </c>
      <c r="W74" s="32">
        <v>46206</v>
      </c>
      <c r="X74" s="33" t="s">
        <v>68</v>
      </c>
      <c r="Y74" s="33" t="s">
        <v>3</v>
      </c>
      <c r="Z74" s="32">
        <v>46202</v>
      </c>
      <c r="AA74" s="32">
        <v>46213</v>
      </c>
      <c r="AB74" s="75">
        <f t="shared" si="11"/>
        <v>1</v>
      </c>
      <c r="AC74" s="33" t="str">
        <f>IF(G74="已完成","正常",IF(OR(G74="暂停",G74="挂起"),"暂停",IF(J74="","日期缺失",IF(J74&lt;项目驾驶舱!$B$3,"已延期",IF(J74&lt;=项目驾驶舱!$B$3+7,"临近到期","正常")))))</f>
        <v>正常</v>
      </c>
      <c r="AD74" s="33" t="s">
        <v>69</v>
      </c>
      <c r="AE74" s="34" t="s">
        <v>69</v>
      </c>
    </row>
    <row r="75" ht="17" customHeight="1" spans="1:31">
      <c r="A75" s="31" t="s">
        <v>233</v>
      </c>
      <c r="B75" s="33" t="s">
        <v>92</v>
      </c>
      <c r="C75" s="33" t="s">
        <v>234</v>
      </c>
      <c r="D75" s="33" t="s">
        <v>235</v>
      </c>
      <c r="E75" s="33" t="s">
        <v>64</v>
      </c>
      <c r="F75" s="33" t="s">
        <v>25</v>
      </c>
      <c r="G75" s="33" t="str">
        <f t="shared" si="7"/>
        <v>已完成</v>
      </c>
      <c r="H75" s="33" t="str">
        <f t="shared" si="8"/>
        <v>郑士旺</v>
      </c>
      <c r="I75" s="32">
        <f t="shared" si="9"/>
        <v>46202</v>
      </c>
      <c r="J75" s="32">
        <f t="shared" si="10"/>
        <v>46234</v>
      </c>
      <c r="K75" s="32" t="s">
        <v>64</v>
      </c>
      <c r="L75" s="33" t="s">
        <v>65</v>
      </c>
      <c r="M75" s="33" t="s">
        <v>3</v>
      </c>
      <c r="N75" s="32">
        <v>46202</v>
      </c>
      <c r="O75" s="32">
        <v>46206</v>
      </c>
      <c r="P75" s="33" t="s">
        <v>66</v>
      </c>
      <c r="Q75" s="33" t="s">
        <v>3</v>
      </c>
      <c r="R75" s="32">
        <v>46209</v>
      </c>
      <c r="S75" s="32">
        <v>46225</v>
      </c>
      <c r="T75" s="33" t="s">
        <v>67</v>
      </c>
      <c r="U75" s="33" t="s">
        <v>3</v>
      </c>
      <c r="V75" s="32">
        <v>46209</v>
      </c>
      <c r="W75" s="32">
        <v>46225</v>
      </c>
      <c r="X75" s="33" t="s">
        <v>68</v>
      </c>
      <c r="Y75" s="33" t="s">
        <v>3</v>
      </c>
      <c r="Z75" s="32">
        <v>46216</v>
      </c>
      <c r="AA75" s="32">
        <v>46234</v>
      </c>
      <c r="AB75" s="75">
        <f t="shared" si="11"/>
        <v>1</v>
      </c>
      <c r="AC75" s="33" t="str">
        <f>IF(G75="已完成","正常",IF(OR(G75="暂停",G75="挂起"),"暂停",IF(J75="","日期缺失",IF(J75&lt;项目驾驶舱!$B$3,"已延期",IF(J75&lt;=项目驾驶舱!$B$3+7,"临近到期","正常")))))</f>
        <v>正常</v>
      </c>
      <c r="AD75" s="33" t="s">
        <v>69</v>
      </c>
      <c r="AE75" s="34" t="s">
        <v>69</v>
      </c>
    </row>
    <row r="76" ht="17" customHeight="1" spans="1:31">
      <c r="A76" s="31" t="s">
        <v>236</v>
      </c>
      <c r="B76" s="33" t="s">
        <v>92</v>
      </c>
      <c r="C76" s="33" t="s">
        <v>237</v>
      </c>
      <c r="D76" s="33" t="s">
        <v>238</v>
      </c>
      <c r="E76" s="33" t="s">
        <v>64</v>
      </c>
      <c r="F76" s="33" t="s">
        <v>25</v>
      </c>
      <c r="G76" s="33" t="str">
        <f t="shared" si="7"/>
        <v>已完成</v>
      </c>
      <c r="H76" s="33" t="str">
        <f t="shared" si="8"/>
        <v>郑士旺</v>
      </c>
      <c r="I76" s="32">
        <f t="shared" si="9"/>
        <v>46202</v>
      </c>
      <c r="J76" s="32">
        <f t="shared" si="10"/>
        <v>46224</v>
      </c>
      <c r="K76" s="32">
        <v>46224</v>
      </c>
      <c r="L76" s="33" t="s">
        <v>65</v>
      </c>
      <c r="M76" s="33" t="s">
        <v>3</v>
      </c>
      <c r="N76" s="32">
        <v>46202</v>
      </c>
      <c r="O76" s="32">
        <v>46206</v>
      </c>
      <c r="P76" s="33" t="s">
        <v>66</v>
      </c>
      <c r="Q76" s="33" t="s">
        <v>3</v>
      </c>
      <c r="R76" s="32">
        <v>46227</v>
      </c>
      <c r="S76" s="32">
        <v>46227</v>
      </c>
      <c r="T76" s="33" t="s">
        <v>67</v>
      </c>
      <c r="U76" s="33" t="s">
        <v>3</v>
      </c>
      <c r="V76" s="32">
        <v>46227</v>
      </c>
      <c r="W76" s="32">
        <v>46227</v>
      </c>
      <c r="X76" s="33" t="s">
        <v>68</v>
      </c>
      <c r="Y76" s="33" t="s">
        <v>3</v>
      </c>
      <c r="Z76" s="32">
        <v>46216</v>
      </c>
      <c r="AA76" s="32">
        <v>46234</v>
      </c>
      <c r="AB76" s="75">
        <f t="shared" si="11"/>
        <v>1</v>
      </c>
      <c r="AC76" s="33" t="str">
        <f>IF(G76="已完成","正常",IF(OR(G76="暂停",G76="挂起"),"暂停",IF(J76="","日期缺失",IF(J76&lt;项目驾驶舱!$B$3,"已延期",IF(J76&lt;=项目驾驶舱!$B$3+7,"临近到期","正常")))))</f>
        <v>正常</v>
      </c>
      <c r="AD76" s="33" t="s">
        <v>69</v>
      </c>
      <c r="AE76" s="34" t="s">
        <v>69</v>
      </c>
    </row>
    <row r="77" ht="17" customHeight="1" spans="1:31">
      <c r="A77" s="31" t="s">
        <v>239</v>
      </c>
      <c r="B77" s="33" t="s">
        <v>92</v>
      </c>
      <c r="C77" s="33" t="s">
        <v>237</v>
      </c>
      <c r="D77" s="33" t="s">
        <v>240</v>
      </c>
      <c r="E77" s="33" t="s">
        <v>64</v>
      </c>
      <c r="F77" s="33" t="s">
        <v>25</v>
      </c>
      <c r="G77" s="33" t="str">
        <f t="shared" si="7"/>
        <v>已完成</v>
      </c>
      <c r="H77" s="33" t="str">
        <f t="shared" si="8"/>
        <v>郑士旺</v>
      </c>
      <c r="I77" s="32">
        <f t="shared" si="9"/>
        <v>46202</v>
      </c>
      <c r="J77" s="32">
        <f t="shared" si="10"/>
        <v>46224</v>
      </c>
      <c r="K77" s="32">
        <v>46224</v>
      </c>
      <c r="L77" s="33" t="s">
        <v>65</v>
      </c>
      <c r="M77" s="33" t="s">
        <v>3</v>
      </c>
      <c r="N77" s="32">
        <v>46202</v>
      </c>
      <c r="O77" s="32">
        <v>46206</v>
      </c>
      <c r="P77" s="33" t="s">
        <v>66</v>
      </c>
      <c r="Q77" s="33" t="s">
        <v>3</v>
      </c>
      <c r="R77" s="32">
        <v>46227</v>
      </c>
      <c r="S77" s="32">
        <v>46227</v>
      </c>
      <c r="T77" s="33" t="s">
        <v>67</v>
      </c>
      <c r="U77" s="33" t="s">
        <v>3</v>
      </c>
      <c r="V77" s="32">
        <v>46227</v>
      </c>
      <c r="W77" s="32">
        <v>46227</v>
      </c>
      <c r="X77" s="33" t="s">
        <v>68</v>
      </c>
      <c r="Y77" s="33" t="s">
        <v>3</v>
      </c>
      <c r="Z77" s="32">
        <v>46216</v>
      </c>
      <c r="AA77" s="32">
        <v>46234</v>
      </c>
      <c r="AB77" s="75">
        <f t="shared" si="11"/>
        <v>1</v>
      </c>
      <c r="AC77" s="33" t="str">
        <f>IF(G77="已完成","正常",IF(OR(G77="暂停",G77="挂起"),"暂停",IF(J77="","日期缺失",IF(J77&lt;项目驾驶舱!$B$3,"已延期",IF(J77&lt;=项目驾驶舱!$B$3+7,"临近到期","正常")))))</f>
        <v>正常</v>
      </c>
      <c r="AD77" s="33" t="s">
        <v>69</v>
      </c>
      <c r="AE77" s="34" t="s">
        <v>69</v>
      </c>
    </row>
    <row r="78" ht="17" customHeight="1" spans="1:31">
      <c r="A78" s="31" t="s">
        <v>241</v>
      </c>
      <c r="B78" s="33" t="s">
        <v>92</v>
      </c>
      <c r="C78" s="33" t="s">
        <v>237</v>
      </c>
      <c r="D78" s="33" t="s">
        <v>242</v>
      </c>
      <c r="E78" s="33" t="s">
        <v>64</v>
      </c>
      <c r="F78" s="33" t="s">
        <v>25</v>
      </c>
      <c r="G78" s="33" t="str">
        <f t="shared" si="7"/>
        <v>已完成</v>
      </c>
      <c r="H78" s="33" t="str">
        <f t="shared" si="8"/>
        <v>郑士旺</v>
      </c>
      <c r="I78" s="32">
        <f t="shared" si="9"/>
        <v>46202</v>
      </c>
      <c r="J78" s="32">
        <f t="shared" si="10"/>
        <v>46224</v>
      </c>
      <c r="K78" s="32">
        <v>46224</v>
      </c>
      <c r="L78" s="33" t="s">
        <v>65</v>
      </c>
      <c r="M78" s="33" t="s">
        <v>3</v>
      </c>
      <c r="N78" s="32">
        <v>46202</v>
      </c>
      <c r="O78" s="32">
        <v>46206</v>
      </c>
      <c r="P78" s="33" t="s">
        <v>66</v>
      </c>
      <c r="Q78" s="33" t="s">
        <v>3</v>
      </c>
      <c r="R78" s="32">
        <v>46227</v>
      </c>
      <c r="S78" s="32">
        <v>46227</v>
      </c>
      <c r="T78" s="33" t="s">
        <v>67</v>
      </c>
      <c r="U78" s="33" t="s">
        <v>3</v>
      </c>
      <c r="V78" s="32">
        <v>46227</v>
      </c>
      <c r="W78" s="32">
        <v>46227</v>
      </c>
      <c r="X78" s="33" t="s">
        <v>68</v>
      </c>
      <c r="Y78" s="33" t="s">
        <v>3</v>
      </c>
      <c r="Z78" s="32">
        <v>46216</v>
      </c>
      <c r="AA78" s="32">
        <v>46234</v>
      </c>
      <c r="AB78" s="75">
        <f t="shared" si="11"/>
        <v>1</v>
      </c>
      <c r="AC78" s="33" t="str">
        <f>IF(G78="已完成","正常",IF(OR(G78="暂停",G78="挂起"),"暂停",IF(J78="","日期缺失",IF(J78&lt;项目驾驶舱!$B$3,"已延期",IF(J78&lt;=项目驾驶舱!$B$3+7,"临近到期","正常")))))</f>
        <v>正常</v>
      </c>
      <c r="AD78" s="33" t="s">
        <v>69</v>
      </c>
      <c r="AE78" s="34" t="s">
        <v>69</v>
      </c>
    </row>
    <row r="79" ht="17" customHeight="1" spans="1:31">
      <c r="A79" s="31" t="s">
        <v>243</v>
      </c>
      <c r="B79" s="33" t="s">
        <v>92</v>
      </c>
      <c r="C79" s="33" t="s">
        <v>237</v>
      </c>
      <c r="D79" s="33" t="s">
        <v>244</v>
      </c>
      <c r="E79" s="33" t="s">
        <v>64</v>
      </c>
      <c r="F79" s="33" t="s">
        <v>25</v>
      </c>
      <c r="G79" s="33" t="str">
        <f t="shared" si="7"/>
        <v>已完成</v>
      </c>
      <c r="H79" s="33" t="str">
        <f t="shared" si="8"/>
        <v>郑士旺</v>
      </c>
      <c r="I79" s="32">
        <f t="shared" si="9"/>
        <v>46202</v>
      </c>
      <c r="J79" s="32">
        <f t="shared" si="10"/>
        <v>46224</v>
      </c>
      <c r="K79" s="32">
        <v>46224</v>
      </c>
      <c r="L79" s="33" t="s">
        <v>65</v>
      </c>
      <c r="M79" s="33" t="s">
        <v>3</v>
      </c>
      <c r="N79" s="32">
        <v>46202</v>
      </c>
      <c r="O79" s="32">
        <v>46206</v>
      </c>
      <c r="P79" s="33" t="s">
        <v>66</v>
      </c>
      <c r="Q79" s="33" t="s">
        <v>3</v>
      </c>
      <c r="R79" s="32">
        <v>46227</v>
      </c>
      <c r="S79" s="32">
        <v>46227</v>
      </c>
      <c r="T79" s="33" t="s">
        <v>67</v>
      </c>
      <c r="U79" s="33" t="s">
        <v>3</v>
      </c>
      <c r="V79" s="32">
        <v>46227</v>
      </c>
      <c r="W79" s="32">
        <v>46227</v>
      </c>
      <c r="X79" s="33" t="s">
        <v>68</v>
      </c>
      <c r="Y79" s="33" t="s">
        <v>3</v>
      </c>
      <c r="Z79" s="32">
        <v>46216</v>
      </c>
      <c r="AA79" s="32">
        <v>46234</v>
      </c>
      <c r="AB79" s="75">
        <f t="shared" si="11"/>
        <v>1</v>
      </c>
      <c r="AC79" s="33" t="str">
        <f>IF(G79="已完成","正常",IF(OR(G79="暂停",G79="挂起"),"暂停",IF(J79="","日期缺失",IF(J79&lt;项目驾驶舱!$B$3,"已延期",IF(J79&lt;=项目驾驶舱!$B$3+7,"临近到期","正常")))))</f>
        <v>正常</v>
      </c>
      <c r="AD79" s="33" t="s">
        <v>69</v>
      </c>
      <c r="AE79" s="34" t="s">
        <v>69</v>
      </c>
    </row>
    <row r="80" ht="17" customHeight="1" spans="1:31">
      <c r="A80" s="31" t="s">
        <v>245</v>
      </c>
      <c r="B80" s="33" t="s">
        <v>92</v>
      </c>
      <c r="C80" s="33" t="s">
        <v>237</v>
      </c>
      <c r="D80" s="33" t="s">
        <v>246</v>
      </c>
      <c r="E80" s="33" t="s">
        <v>64</v>
      </c>
      <c r="F80" s="33" t="s">
        <v>25</v>
      </c>
      <c r="G80" s="33" t="str">
        <f t="shared" si="7"/>
        <v>已完成</v>
      </c>
      <c r="H80" s="33" t="str">
        <f t="shared" si="8"/>
        <v>郑士旺</v>
      </c>
      <c r="I80" s="32">
        <f t="shared" si="9"/>
        <v>46202</v>
      </c>
      <c r="J80" s="32">
        <f t="shared" si="10"/>
        <v>46224</v>
      </c>
      <c r="K80" s="32">
        <v>46224</v>
      </c>
      <c r="L80" s="33" t="s">
        <v>65</v>
      </c>
      <c r="M80" s="33" t="s">
        <v>3</v>
      </c>
      <c r="N80" s="32">
        <v>46202</v>
      </c>
      <c r="O80" s="32">
        <v>46206</v>
      </c>
      <c r="P80" s="33" t="s">
        <v>66</v>
      </c>
      <c r="Q80" s="33" t="s">
        <v>3</v>
      </c>
      <c r="R80" s="32">
        <v>46227</v>
      </c>
      <c r="S80" s="32">
        <v>46227</v>
      </c>
      <c r="T80" s="33" t="s">
        <v>67</v>
      </c>
      <c r="U80" s="33" t="s">
        <v>3</v>
      </c>
      <c r="V80" s="32">
        <v>46227</v>
      </c>
      <c r="W80" s="32">
        <v>46227</v>
      </c>
      <c r="X80" s="33" t="s">
        <v>68</v>
      </c>
      <c r="Y80" s="33" t="s">
        <v>3</v>
      </c>
      <c r="Z80" s="32">
        <v>46216</v>
      </c>
      <c r="AA80" s="32">
        <v>46234</v>
      </c>
      <c r="AB80" s="75">
        <f t="shared" si="11"/>
        <v>1</v>
      </c>
      <c r="AC80" s="33" t="str">
        <f>IF(G80="已完成","正常",IF(OR(G80="暂停",G80="挂起"),"暂停",IF(J80="","日期缺失",IF(J80&lt;项目驾驶舱!$B$3,"已延期",IF(J80&lt;=项目驾驶舱!$B$3+7,"临近到期","正常")))))</f>
        <v>正常</v>
      </c>
      <c r="AD80" s="33" t="s">
        <v>69</v>
      </c>
      <c r="AE80" s="34" t="s">
        <v>69</v>
      </c>
    </row>
    <row r="81" ht="17" customHeight="1" spans="1:31">
      <c r="A81" s="31" t="s">
        <v>247</v>
      </c>
      <c r="B81" s="33" t="s">
        <v>248</v>
      </c>
      <c r="C81" s="33" t="s">
        <v>249</v>
      </c>
      <c r="D81" s="33" t="s">
        <v>250</v>
      </c>
      <c r="E81" s="33" t="s">
        <v>64</v>
      </c>
      <c r="F81" s="33" t="s">
        <v>26</v>
      </c>
      <c r="G81" s="33" t="str">
        <f t="shared" ref="G81:G97" si="12">IF(OR(M81="挂起",M81="暂停",Q81="挂起",Q81="暂停",U81="挂起",U81="暂停",Y81="挂起",Y81="暂停"),"暂停","未开始")</f>
        <v>未开始</v>
      </c>
      <c r="H81" s="33" t="str">
        <f t="shared" si="8"/>
        <v>郑士旺</v>
      </c>
      <c r="I81" s="32">
        <f t="shared" si="9"/>
        <v>46223</v>
      </c>
      <c r="J81" s="32">
        <f t="shared" si="10"/>
        <v>46339</v>
      </c>
      <c r="K81" s="32"/>
      <c r="L81" s="33" t="s">
        <v>65</v>
      </c>
      <c r="M81" s="33" t="s">
        <v>5</v>
      </c>
      <c r="N81" s="32">
        <v>46223</v>
      </c>
      <c r="O81" s="32">
        <v>46227</v>
      </c>
      <c r="P81" s="33" t="s">
        <v>66</v>
      </c>
      <c r="Q81" s="33" t="s">
        <v>5</v>
      </c>
      <c r="R81" s="32">
        <v>46307</v>
      </c>
      <c r="S81" s="32">
        <v>46339</v>
      </c>
      <c r="T81" s="33" t="s">
        <v>67</v>
      </c>
      <c r="U81" s="33" t="s">
        <v>5</v>
      </c>
      <c r="V81" s="32">
        <v>46307</v>
      </c>
      <c r="W81" s="32">
        <v>46339</v>
      </c>
      <c r="X81" s="33" t="s">
        <v>68</v>
      </c>
      <c r="Y81" s="33" t="s">
        <v>5</v>
      </c>
      <c r="Z81" s="32">
        <v>46307</v>
      </c>
      <c r="AA81" s="32">
        <v>46318</v>
      </c>
      <c r="AB81" s="75">
        <f t="shared" si="11"/>
        <v>0</v>
      </c>
      <c r="AC81" s="33" t="str">
        <f>IF(G81="已完成","正常",IF(OR(G81="暂停",G81="挂起"),"暂停",IF(J81="","日期缺失",IF(J81&lt;项目驾驶舱!$B$3,"已延期",IF(J81&lt;=项目驾驶舱!$B$3+7,"临近到期","正常")))))</f>
        <v>正常</v>
      </c>
      <c r="AD81" s="33" t="s">
        <v>69</v>
      </c>
      <c r="AE81" s="34" t="s">
        <v>69</v>
      </c>
    </row>
    <row r="82" ht="17" customHeight="1" spans="1:31">
      <c r="A82" s="31" t="s">
        <v>251</v>
      </c>
      <c r="B82" s="33" t="s">
        <v>248</v>
      </c>
      <c r="C82" s="33" t="s">
        <v>249</v>
      </c>
      <c r="D82" s="33" t="s">
        <v>252</v>
      </c>
      <c r="E82" s="33" t="s">
        <v>64</v>
      </c>
      <c r="F82" s="33" t="s">
        <v>26</v>
      </c>
      <c r="G82" s="33" t="str">
        <f t="shared" si="12"/>
        <v>未开始</v>
      </c>
      <c r="H82" s="33" t="str">
        <f t="shared" si="8"/>
        <v>郑士旺</v>
      </c>
      <c r="I82" s="32">
        <f t="shared" si="9"/>
        <v>46223</v>
      </c>
      <c r="J82" s="32">
        <f t="shared" si="10"/>
        <v>46339</v>
      </c>
      <c r="K82" s="32"/>
      <c r="L82" s="33" t="s">
        <v>65</v>
      </c>
      <c r="M82" s="33" t="s">
        <v>5</v>
      </c>
      <c r="N82" s="32">
        <v>46223</v>
      </c>
      <c r="O82" s="32">
        <v>46227</v>
      </c>
      <c r="P82" s="33" t="s">
        <v>66</v>
      </c>
      <c r="Q82" s="33" t="s">
        <v>5</v>
      </c>
      <c r="R82" s="32">
        <v>46307</v>
      </c>
      <c r="S82" s="32">
        <v>46339</v>
      </c>
      <c r="T82" s="33" t="s">
        <v>67</v>
      </c>
      <c r="U82" s="33" t="s">
        <v>5</v>
      </c>
      <c r="V82" s="32">
        <v>46307</v>
      </c>
      <c r="W82" s="32">
        <v>46339</v>
      </c>
      <c r="X82" s="33" t="s">
        <v>68</v>
      </c>
      <c r="Y82" s="33" t="s">
        <v>5</v>
      </c>
      <c r="Z82" s="32">
        <v>46307</v>
      </c>
      <c r="AA82" s="32">
        <v>46318</v>
      </c>
      <c r="AB82" s="75">
        <f t="shared" si="11"/>
        <v>0</v>
      </c>
      <c r="AC82" s="33" t="str">
        <f>IF(G82="已完成","正常",IF(OR(G82="暂停",G82="挂起"),"暂停",IF(J82="","日期缺失",IF(J82&lt;项目驾驶舱!$B$3,"已延期",IF(J82&lt;=项目驾驶舱!$B$3+7,"临近到期","正常")))))</f>
        <v>正常</v>
      </c>
      <c r="AD82" s="33" t="s">
        <v>69</v>
      </c>
      <c r="AE82" s="34" t="s">
        <v>69</v>
      </c>
    </row>
    <row r="83" ht="17" customHeight="1" spans="1:31">
      <c r="A83" s="31" t="s">
        <v>253</v>
      </c>
      <c r="B83" s="33" t="s">
        <v>248</v>
      </c>
      <c r="C83" s="33" t="s">
        <v>249</v>
      </c>
      <c r="D83" s="33" t="s">
        <v>254</v>
      </c>
      <c r="E83" s="33" t="s">
        <v>64</v>
      </c>
      <c r="F83" s="33" t="s">
        <v>26</v>
      </c>
      <c r="G83" s="33" t="str">
        <f t="shared" si="12"/>
        <v>未开始</v>
      </c>
      <c r="H83" s="33" t="str">
        <f t="shared" si="8"/>
        <v>郑士旺</v>
      </c>
      <c r="I83" s="32">
        <f t="shared" si="9"/>
        <v>46223</v>
      </c>
      <c r="J83" s="32">
        <f t="shared" si="10"/>
        <v>46261</v>
      </c>
      <c r="K83" s="32">
        <v>46261</v>
      </c>
      <c r="L83" s="33" t="s">
        <v>65</v>
      </c>
      <c r="M83" s="33" t="s">
        <v>5</v>
      </c>
      <c r="N83" s="32">
        <v>46223</v>
      </c>
      <c r="O83" s="32">
        <v>46227</v>
      </c>
      <c r="P83" s="33" t="s">
        <v>66</v>
      </c>
      <c r="Q83" s="33" t="s">
        <v>5</v>
      </c>
      <c r="R83" s="32">
        <v>46307</v>
      </c>
      <c r="S83" s="32">
        <v>46339</v>
      </c>
      <c r="T83" s="33" t="s">
        <v>67</v>
      </c>
      <c r="U83" s="33" t="s">
        <v>5</v>
      </c>
      <c r="V83" s="32">
        <v>46307</v>
      </c>
      <c r="W83" s="32">
        <v>46339</v>
      </c>
      <c r="X83" s="33" t="s">
        <v>68</v>
      </c>
      <c r="Y83" s="33" t="s">
        <v>5</v>
      </c>
      <c r="Z83" s="32">
        <v>46307</v>
      </c>
      <c r="AA83" s="32">
        <v>46318</v>
      </c>
      <c r="AB83" s="75">
        <f t="shared" si="11"/>
        <v>0</v>
      </c>
      <c r="AC83" s="33" t="str">
        <f>IF(G83="已完成","正常",IF(OR(G83="暂停",G83="挂起"),"暂停",IF(J83="","日期缺失",IF(J83&lt;项目驾驶舱!$B$3,"已延期",IF(J83&lt;=项目驾驶舱!$B$3+7,"临近到期","正常")))))</f>
        <v>已延期</v>
      </c>
      <c r="AD83" s="33" t="s">
        <v>69</v>
      </c>
      <c r="AE83" s="34" t="s">
        <v>69</v>
      </c>
    </row>
    <row r="84" ht="17" customHeight="1" spans="1:31">
      <c r="A84" s="31" t="s">
        <v>255</v>
      </c>
      <c r="B84" s="33" t="s">
        <v>248</v>
      </c>
      <c r="C84" s="33" t="s">
        <v>256</v>
      </c>
      <c r="D84" s="33" t="s">
        <v>257</v>
      </c>
      <c r="E84" s="33" t="s">
        <v>64</v>
      </c>
      <c r="F84" s="33" t="s">
        <v>26</v>
      </c>
      <c r="G84" s="33" t="str">
        <f t="shared" si="12"/>
        <v>未开始</v>
      </c>
      <c r="H84" s="33" t="str">
        <f t="shared" si="8"/>
        <v>郑士旺</v>
      </c>
      <c r="I84" s="32">
        <f t="shared" si="9"/>
        <v>46230</v>
      </c>
      <c r="J84" s="32">
        <f t="shared" si="10"/>
        <v>46353</v>
      </c>
      <c r="K84" s="32"/>
      <c r="L84" s="33" t="s">
        <v>65</v>
      </c>
      <c r="M84" s="33" t="s">
        <v>5</v>
      </c>
      <c r="N84" s="32">
        <v>46230</v>
      </c>
      <c r="O84" s="32">
        <v>46241</v>
      </c>
      <c r="P84" s="33" t="s">
        <v>66</v>
      </c>
      <c r="Q84" s="33" t="s">
        <v>5</v>
      </c>
      <c r="R84" s="32">
        <v>46307</v>
      </c>
      <c r="S84" s="32">
        <v>46339</v>
      </c>
      <c r="T84" s="33" t="s">
        <v>67</v>
      </c>
      <c r="U84" s="33" t="s">
        <v>5</v>
      </c>
      <c r="V84" s="32">
        <v>46307</v>
      </c>
      <c r="W84" s="32">
        <v>46339</v>
      </c>
      <c r="X84" s="33" t="s">
        <v>68</v>
      </c>
      <c r="Y84" s="33" t="s">
        <v>5</v>
      </c>
      <c r="Z84" s="32">
        <v>46342</v>
      </c>
      <c r="AA84" s="32">
        <v>46353</v>
      </c>
      <c r="AB84" s="75">
        <f t="shared" si="11"/>
        <v>0</v>
      </c>
      <c r="AC84" s="33" t="str">
        <f>IF(G84="已完成","正常",IF(OR(G84="暂停",G84="挂起"),"暂停",IF(J84="","日期缺失",IF(J84&lt;项目驾驶舱!$B$3,"已延期",IF(J84&lt;=项目驾驶舱!$B$3+7,"临近到期","正常")))))</f>
        <v>正常</v>
      </c>
      <c r="AD84" s="33" t="s">
        <v>69</v>
      </c>
      <c r="AE84" s="34" t="s">
        <v>69</v>
      </c>
    </row>
    <row r="85" ht="17" customHeight="1" spans="1:31">
      <c r="A85" s="31" t="s">
        <v>258</v>
      </c>
      <c r="B85" s="33" t="s">
        <v>248</v>
      </c>
      <c r="C85" s="33" t="s">
        <v>256</v>
      </c>
      <c r="D85" s="33" t="s">
        <v>259</v>
      </c>
      <c r="E85" s="33" t="s">
        <v>64</v>
      </c>
      <c r="F85" s="33" t="s">
        <v>26</v>
      </c>
      <c r="G85" s="33" t="str">
        <f t="shared" si="12"/>
        <v>未开始</v>
      </c>
      <c r="H85" s="33" t="str">
        <f t="shared" si="8"/>
        <v>郑士旺</v>
      </c>
      <c r="I85" s="32">
        <f t="shared" si="9"/>
        <v>46230</v>
      </c>
      <c r="J85" s="32">
        <f t="shared" si="10"/>
        <v>46224</v>
      </c>
      <c r="K85" s="32">
        <v>46224</v>
      </c>
      <c r="L85" s="33" t="s">
        <v>65</v>
      </c>
      <c r="M85" s="33" t="s">
        <v>5</v>
      </c>
      <c r="N85" s="32">
        <v>46230</v>
      </c>
      <c r="O85" s="32">
        <v>46241</v>
      </c>
      <c r="P85" s="33" t="s">
        <v>66</v>
      </c>
      <c r="Q85" s="33" t="s">
        <v>5</v>
      </c>
      <c r="R85" s="32">
        <v>46307</v>
      </c>
      <c r="S85" s="32">
        <v>46339</v>
      </c>
      <c r="T85" s="33" t="s">
        <v>67</v>
      </c>
      <c r="U85" s="33" t="s">
        <v>5</v>
      </c>
      <c r="V85" s="32">
        <v>46307</v>
      </c>
      <c r="W85" s="32">
        <v>46339</v>
      </c>
      <c r="X85" s="33" t="s">
        <v>68</v>
      </c>
      <c r="Y85" s="33" t="s">
        <v>5</v>
      </c>
      <c r="Z85" s="32">
        <v>46342</v>
      </c>
      <c r="AA85" s="32">
        <v>46353</v>
      </c>
      <c r="AB85" s="75">
        <f t="shared" si="11"/>
        <v>0</v>
      </c>
      <c r="AC85" s="33" t="str">
        <f>IF(G85="已完成","正常",IF(OR(G85="暂停",G85="挂起"),"暂停",IF(J85="","日期缺失",IF(J85&lt;项目驾驶舱!$B$3,"已延期",IF(J85&lt;=项目驾驶舱!$B$3+7,"临近到期","正常")))))</f>
        <v>已延期</v>
      </c>
      <c r="AD85" s="33" t="s">
        <v>69</v>
      </c>
      <c r="AE85" s="34" t="s">
        <v>69</v>
      </c>
    </row>
    <row r="86" ht="17" customHeight="1" spans="1:31">
      <c r="A86" s="31" t="s">
        <v>260</v>
      </c>
      <c r="B86" s="33" t="s">
        <v>248</v>
      </c>
      <c r="C86" s="33" t="s">
        <v>261</v>
      </c>
      <c r="D86" s="33" t="s">
        <v>257</v>
      </c>
      <c r="E86" s="33" t="s">
        <v>64</v>
      </c>
      <c r="F86" s="33" t="s">
        <v>26</v>
      </c>
      <c r="G86" s="33" t="str">
        <f t="shared" si="12"/>
        <v>未开始</v>
      </c>
      <c r="H86" s="33" t="str">
        <f t="shared" si="8"/>
        <v>郑士旺</v>
      </c>
      <c r="I86" s="32">
        <f t="shared" si="9"/>
        <v>46230</v>
      </c>
      <c r="J86" s="32">
        <f t="shared" si="10"/>
        <v>46224</v>
      </c>
      <c r="K86" s="32">
        <v>46224</v>
      </c>
      <c r="L86" s="33" t="s">
        <v>65</v>
      </c>
      <c r="M86" s="33" t="s">
        <v>5</v>
      </c>
      <c r="N86" s="32">
        <v>46230</v>
      </c>
      <c r="O86" s="32">
        <v>46241</v>
      </c>
      <c r="P86" s="33" t="s">
        <v>66</v>
      </c>
      <c r="Q86" s="33" t="s">
        <v>5</v>
      </c>
      <c r="R86" s="32">
        <v>46307</v>
      </c>
      <c r="S86" s="32">
        <v>46339</v>
      </c>
      <c r="T86" s="33" t="s">
        <v>67</v>
      </c>
      <c r="U86" s="33" t="s">
        <v>5</v>
      </c>
      <c r="V86" s="32">
        <v>46307</v>
      </c>
      <c r="W86" s="32">
        <v>46339</v>
      </c>
      <c r="X86" s="33" t="s">
        <v>68</v>
      </c>
      <c r="Y86" s="33" t="s">
        <v>5</v>
      </c>
      <c r="Z86" s="32">
        <v>46342</v>
      </c>
      <c r="AA86" s="32">
        <v>46353</v>
      </c>
      <c r="AB86" s="75">
        <f t="shared" si="11"/>
        <v>0</v>
      </c>
      <c r="AC86" s="33" t="str">
        <f>IF(G86="已完成","正常",IF(OR(G86="暂停",G86="挂起"),"暂停",IF(J86="","日期缺失",IF(J86&lt;项目驾驶舱!$B$3,"已延期",IF(J86&lt;=项目驾驶舱!$B$3+7,"临近到期","正常")))))</f>
        <v>已延期</v>
      </c>
      <c r="AD86" s="33" t="s">
        <v>69</v>
      </c>
      <c r="AE86" s="34" t="s">
        <v>69</v>
      </c>
    </row>
    <row r="87" ht="17" customHeight="1" spans="1:31">
      <c r="A87" s="31" t="s">
        <v>262</v>
      </c>
      <c r="B87" s="33" t="s">
        <v>248</v>
      </c>
      <c r="C87" s="33" t="s">
        <v>261</v>
      </c>
      <c r="D87" s="33" t="s">
        <v>263</v>
      </c>
      <c r="E87" s="33" t="s">
        <v>64</v>
      </c>
      <c r="F87" s="33" t="s">
        <v>26</v>
      </c>
      <c r="G87" s="33" t="str">
        <f t="shared" si="12"/>
        <v>未开始</v>
      </c>
      <c r="H87" s="33" t="str">
        <f t="shared" si="8"/>
        <v>郑士旺</v>
      </c>
      <c r="I87" s="32">
        <f t="shared" si="9"/>
        <v>46230</v>
      </c>
      <c r="J87" s="32">
        <f t="shared" si="10"/>
        <v>46224</v>
      </c>
      <c r="K87" s="32">
        <v>46224</v>
      </c>
      <c r="L87" s="33" t="s">
        <v>65</v>
      </c>
      <c r="M87" s="33" t="s">
        <v>5</v>
      </c>
      <c r="N87" s="32">
        <v>46230</v>
      </c>
      <c r="O87" s="32">
        <v>46241</v>
      </c>
      <c r="P87" s="33" t="s">
        <v>66</v>
      </c>
      <c r="Q87" s="33" t="s">
        <v>5</v>
      </c>
      <c r="R87" s="32">
        <v>46307</v>
      </c>
      <c r="S87" s="32">
        <v>46339</v>
      </c>
      <c r="T87" s="33" t="s">
        <v>67</v>
      </c>
      <c r="U87" s="33" t="s">
        <v>5</v>
      </c>
      <c r="V87" s="32">
        <v>46307</v>
      </c>
      <c r="W87" s="32">
        <v>46339</v>
      </c>
      <c r="X87" s="33" t="s">
        <v>68</v>
      </c>
      <c r="Y87" s="33" t="s">
        <v>5</v>
      </c>
      <c r="Z87" s="32">
        <v>46342</v>
      </c>
      <c r="AA87" s="32">
        <v>46353</v>
      </c>
      <c r="AB87" s="75">
        <f t="shared" si="11"/>
        <v>0</v>
      </c>
      <c r="AC87" s="33" t="str">
        <f>IF(G87="已完成","正常",IF(OR(G87="暂停",G87="挂起"),"暂停",IF(J87="","日期缺失",IF(J87&lt;项目驾驶舱!$B$3,"已延期",IF(J87&lt;=项目驾驶舱!$B$3+7,"临近到期","正常")))))</f>
        <v>已延期</v>
      </c>
      <c r="AD87" s="33" t="s">
        <v>69</v>
      </c>
      <c r="AE87" s="34" t="s">
        <v>69</v>
      </c>
    </row>
    <row r="88" ht="17" customHeight="1" spans="1:31">
      <c r="A88" s="31" t="s">
        <v>264</v>
      </c>
      <c r="B88" s="33" t="s">
        <v>248</v>
      </c>
      <c r="C88" s="33" t="s">
        <v>265</v>
      </c>
      <c r="D88" s="33" t="s">
        <v>257</v>
      </c>
      <c r="E88" s="33" t="s">
        <v>64</v>
      </c>
      <c r="F88" s="33" t="s">
        <v>26</v>
      </c>
      <c r="G88" s="33" t="str">
        <f t="shared" si="12"/>
        <v>未开始</v>
      </c>
      <c r="H88" s="33" t="str">
        <f t="shared" si="8"/>
        <v>郑士旺</v>
      </c>
      <c r="I88" s="32">
        <f t="shared" si="9"/>
        <v>46230</v>
      </c>
      <c r="J88" s="32">
        <f t="shared" si="10"/>
        <v>46224</v>
      </c>
      <c r="K88" s="32">
        <v>46224</v>
      </c>
      <c r="L88" s="33" t="s">
        <v>65</v>
      </c>
      <c r="M88" s="33" t="s">
        <v>5</v>
      </c>
      <c r="N88" s="32">
        <v>46230</v>
      </c>
      <c r="O88" s="32">
        <v>46241</v>
      </c>
      <c r="P88" s="33" t="s">
        <v>66</v>
      </c>
      <c r="Q88" s="33" t="s">
        <v>5</v>
      </c>
      <c r="R88" s="32">
        <v>46307</v>
      </c>
      <c r="S88" s="32">
        <v>46339</v>
      </c>
      <c r="T88" s="33" t="s">
        <v>67</v>
      </c>
      <c r="U88" s="33" t="s">
        <v>5</v>
      </c>
      <c r="V88" s="32">
        <v>46307</v>
      </c>
      <c r="W88" s="32">
        <v>46339</v>
      </c>
      <c r="X88" s="33" t="s">
        <v>68</v>
      </c>
      <c r="Y88" s="33" t="s">
        <v>5</v>
      </c>
      <c r="Z88" s="32">
        <v>46342</v>
      </c>
      <c r="AA88" s="32">
        <v>46353</v>
      </c>
      <c r="AB88" s="75">
        <f t="shared" si="11"/>
        <v>0</v>
      </c>
      <c r="AC88" s="33" t="str">
        <f>IF(G88="已完成","正常",IF(OR(G88="暂停",G88="挂起"),"暂停",IF(J88="","日期缺失",IF(J88&lt;项目驾驶舱!$B$3,"已延期",IF(J88&lt;=项目驾驶舱!$B$3+7,"临近到期","正常")))))</f>
        <v>已延期</v>
      </c>
      <c r="AD88" s="33" t="s">
        <v>69</v>
      </c>
      <c r="AE88" s="34" t="s">
        <v>69</v>
      </c>
    </row>
    <row r="89" ht="17" customHeight="1" spans="1:31">
      <c r="A89" s="31" t="s">
        <v>266</v>
      </c>
      <c r="B89" s="33" t="s">
        <v>248</v>
      </c>
      <c r="C89" s="33" t="s">
        <v>265</v>
      </c>
      <c r="D89" s="33" t="s">
        <v>259</v>
      </c>
      <c r="E89" s="33" t="s">
        <v>64</v>
      </c>
      <c r="F89" s="33" t="s">
        <v>26</v>
      </c>
      <c r="G89" s="33" t="str">
        <f t="shared" si="12"/>
        <v>未开始</v>
      </c>
      <c r="H89" s="33" t="str">
        <f t="shared" si="8"/>
        <v>郑士旺</v>
      </c>
      <c r="I89" s="32">
        <f t="shared" si="9"/>
        <v>46230</v>
      </c>
      <c r="J89" s="32">
        <f t="shared" si="10"/>
        <v>46224</v>
      </c>
      <c r="K89" s="32">
        <v>46224</v>
      </c>
      <c r="L89" s="33" t="s">
        <v>65</v>
      </c>
      <c r="M89" s="33" t="s">
        <v>5</v>
      </c>
      <c r="N89" s="32">
        <v>46230</v>
      </c>
      <c r="O89" s="32">
        <v>46241</v>
      </c>
      <c r="P89" s="33" t="s">
        <v>66</v>
      </c>
      <c r="Q89" s="33" t="s">
        <v>5</v>
      </c>
      <c r="R89" s="32">
        <v>46307</v>
      </c>
      <c r="S89" s="32">
        <v>46339</v>
      </c>
      <c r="T89" s="33" t="s">
        <v>67</v>
      </c>
      <c r="U89" s="33" t="s">
        <v>5</v>
      </c>
      <c r="V89" s="32">
        <v>46307</v>
      </c>
      <c r="W89" s="32">
        <v>46339</v>
      </c>
      <c r="X89" s="33" t="s">
        <v>68</v>
      </c>
      <c r="Y89" s="33" t="s">
        <v>5</v>
      </c>
      <c r="Z89" s="32">
        <v>46342</v>
      </c>
      <c r="AA89" s="32">
        <v>46353</v>
      </c>
      <c r="AB89" s="75">
        <f t="shared" si="11"/>
        <v>0</v>
      </c>
      <c r="AC89" s="33" t="str">
        <f>IF(G89="已完成","正常",IF(OR(G89="暂停",G89="挂起"),"暂停",IF(J89="","日期缺失",IF(J89&lt;项目驾驶舱!$B$3,"已延期",IF(J89&lt;=项目驾驶舱!$B$3+7,"临近到期","正常")))))</f>
        <v>已延期</v>
      </c>
      <c r="AD89" s="33" t="s">
        <v>69</v>
      </c>
      <c r="AE89" s="34" t="s">
        <v>69</v>
      </c>
    </row>
    <row r="90" ht="17" customHeight="1" spans="1:31">
      <c r="A90" s="31" t="s">
        <v>267</v>
      </c>
      <c r="B90" s="33" t="s">
        <v>248</v>
      </c>
      <c r="C90" s="33" t="s">
        <v>268</v>
      </c>
      <c r="D90" s="33" t="s">
        <v>257</v>
      </c>
      <c r="E90" s="33" t="s">
        <v>64</v>
      </c>
      <c r="F90" s="33" t="s">
        <v>26</v>
      </c>
      <c r="G90" s="33" t="str">
        <f t="shared" si="12"/>
        <v>未开始</v>
      </c>
      <c r="H90" s="33" t="str">
        <f t="shared" si="8"/>
        <v>郑士旺</v>
      </c>
      <c r="I90" s="32">
        <f t="shared" si="9"/>
        <v>46230</v>
      </c>
      <c r="J90" s="32">
        <f t="shared" si="10"/>
        <v>46224</v>
      </c>
      <c r="K90" s="32">
        <v>46224</v>
      </c>
      <c r="L90" s="33" t="s">
        <v>65</v>
      </c>
      <c r="M90" s="33" t="s">
        <v>5</v>
      </c>
      <c r="N90" s="32">
        <v>46230</v>
      </c>
      <c r="O90" s="32">
        <v>46241</v>
      </c>
      <c r="P90" s="33" t="s">
        <v>66</v>
      </c>
      <c r="Q90" s="33" t="s">
        <v>5</v>
      </c>
      <c r="R90" s="32">
        <v>46307</v>
      </c>
      <c r="S90" s="32">
        <v>46339</v>
      </c>
      <c r="T90" s="33" t="s">
        <v>67</v>
      </c>
      <c r="U90" s="33" t="s">
        <v>5</v>
      </c>
      <c r="V90" s="32">
        <v>46307</v>
      </c>
      <c r="W90" s="32">
        <v>46339</v>
      </c>
      <c r="X90" s="33" t="s">
        <v>68</v>
      </c>
      <c r="Y90" s="33" t="s">
        <v>5</v>
      </c>
      <c r="Z90" s="32">
        <v>46342</v>
      </c>
      <c r="AA90" s="32">
        <v>46353</v>
      </c>
      <c r="AB90" s="75">
        <f t="shared" si="11"/>
        <v>0</v>
      </c>
      <c r="AC90" s="33" t="str">
        <f>IF(G90="已完成","正常",IF(OR(G90="暂停",G90="挂起"),"暂停",IF(J90="","日期缺失",IF(J90&lt;项目驾驶舱!$B$3,"已延期",IF(J90&lt;=项目驾驶舱!$B$3+7,"临近到期","正常")))))</f>
        <v>已延期</v>
      </c>
      <c r="AD90" s="33" t="s">
        <v>69</v>
      </c>
      <c r="AE90" s="34" t="s">
        <v>69</v>
      </c>
    </row>
    <row r="91" ht="17" customHeight="1" spans="1:31">
      <c r="A91" s="31" t="s">
        <v>269</v>
      </c>
      <c r="B91" s="33" t="s">
        <v>248</v>
      </c>
      <c r="C91" s="33" t="s">
        <v>268</v>
      </c>
      <c r="D91" s="33" t="s">
        <v>259</v>
      </c>
      <c r="E91" s="33" t="s">
        <v>64</v>
      </c>
      <c r="F91" s="33" t="s">
        <v>26</v>
      </c>
      <c r="G91" s="33" t="str">
        <f t="shared" si="12"/>
        <v>未开始</v>
      </c>
      <c r="H91" s="33" t="str">
        <f t="shared" si="8"/>
        <v>郑士旺</v>
      </c>
      <c r="I91" s="32">
        <f t="shared" si="9"/>
        <v>46230</v>
      </c>
      <c r="J91" s="32">
        <f t="shared" si="10"/>
        <v>46353</v>
      </c>
      <c r="K91" s="32"/>
      <c r="L91" s="33" t="s">
        <v>65</v>
      </c>
      <c r="M91" s="33" t="s">
        <v>5</v>
      </c>
      <c r="N91" s="32">
        <v>46230</v>
      </c>
      <c r="O91" s="32">
        <v>46241</v>
      </c>
      <c r="P91" s="33" t="s">
        <v>66</v>
      </c>
      <c r="Q91" s="33" t="s">
        <v>5</v>
      </c>
      <c r="R91" s="32">
        <v>46307</v>
      </c>
      <c r="S91" s="32">
        <v>46339</v>
      </c>
      <c r="T91" s="33" t="s">
        <v>67</v>
      </c>
      <c r="U91" s="33" t="s">
        <v>5</v>
      </c>
      <c r="V91" s="32">
        <v>46307</v>
      </c>
      <c r="W91" s="32">
        <v>46339</v>
      </c>
      <c r="X91" s="33" t="s">
        <v>68</v>
      </c>
      <c r="Y91" s="33" t="s">
        <v>5</v>
      </c>
      <c r="Z91" s="32">
        <v>46342</v>
      </c>
      <c r="AA91" s="32">
        <v>46353</v>
      </c>
      <c r="AB91" s="75">
        <f t="shared" si="11"/>
        <v>0</v>
      </c>
      <c r="AC91" s="33" t="str">
        <f>IF(G91="已完成","正常",IF(OR(G91="暂停",G91="挂起"),"暂停",IF(J91="","日期缺失",IF(J91&lt;项目驾驶舱!$B$3,"已延期",IF(J91&lt;=项目驾驶舱!$B$3+7,"临近到期","正常")))))</f>
        <v>正常</v>
      </c>
      <c r="AD91" s="33" t="s">
        <v>69</v>
      </c>
      <c r="AE91" s="34" t="s">
        <v>69</v>
      </c>
    </row>
    <row r="92" ht="17" customHeight="1" spans="1:31">
      <c r="A92" s="31" t="s">
        <v>270</v>
      </c>
      <c r="B92" s="33" t="s">
        <v>248</v>
      </c>
      <c r="C92" s="33" t="s">
        <v>271</v>
      </c>
      <c r="D92" s="33" t="s">
        <v>272</v>
      </c>
      <c r="E92" s="33" t="s">
        <v>64</v>
      </c>
      <c r="F92" s="33" t="s">
        <v>26</v>
      </c>
      <c r="G92" s="33" t="str">
        <f t="shared" si="12"/>
        <v>未开始</v>
      </c>
      <c r="H92" s="33" t="str">
        <f t="shared" si="8"/>
        <v>郑士旺</v>
      </c>
      <c r="I92" s="32">
        <f t="shared" si="9"/>
        <v>46230</v>
      </c>
      <c r="J92" s="32">
        <f t="shared" si="10"/>
        <v>46353</v>
      </c>
      <c r="K92" s="32"/>
      <c r="L92" s="33" t="s">
        <v>65</v>
      </c>
      <c r="M92" s="33" t="s">
        <v>5</v>
      </c>
      <c r="N92" s="32">
        <v>46230</v>
      </c>
      <c r="O92" s="32">
        <v>46241</v>
      </c>
      <c r="P92" s="33" t="s">
        <v>66</v>
      </c>
      <c r="Q92" s="33" t="s">
        <v>5</v>
      </c>
      <c r="R92" s="32">
        <v>46307</v>
      </c>
      <c r="S92" s="32">
        <v>46339</v>
      </c>
      <c r="T92" s="33" t="s">
        <v>67</v>
      </c>
      <c r="U92" s="33" t="s">
        <v>5</v>
      </c>
      <c r="V92" s="32">
        <v>46307</v>
      </c>
      <c r="W92" s="32">
        <v>46339</v>
      </c>
      <c r="X92" s="33" t="s">
        <v>68</v>
      </c>
      <c r="Y92" s="33" t="s">
        <v>5</v>
      </c>
      <c r="Z92" s="32">
        <v>46342</v>
      </c>
      <c r="AA92" s="32">
        <v>46353</v>
      </c>
      <c r="AB92" s="75">
        <f t="shared" si="11"/>
        <v>0</v>
      </c>
      <c r="AC92" s="33" t="str">
        <f>IF(G92="已完成","正常",IF(OR(G92="暂停",G92="挂起"),"暂停",IF(J92="","日期缺失",IF(J92&lt;项目驾驶舱!$B$3,"已延期",IF(J92&lt;=项目驾驶舱!$B$3+7,"临近到期","正常")))))</f>
        <v>正常</v>
      </c>
      <c r="AD92" s="33" t="s">
        <v>69</v>
      </c>
      <c r="AE92" s="34" t="s">
        <v>69</v>
      </c>
    </row>
    <row r="93" ht="17" customHeight="1" spans="1:31">
      <c r="A93" s="31" t="s">
        <v>273</v>
      </c>
      <c r="B93" s="33" t="s">
        <v>248</v>
      </c>
      <c r="C93" s="33" t="s">
        <v>271</v>
      </c>
      <c r="D93" s="33" t="s">
        <v>274</v>
      </c>
      <c r="E93" s="33" t="s">
        <v>64</v>
      </c>
      <c r="F93" s="33" t="s">
        <v>26</v>
      </c>
      <c r="G93" s="33" t="str">
        <f t="shared" si="12"/>
        <v>未开始</v>
      </c>
      <c r="H93" s="33" t="str">
        <f t="shared" si="8"/>
        <v>郑士旺</v>
      </c>
      <c r="I93" s="32">
        <f t="shared" si="9"/>
        <v>46230</v>
      </c>
      <c r="J93" s="32">
        <f t="shared" si="10"/>
        <v>46353</v>
      </c>
      <c r="K93" s="32"/>
      <c r="L93" s="33" t="s">
        <v>65</v>
      </c>
      <c r="M93" s="33" t="s">
        <v>5</v>
      </c>
      <c r="N93" s="32">
        <v>46230</v>
      </c>
      <c r="O93" s="32">
        <v>46241</v>
      </c>
      <c r="P93" s="33" t="s">
        <v>66</v>
      </c>
      <c r="Q93" s="33" t="s">
        <v>5</v>
      </c>
      <c r="R93" s="32">
        <v>46307</v>
      </c>
      <c r="S93" s="32">
        <v>46339</v>
      </c>
      <c r="T93" s="33" t="s">
        <v>67</v>
      </c>
      <c r="U93" s="33" t="s">
        <v>5</v>
      </c>
      <c r="V93" s="32">
        <v>46307</v>
      </c>
      <c r="W93" s="32">
        <v>46339</v>
      </c>
      <c r="X93" s="33" t="s">
        <v>68</v>
      </c>
      <c r="Y93" s="33" t="s">
        <v>5</v>
      </c>
      <c r="Z93" s="32">
        <v>46342</v>
      </c>
      <c r="AA93" s="32">
        <v>46353</v>
      </c>
      <c r="AB93" s="75">
        <f t="shared" si="11"/>
        <v>0</v>
      </c>
      <c r="AC93" s="33" t="str">
        <f>IF(G93="已完成","正常",IF(OR(G93="暂停",G93="挂起"),"暂停",IF(J93="","日期缺失",IF(J93&lt;项目驾驶舱!$B$3,"已延期",IF(J93&lt;=项目驾驶舱!$B$3+7,"临近到期","正常")))))</f>
        <v>正常</v>
      </c>
      <c r="AD93" s="33" t="s">
        <v>69</v>
      </c>
      <c r="AE93" s="34" t="s">
        <v>69</v>
      </c>
    </row>
    <row r="94" ht="34" customHeight="1" spans="1:31">
      <c r="A94" s="31" t="s">
        <v>275</v>
      </c>
      <c r="B94" s="33" t="s">
        <v>248</v>
      </c>
      <c r="C94" s="33" t="s">
        <v>271</v>
      </c>
      <c r="D94" s="33" t="s">
        <v>276</v>
      </c>
      <c r="E94" s="33" t="s">
        <v>64</v>
      </c>
      <c r="F94" s="33" t="s">
        <v>26</v>
      </c>
      <c r="G94" s="33" t="str">
        <f t="shared" si="12"/>
        <v>未开始</v>
      </c>
      <c r="H94" s="33" t="str">
        <f t="shared" si="8"/>
        <v>郑士旺</v>
      </c>
      <c r="I94" s="32">
        <f t="shared" si="9"/>
        <v>46230</v>
      </c>
      <c r="J94" s="32">
        <f t="shared" si="10"/>
        <v>46353</v>
      </c>
      <c r="K94" s="32"/>
      <c r="L94" s="33" t="s">
        <v>65</v>
      </c>
      <c r="M94" s="33" t="s">
        <v>5</v>
      </c>
      <c r="N94" s="32">
        <v>46230</v>
      </c>
      <c r="O94" s="32">
        <v>46241</v>
      </c>
      <c r="P94" s="33" t="s">
        <v>66</v>
      </c>
      <c r="Q94" s="33" t="s">
        <v>5</v>
      </c>
      <c r="R94" s="32">
        <v>46307</v>
      </c>
      <c r="S94" s="32">
        <v>46339</v>
      </c>
      <c r="T94" s="33" t="s">
        <v>67</v>
      </c>
      <c r="U94" s="33" t="s">
        <v>5</v>
      </c>
      <c r="V94" s="32">
        <v>46307</v>
      </c>
      <c r="W94" s="32">
        <v>46339</v>
      </c>
      <c r="X94" s="33" t="s">
        <v>68</v>
      </c>
      <c r="Y94" s="33" t="s">
        <v>5</v>
      </c>
      <c r="Z94" s="32">
        <v>46342</v>
      </c>
      <c r="AA94" s="32">
        <v>46353</v>
      </c>
      <c r="AB94" s="75">
        <f t="shared" si="11"/>
        <v>0</v>
      </c>
      <c r="AC94" s="33" t="str">
        <f>IF(G94="已完成","正常",IF(OR(G94="暂停",G94="挂起"),"暂停",IF(J94="","日期缺失",IF(J94&lt;项目驾驶舱!$B$3,"已延期",IF(J94&lt;=项目驾驶舱!$B$3+7,"临近到期","正常")))))</f>
        <v>正常</v>
      </c>
      <c r="AD94" s="33" t="s">
        <v>69</v>
      </c>
      <c r="AE94" s="34" t="s">
        <v>69</v>
      </c>
    </row>
    <row r="95" ht="34" customHeight="1" spans="1:31">
      <c r="A95" s="31" t="s">
        <v>277</v>
      </c>
      <c r="B95" s="33" t="s">
        <v>248</v>
      </c>
      <c r="C95" s="33" t="s">
        <v>271</v>
      </c>
      <c r="D95" s="33" t="s">
        <v>278</v>
      </c>
      <c r="E95" s="33" t="s">
        <v>64</v>
      </c>
      <c r="F95" s="33" t="s">
        <v>26</v>
      </c>
      <c r="G95" s="33" t="str">
        <f t="shared" si="12"/>
        <v>未开始</v>
      </c>
      <c r="H95" s="33" t="str">
        <f t="shared" si="8"/>
        <v>郑士旺</v>
      </c>
      <c r="I95" s="32">
        <f t="shared" si="9"/>
        <v>46230</v>
      </c>
      <c r="J95" s="32">
        <f t="shared" si="10"/>
        <v>46353</v>
      </c>
      <c r="K95" s="32"/>
      <c r="L95" s="33" t="s">
        <v>65</v>
      </c>
      <c r="M95" s="33" t="s">
        <v>5</v>
      </c>
      <c r="N95" s="32">
        <v>46230</v>
      </c>
      <c r="O95" s="32">
        <v>46241</v>
      </c>
      <c r="P95" s="33" t="s">
        <v>66</v>
      </c>
      <c r="Q95" s="33" t="s">
        <v>5</v>
      </c>
      <c r="R95" s="32">
        <v>46307</v>
      </c>
      <c r="S95" s="32">
        <v>46339</v>
      </c>
      <c r="T95" s="33" t="s">
        <v>67</v>
      </c>
      <c r="U95" s="33" t="s">
        <v>5</v>
      </c>
      <c r="V95" s="32">
        <v>46307</v>
      </c>
      <c r="W95" s="32">
        <v>46339</v>
      </c>
      <c r="X95" s="33" t="s">
        <v>68</v>
      </c>
      <c r="Y95" s="33" t="s">
        <v>5</v>
      </c>
      <c r="Z95" s="32">
        <v>46342</v>
      </c>
      <c r="AA95" s="32">
        <v>46353</v>
      </c>
      <c r="AB95" s="75">
        <f t="shared" si="11"/>
        <v>0</v>
      </c>
      <c r="AC95" s="33" t="str">
        <f>IF(G95="已完成","正常",IF(OR(G95="暂停",G95="挂起"),"暂停",IF(J95="","日期缺失",IF(J95&lt;项目驾驶舱!$B$3,"已延期",IF(J95&lt;=项目驾驶舱!$B$3+7,"临近到期","正常")))))</f>
        <v>正常</v>
      </c>
      <c r="AD95" s="33" t="s">
        <v>69</v>
      </c>
      <c r="AE95" s="34" t="s">
        <v>69</v>
      </c>
    </row>
    <row r="96" ht="34" customHeight="1" spans="1:31">
      <c r="A96" s="31" t="s">
        <v>279</v>
      </c>
      <c r="B96" s="33" t="s">
        <v>248</v>
      </c>
      <c r="C96" s="33" t="s">
        <v>280</v>
      </c>
      <c r="D96" s="33" t="s">
        <v>257</v>
      </c>
      <c r="E96" s="33" t="s">
        <v>64</v>
      </c>
      <c r="F96" s="33" t="s">
        <v>26</v>
      </c>
      <c r="G96" s="33" t="str">
        <f t="shared" si="12"/>
        <v>未开始</v>
      </c>
      <c r="H96" s="33" t="str">
        <f t="shared" si="8"/>
        <v>郑士旺</v>
      </c>
      <c r="I96" s="32">
        <f t="shared" si="9"/>
        <v>46230</v>
      </c>
      <c r="J96" s="32">
        <f t="shared" si="10"/>
        <v>46353</v>
      </c>
      <c r="K96" s="32"/>
      <c r="L96" s="33" t="s">
        <v>65</v>
      </c>
      <c r="M96" s="33" t="s">
        <v>5</v>
      </c>
      <c r="N96" s="32">
        <v>46230</v>
      </c>
      <c r="O96" s="32">
        <v>46241</v>
      </c>
      <c r="P96" s="33" t="s">
        <v>66</v>
      </c>
      <c r="Q96" s="33" t="s">
        <v>5</v>
      </c>
      <c r="R96" s="32">
        <v>46307</v>
      </c>
      <c r="S96" s="32">
        <v>46339</v>
      </c>
      <c r="T96" s="33" t="s">
        <v>67</v>
      </c>
      <c r="U96" s="33" t="s">
        <v>5</v>
      </c>
      <c r="V96" s="32">
        <v>46307</v>
      </c>
      <c r="W96" s="32">
        <v>46339</v>
      </c>
      <c r="X96" s="33" t="s">
        <v>68</v>
      </c>
      <c r="Y96" s="33" t="s">
        <v>5</v>
      </c>
      <c r="Z96" s="32">
        <v>46342</v>
      </c>
      <c r="AA96" s="32">
        <v>46353</v>
      </c>
      <c r="AB96" s="75">
        <f t="shared" si="11"/>
        <v>0</v>
      </c>
      <c r="AC96" s="33" t="str">
        <f>IF(G96="已完成","正常",IF(OR(G96="暂停",G96="挂起"),"暂停",IF(J96="","日期缺失",IF(J96&lt;项目驾驶舱!$B$3,"已延期",IF(J96&lt;=项目驾驶舱!$B$3+7,"临近到期","正常")))))</f>
        <v>正常</v>
      </c>
      <c r="AD96" s="33" t="s">
        <v>69</v>
      </c>
      <c r="AE96" s="34" t="s">
        <v>69</v>
      </c>
    </row>
    <row r="97" ht="34" customHeight="1" spans="1:31">
      <c r="A97" s="31" t="s">
        <v>281</v>
      </c>
      <c r="B97" s="33" t="s">
        <v>248</v>
      </c>
      <c r="C97" s="33" t="s">
        <v>280</v>
      </c>
      <c r="D97" s="33" t="s">
        <v>259</v>
      </c>
      <c r="E97" s="33" t="s">
        <v>64</v>
      </c>
      <c r="F97" s="33" t="s">
        <v>26</v>
      </c>
      <c r="G97" s="33" t="str">
        <f t="shared" si="12"/>
        <v>未开始</v>
      </c>
      <c r="H97" s="33" t="str">
        <f t="shared" si="8"/>
        <v>郑士旺</v>
      </c>
      <c r="I97" s="32">
        <f t="shared" si="9"/>
        <v>46230</v>
      </c>
      <c r="J97" s="32">
        <f t="shared" si="10"/>
        <v>46353</v>
      </c>
      <c r="K97" s="32"/>
      <c r="L97" s="33" t="s">
        <v>65</v>
      </c>
      <c r="M97" s="33" t="s">
        <v>5</v>
      </c>
      <c r="N97" s="32">
        <v>46230</v>
      </c>
      <c r="O97" s="32">
        <v>46241</v>
      </c>
      <c r="P97" s="33" t="s">
        <v>66</v>
      </c>
      <c r="Q97" s="33" t="s">
        <v>5</v>
      </c>
      <c r="R97" s="32">
        <v>46307</v>
      </c>
      <c r="S97" s="32">
        <v>46339</v>
      </c>
      <c r="T97" s="33" t="s">
        <v>67</v>
      </c>
      <c r="U97" s="33" t="s">
        <v>5</v>
      </c>
      <c r="V97" s="32">
        <v>46307</v>
      </c>
      <c r="W97" s="32">
        <v>46339</v>
      </c>
      <c r="X97" s="33" t="s">
        <v>68</v>
      </c>
      <c r="Y97" s="33" t="s">
        <v>5</v>
      </c>
      <c r="Z97" s="32">
        <v>46342</v>
      </c>
      <c r="AA97" s="32">
        <v>46353</v>
      </c>
      <c r="AB97" s="75">
        <f t="shared" si="11"/>
        <v>0</v>
      </c>
      <c r="AC97" s="33" t="str">
        <f>IF(G97="已完成","正常",IF(OR(G97="暂停",G97="挂起"),"暂停",IF(J97="","日期缺失",IF(J97&lt;项目驾驶舱!$B$3,"已延期",IF(J97&lt;=项目驾驶舱!$B$3+7,"临近到期","正常")))))</f>
        <v>正常</v>
      </c>
      <c r="AD97" s="33" t="s">
        <v>69</v>
      </c>
      <c r="AE97" s="34" t="s">
        <v>69</v>
      </c>
    </row>
    <row r="98" ht="17" customHeight="1" spans="1:31">
      <c r="A98" s="31" t="s">
        <v>282</v>
      </c>
      <c r="B98" s="33" t="s">
        <v>248</v>
      </c>
      <c r="C98" s="33" t="s">
        <v>283</v>
      </c>
      <c r="D98" s="33" t="s">
        <v>284</v>
      </c>
      <c r="E98" s="33" t="s">
        <v>64</v>
      </c>
      <c r="F98" s="33" t="s">
        <v>25</v>
      </c>
      <c r="G98" s="33" t="str">
        <f>IF(OR(M98="挂起",M98="暂停",Q98="挂起",Q98="暂停",U98="挂起",U98="暂停",Y98="挂起",Y98="暂停"),"暂停","进行中")</f>
        <v>进行中</v>
      </c>
      <c r="H98" s="33" t="str">
        <f t="shared" si="8"/>
        <v>郑士旺</v>
      </c>
      <c r="I98" s="32">
        <f t="shared" si="9"/>
        <v>46202</v>
      </c>
      <c r="J98" s="32">
        <f t="shared" si="10"/>
        <v>46234</v>
      </c>
      <c r="K98" s="32"/>
      <c r="L98" s="33" t="s">
        <v>65</v>
      </c>
      <c r="M98" s="33" t="s">
        <v>3</v>
      </c>
      <c r="N98" s="32">
        <v>46202</v>
      </c>
      <c r="O98" s="32">
        <v>46206</v>
      </c>
      <c r="P98" s="33" t="s">
        <v>228</v>
      </c>
      <c r="Q98" s="33" t="s">
        <v>4</v>
      </c>
      <c r="R98" s="32">
        <v>46209</v>
      </c>
      <c r="S98" s="32">
        <v>46225</v>
      </c>
      <c r="T98" s="33" t="s">
        <v>228</v>
      </c>
      <c r="U98" s="33" t="s">
        <v>4</v>
      </c>
      <c r="V98" s="32">
        <v>46209</v>
      </c>
      <c r="W98" s="32">
        <v>46225</v>
      </c>
      <c r="X98" s="33" t="s">
        <v>68</v>
      </c>
      <c r="Y98" s="33" t="s">
        <v>5</v>
      </c>
      <c r="Z98" s="32">
        <v>46216</v>
      </c>
      <c r="AA98" s="32">
        <v>46234</v>
      </c>
      <c r="AB98" s="75">
        <f t="shared" si="11"/>
        <v>0.475</v>
      </c>
      <c r="AC98" s="33" t="str">
        <f>IF(G98="已完成","正常",IF(OR(G98="暂停",G98="挂起"),"暂停",IF(J98="","日期缺失",IF(J98&lt;项目驾驶舱!$B$3,"已延期",IF(J98&lt;=项目驾驶舱!$B$3+7,"临近到期","正常")))))</f>
        <v>已延期</v>
      </c>
      <c r="AD98" s="33" t="s">
        <v>69</v>
      </c>
      <c r="AE98" s="34" t="s">
        <v>69</v>
      </c>
    </row>
    <row r="99" ht="17" customHeight="1" spans="1:31">
      <c r="A99" s="31" t="s">
        <v>285</v>
      </c>
      <c r="B99" s="33" t="s">
        <v>248</v>
      </c>
      <c r="C99" s="33" t="s">
        <v>286</v>
      </c>
      <c r="D99" s="33" t="s">
        <v>287</v>
      </c>
      <c r="E99" s="33" t="s">
        <v>64</v>
      </c>
      <c r="F99" s="33" t="s">
        <v>25</v>
      </c>
      <c r="G99" s="33" t="str">
        <f t="shared" ref="G99:G113" si="13">IF(OR(M99="挂起",M99="暂停",Q99="挂起",Q99="暂停",U99="挂起",U99="暂停",Y99="挂起",Y99="暂停"),"暂停","已完成")</f>
        <v>已完成</v>
      </c>
      <c r="H99" s="33" t="str">
        <f t="shared" si="8"/>
        <v>郑士旺</v>
      </c>
      <c r="I99" s="32">
        <f t="shared" si="9"/>
        <v>46202</v>
      </c>
      <c r="J99" s="32">
        <f t="shared" si="10"/>
        <v>46261</v>
      </c>
      <c r="K99" s="32">
        <v>46261</v>
      </c>
      <c r="L99" s="33" t="s">
        <v>65</v>
      </c>
      <c r="M99" s="33" t="s">
        <v>3</v>
      </c>
      <c r="N99" s="32">
        <v>46202</v>
      </c>
      <c r="O99" s="32">
        <v>46206</v>
      </c>
      <c r="P99" s="33" t="s">
        <v>66</v>
      </c>
      <c r="Q99" s="33" t="s">
        <v>3</v>
      </c>
      <c r="R99" s="32">
        <v>46209</v>
      </c>
      <c r="S99" s="32">
        <v>46225</v>
      </c>
      <c r="T99" s="33" t="s">
        <v>67</v>
      </c>
      <c r="U99" s="33" t="s">
        <v>3</v>
      </c>
      <c r="V99" s="32">
        <v>46209</v>
      </c>
      <c r="W99" s="32">
        <v>46225</v>
      </c>
      <c r="X99" s="33" t="s">
        <v>68</v>
      </c>
      <c r="Y99" s="33" t="s">
        <v>3</v>
      </c>
      <c r="Z99" s="32">
        <v>46216</v>
      </c>
      <c r="AA99" s="32">
        <v>46234</v>
      </c>
      <c r="AB99" s="75">
        <f t="shared" si="11"/>
        <v>1</v>
      </c>
      <c r="AC99" s="33" t="str">
        <f>IF(G99="已完成","正常",IF(OR(G99="暂停",G99="挂起"),"暂停",IF(J99="","日期缺失",IF(J99&lt;项目驾驶舱!$B$3,"已延期",IF(J99&lt;=项目驾驶舱!$B$3+7,"临近到期","正常")))))</f>
        <v>正常</v>
      </c>
      <c r="AD99" s="33" t="s">
        <v>69</v>
      </c>
      <c r="AE99" s="34" t="s">
        <v>69</v>
      </c>
    </row>
    <row r="100" ht="17" customHeight="1" spans="1:31">
      <c r="A100" s="31" t="s">
        <v>288</v>
      </c>
      <c r="B100" s="33" t="s">
        <v>248</v>
      </c>
      <c r="C100" s="33" t="s">
        <v>289</v>
      </c>
      <c r="D100" s="33" t="s">
        <v>290</v>
      </c>
      <c r="E100" s="33" t="s">
        <v>64</v>
      </c>
      <c r="F100" s="33" t="s">
        <v>25</v>
      </c>
      <c r="G100" s="33" t="str">
        <f t="shared" si="13"/>
        <v>已完成</v>
      </c>
      <c r="H100" s="33" t="str">
        <f t="shared" si="8"/>
        <v>郑士旺</v>
      </c>
      <c r="I100" s="32">
        <f t="shared" si="9"/>
        <v>46202</v>
      </c>
      <c r="J100" s="32">
        <f t="shared" si="10"/>
        <v>46234</v>
      </c>
      <c r="K100" s="32"/>
      <c r="L100" s="33" t="s">
        <v>65</v>
      </c>
      <c r="M100" s="33" t="s">
        <v>3</v>
      </c>
      <c r="N100" s="32">
        <v>46202</v>
      </c>
      <c r="O100" s="32">
        <v>46206</v>
      </c>
      <c r="P100" s="33" t="s">
        <v>66</v>
      </c>
      <c r="Q100" s="33" t="s">
        <v>3</v>
      </c>
      <c r="R100" s="32">
        <v>46227</v>
      </c>
      <c r="S100" s="32">
        <v>46227</v>
      </c>
      <c r="T100" s="33" t="s">
        <v>67</v>
      </c>
      <c r="U100" s="33" t="s">
        <v>3</v>
      </c>
      <c r="V100" s="32">
        <v>46227</v>
      </c>
      <c r="W100" s="32">
        <v>46227</v>
      </c>
      <c r="X100" s="33" t="s">
        <v>68</v>
      </c>
      <c r="Y100" s="33" t="s">
        <v>3</v>
      </c>
      <c r="Z100" s="32">
        <v>46216</v>
      </c>
      <c r="AA100" s="32">
        <v>46234</v>
      </c>
      <c r="AB100" s="75">
        <f t="shared" si="11"/>
        <v>1</v>
      </c>
      <c r="AC100" s="33" t="str">
        <f>IF(G100="已完成","正常",IF(OR(G100="暂停",G100="挂起"),"暂停",IF(J100="","日期缺失",IF(J100&lt;项目驾驶舱!$B$3,"已延期",IF(J100&lt;=项目驾驶舱!$B$3+7,"临近到期","正常")))))</f>
        <v>正常</v>
      </c>
      <c r="AD100" s="33" t="s">
        <v>69</v>
      </c>
      <c r="AE100" s="34" t="s">
        <v>69</v>
      </c>
    </row>
    <row r="101" ht="17" customHeight="1" spans="1:31">
      <c r="A101" s="31" t="s">
        <v>291</v>
      </c>
      <c r="B101" s="33" t="s">
        <v>248</v>
      </c>
      <c r="C101" s="33" t="s">
        <v>292</v>
      </c>
      <c r="D101" s="33" t="s">
        <v>293</v>
      </c>
      <c r="E101" s="33" t="s">
        <v>64</v>
      </c>
      <c r="F101" s="33" t="s">
        <v>25</v>
      </c>
      <c r="G101" s="33" t="str">
        <f t="shared" si="13"/>
        <v>已完成</v>
      </c>
      <c r="H101" s="33" t="str">
        <f t="shared" si="8"/>
        <v>郑士旺</v>
      </c>
      <c r="I101" s="32">
        <f t="shared" si="9"/>
        <v>46202</v>
      </c>
      <c r="J101" s="32">
        <f t="shared" si="10"/>
        <v>46224</v>
      </c>
      <c r="K101" s="32">
        <v>46224</v>
      </c>
      <c r="L101" s="33" t="s">
        <v>65</v>
      </c>
      <c r="M101" s="33" t="s">
        <v>3</v>
      </c>
      <c r="N101" s="32">
        <v>46202</v>
      </c>
      <c r="O101" s="32">
        <v>46206</v>
      </c>
      <c r="P101" s="33" t="s">
        <v>66</v>
      </c>
      <c r="Q101" s="33" t="s">
        <v>3</v>
      </c>
      <c r="R101" s="32">
        <v>46227</v>
      </c>
      <c r="S101" s="32">
        <v>46227</v>
      </c>
      <c r="T101" s="33" t="s">
        <v>67</v>
      </c>
      <c r="U101" s="33" t="s">
        <v>3</v>
      </c>
      <c r="V101" s="32">
        <v>46227</v>
      </c>
      <c r="W101" s="32">
        <v>46227</v>
      </c>
      <c r="X101" s="33" t="s">
        <v>68</v>
      </c>
      <c r="Y101" s="33" t="s">
        <v>3</v>
      </c>
      <c r="Z101" s="32">
        <v>46216</v>
      </c>
      <c r="AA101" s="32">
        <v>46234</v>
      </c>
      <c r="AB101" s="75">
        <f t="shared" si="11"/>
        <v>1</v>
      </c>
      <c r="AC101" s="33" t="str">
        <f>IF(G101="已完成","正常",IF(OR(G101="暂停",G101="挂起"),"暂停",IF(J101="","日期缺失",IF(J101&lt;项目驾驶舱!$B$3,"已延期",IF(J101&lt;=项目驾驶舱!$B$3+7,"临近到期","正常")))))</f>
        <v>正常</v>
      </c>
      <c r="AD101" s="33" t="s">
        <v>69</v>
      </c>
      <c r="AE101" s="34" t="s">
        <v>69</v>
      </c>
    </row>
    <row r="102" ht="17" customHeight="1" spans="1:31">
      <c r="A102" s="31" t="s">
        <v>294</v>
      </c>
      <c r="B102" s="33" t="s">
        <v>248</v>
      </c>
      <c r="C102" s="33" t="s">
        <v>292</v>
      </c>
      <c r="D102" s="33" t="s">
        <v>295</v>
      </c>
      <c r="E102" s="33" t="s">
        <v>64</v>
      </c>
      <c r="F102" s="33" t="s">
        <v>25</v>
      </c>
      <c r="G102" s="33" t="str">
        <f t="shared" si="13"/>
        <v>已完成</v>
      </c>
      <c r="H102" s="33" t="str">
        <f t="shared" si="8"/>
        <v>郑士旺</v>
      </c>
      <c r="I102" s="32">
        <f t="shared" si="9"/>
        <v>46202</v>
      </c>
      <c r="J102" s="32">
        <f t="shared" si="10"/>
        <v>46224</v>
      </c>
      <c r="K102" s="32">
        <v>46224</v>
      </c>
      <c r="L102" s="33" t="s">
        <v>65</v>
      </c>
      <c r="M102" s="33" t="s">
        <v>3</v>
      </c>
      <c r="N102" s="32">
        <v>46202</v>
      </c>
      <c r="O102" s="32">
        <v>46206</v>
      </c>
      <c r="P102" s="33" t="s">
        <v>66</v>
      </c>
      <c r="Q102" s="33" t="s">
        <v>3</v>
      </c>
      <c r="R102" s="32">
        <v>46227</v>
      </c>
      <c r="S102" s="32">
        <v>46227</v>
      </c>
      <c r="T102" s="33" t="s">
        <v>67</v>
      </c>
      <c r="U102" s="33" t="s">
        <v>3</v>
      </c>
      <c r="V102" s="32">
        <v>46227</v>
      </c>
      <c r="W102" s="32">
        <v>46227</v>
      </c>
      <c r="X102" s="33" t="s">
        <v>68</v>
      </c>
      <c r="Y102" s="33" t="s">
        <v>3</v>
      </c>
      <c r="Z102" s="32">
        <v>46216</v>
      </c>
      <c r="AA102" s="32">
        <v>46234</v>
      </c>
      <c r="AB102" s="75">
        <f t="shared" si="11"/>
        <v>1</v>
      </c>
      <c r="AC102" s="33" t="str">
        <f>IF(G102="已完成","正常",IF(OR(G102="暂停",G102="挂起"),"暂停",IF(J102="","日期缺失",IF(J102&lt;项目驾驶舱!$B$3,"已延期",IF(J102&lt;=项目驾驶舱!$B$3+7,"临近到期","正常")))))</f>
        <v>正常</v>
      </c>
      <c r="AD102" s="33" t="s">
        <v>69</v>
      </c>
      <c r="AE102" s="34" t="s">
        <v>69</v>
      </c>
    </row>
    <row r="103" ht="34" customHeight="1" spans="1:31">
      <c r="A103" s="31" t="s">
        <v>296</v>
      </c>
      <c r="B103" s="33" t="s">
        <v>297</v>
      </c>
      <c r="C103" s="33" t="s">
        <v>298</v>
      </c>
      <c r="D103" s="33" t="s">
        <v>299</v>
      </c>
      <c r="E103" s="33" t="s">
        <v>64</v>
      </c>
      <c r="F103" s="33" t="s">
        <v>25</v>
      </c>
      <c r="G103" s="33" t="str">
        <f t="shared" si="13"/>
        <v>已完成</v>
      </c>
      <c r="H103" s="33" t="str">
        <f t="shared" si="8"/>
        <v>郑士旺</v>
      </c>
      <c r="I103" s="32">
        <f t="shared" si="9"/>
        <v>46209</v>
      </c>
      <c r="J103" s="32">
        <f t="shared" si="10"/>
        <v>46224</v>
      </c>
      <c r="K103" s="32">
        <v>46224</v>
      </c>
      <c r="L103" s="33" t="s">
        <v>65</v>
      </c>
      <c r="M103" s="33" t="s">
        <v>3</v>
      </c>
      <c r="N103" s="32">
        <v>46209</v>
      </c>
      <c r="O103" s="32">
        <v>46213</v>
      </c>
      <c r="P103" s="33" t="s">
        <v>228</v>
      </c>
      <c r="Q103" s="33" t="s">
        <v>3</v>
      </c>
      <c r="R103" s="32">
        <v>46230</v>
      </c>
      <c r="S103" s="32">
        <v>46262</v>
      </c>
      <c r="T103" s="33" t="s">
        <v>228</v>
      </c>
      <c r="U103" s="33" t="s">
        <v>3</v>
      </c>
      <c r="V103" s="32">
        <v>46230</v>
      </c>
      <c r="W103" s="32">
        <v>46262</v>
      </c>
      <c r="X103" s="33" t="s">
        <v>68</v>
      </c>
      <c r="Y103" s="33" t="s">
        <v>3</v>
      </c>
      <c r="Z103" s="32">
        <v>46253</v>
      </c>
      <c r="AA103" s="32">
        <v>46269</v>
      </c>
      <c r="AB103" s="75">
        <f t="shared" si="11"/>
        <v>1</v>
      </c>
      <c r="AC103" s="33" t="str">
        <f>IF(G103="已完成","正常",IF(OR(G103="暂停",G103="挂起"),"暂停",IF(J103="","日期缺失",IF(J103&lt;项目驾驶舱!$B$3,"已延期",IF(J103&lt;=项目驾驶舱!$B$3+7,"临近到期","正常")))))</f>
        <v>正常</v>
      </c>
      <c r="AD103" s="33" t="s">
        <v>69</v>
      </c>
      <c r="AE103" s="34" t="s">
        <v>69</v>
      </c>
    </row>
    <row r="104" ht="17" customHeight="1" spans="1:31">
      <c r="A104" s="31" t="s">
        <v>300</v>
      </c>
      <c r="B104" s="33" t="s">
        <v>297</v>
      </c>
      <c r="C104" s="33" t="s">
        <v>298</v>
      </c>
      <c r="D104" s="33" t="s">
        <v>301</v>
      </c>
      <c r="E104" s="33" t="s">
        <v>64</v>
      </c>
      <c r="F104" s="33" t="s">
        <v>25</v>
      </c>
      <c r="G104" s="33" t="str">
        <f t="shared" si="13"/>
        <v>已完成</v>
      </c>
      <c r="H104" s="33" t="str">
        <f t="shared" si="8"/>
        <v>郑士旺</v>
      </c>
      <c r="I104" s="32">
        <f t="shared" si="9"/>
        <v>46209</v>
      </c>
      <c r="J104" s="32">
        <f t="shared" si="10"/>
        <v>46224</v>
      </c>
      <c r="K104" s="32">
        <v>46224</v>
      </c>
      <c r="L104" s="33" t="s">
        <v>65</v>
      </c>
      <c r="M104" s="33" t="s">
        <v>3</v>
      </c>
      <c r="N104" s="32">
        <v>46209</v>
      </c>
      <c r="O104" s="32">
        <v>46213</v>
      </c>
      <c r="P104" s="33" t="s">
        <v>228</v>
      </c>
      <c r="Q104" s="33" t="s">
        <v>3</v>
      </c>
      <c r="R104" s="32">
        <v>46230</v>
      </c>
      <c r="S104" s="32">
        <v>46262</v>
      </c>
      <c r="T104" s="33" t="s">
        <v>228</v>
      </c>
      <c r="U104" s="33" t="s">
        <v>3</v>
      </c>
      <c r="V104" s="32">
        <v>46230</v>
      </c>
      <c r="W104" s="32">
        <v>46262</v>
      </c>
      <c r="X104" s="33" t="s">
        <v>68</v>
      </c>
      <c r="Y104" s="33" t="s">
        <v>3</v>
      </c>
      <c r="Z104" s="32">
        <v>46253</v>
      </c>
      <c r="AA104" s="32">
        <v>46269</v>
      </c>
      <c r="AB104" s="75">
        <f t="shared" si="11"/>
        <v>1</v>
      </c>
      <c r="AC104" s="33" t="str">
        <f>IF(G104="已完成","正常",IF(OR(G104="暂停",G104="挂起"),"暂停",IF(J104="","日期缺失",IF(J104&lt;项目驾驶舱!$B$3,"已延期",IF(J104&lt;=项目驾驶舱!$B$3+7,"临近到期","正常")))))</f>
        <v>正常</v>
      </c>
      <c r="AD104" s="33" t="s">
        <v>69</v>
      </c>
      <c r="AE104" s="34" t="s">
        <v>69</v>
      </c>
    </row>
    <row r="105" ht="17" customHeight="1" spans="1:31">
      <c r="A105" s="31" t="s">
        <v>302</v>
      </c>
      <c r="B105" s="33" t="s">
        <v>297</v>
      </c>
      <c r="C105" s="33" t="s">
        <v>298</v>
      </c>
      <c r="D105" s="33" t="s">
        <v>303</v>
      </c>
      <c r="E105" s="33" t="s">
        <v>64</v>
      </c>
      <c r="F105" s="33" t="s">
        <v>25</v>
      </c>
      <c r="G105" s="33" t="str">
        <f t="shared" si="13"/>
        <v>已完成</v>
      </c>
      <c r="H105" s="33" t="str">
        <f t="shared" si="8"/>
        <v>郑士旺</v>
      </c>
      <c r="I105" s="32">
        <f t="shared" si="9"/>
        <v>46209</v>
      </c>
      <c r="J105" s="32">
        <f t="shared" si="10"/>
        <v>46224</v>
      </c>
      <c r="K105" s="32">
        <v>46224</v>
      </c>
      <c r="L105" s="33" t="s">
        <v>65</v>
      </c>
      <c r="M105" s="33" t="s">
        <v>3</v>
      </c>
      <c r="N105" s="32">
        <v>46209</v>
      </c>
      <c r="O105" s="32">
        <v>46213</v>
      </c>
      <c r="P105" s="33" t="s">
        <v>228</v>
      </c>
      <c r="Q105" s="33" t="s">
        <v>3</v>
      </c>
      <c r="R105" s="32">
        <v>46230</v>
      </c>
      <c r="S105" s="32">
        <v>46262</v>
      </c>
      <c r="T105" s="33" t="s">
        <v>228</v>
      </c>
      <c r="U105" s="33" t="s">
        <v>3</v>
      </c>
      <c r="V105" s="32">
        <v>46230</v>
      </c>
      <c r="W105" s="32">
        <v>46262</v>
      </c>
      <c r="X105" s="33" t="s">
        <v>68</v>
      </c>
      <c r="Y105" s="33" t="s">
        <v>3</v>
      </c>
      <c r="Z105" s="32">
        <v>46253</v>
      </c>
      <c r="AA105" s="32">
        <v>46269</v>
      </c>
      <c r="AB105" s="75">
        <f t="shared" si="11"/>
        <v>1</v>
      </c>
      <c r="AC105" s="33" t="str">
        <f>IF(G105="已完成","正常",IF(OR(G105="暂停",G105="挂起"),"暂停",IF(J105="","日期缺失",IF(J105&lt;项目驾驶舱!$B$3,"已延期",IF(J105&lt;=项目驾驶舱!$B$3+7,"临近到期","正常")))))</f>
        <v>正常</v>
      </c>
      <c r="AD105" s="33" t="s">
        <v>69</v>
      </c>
      <c r="AE105" s="34" t="s">
        <v>69</v>
      </c>
    </row>
    <row r="106" ht="17" customHeight="1" spans="1:31">
      <c r="A106" s="31" t="s">
        <v>304</v>
      </c>
      <c r="B106" s="33" t="s">
        <v>297</v>
      </c>
      <c r="C106" s="33" t="s">
        <v>298</v>
      </c>
      <c r="D106" s="33" t="s">
        <v>305</v>
      </c>
      <c r="E106" s="33" t="s">
        <v>64</v>
      </c>
      <c r="F106" s="33" t="s">
        <v>25</v>
      </c>
      <c r="G106" s="33" t="str">
        <f t="shared" si="13"/>
        <v>已完成</v>
      </c>
      <c r="H106" s="33" t="str">
        <f t="shared" si="8"/>
        <v>郑士旺</v>
      </c>
      <c r="I106" s="32">
        <f t="shared" si="9"/>
        <v>46209</v>
      </c>
      <c r="J106" s="32">
        <f t="shared" si="10"/>
        <v>46224</v>
      </c>
      <c r="K106" s="32">
        <v>46224</v>
      </c>
      <c r="L106" s="33" t="s">
        <v>65</v>
      </c>
      <c r="M106" s="33" t="s">
        <v>3</v>
      </c>
      <c r="N106" s="32">
        <v>46209</v>
      </c>
      <c r="O106" s="32">
        <v>46213</v>
      </c>
      <c r="P106" s="33" t="s">
        <v>228</v>
      </c>
      <c r="Q106" s="33" t="s">
        <v>3</v>
      </c>
      <c r="R106" s="32">
        <v>46230</v>
      </c>
      <c r="S106" s="32">
        <v>46262</v>
      </c>
      <c r="T106" s="33" t="s">
        <v>228</v>
      </c>
      <c r="U106" s="33" t="s">
        <v>3</v>
      </c>
      <c r="V106" s="32">
        <v>46230</v>
      </c>
      <c r="W106" s="32">
        <v>46262</v>
      </c>
      <c r="X106" s="33" t="s">
        <v>68</v>
      </c>
      <c r="Y106" s="33" t="s">
        <v>3</v>
      </c>
      <c r="Z106" s="32">
        <v>46253</v>
      </c>
      <c r="AA106" s="32">
        <v>46269</v>
      </c>
      <c r="AB106" s="75">
        <f t="shared" si="11"/>
        <v>1</v>
      </c>
      <c r="AC106" s="33" t="str">
        <f>IF(G106="已完成","正常",IF(OR(G106="暂停",G106="挂起"),"暂停",IF(J106="","日期缺失",IF(J106&lt;项目驾驶舱!$B$3,"已延期",IF(J106&lt;=项目驾驶舱!$B$3+7,"临近到期","正常")))))</f>
        <v>正常</v>
      </c>
      <c r="AD106" s="33" t="s">
        <v>69</v>
      </c>
      <c r="AE106" s="34" t="s">
        <v>69</v>
      </c>
    </row>
    <row r="107" ht="17" customHeight="1" spans="1:31">
      <c r="A107" s="31" t="s">
        <v>306</v>
      </c>
      <c r="B107" s="33" t="s">
        <v>307</v>
      </c>
      <c r="C107" s="33" t="s">
        <v>308</v>
      </c>
      <c r="D107" s="33" t="s">
        <v>64</v>
      </c>
      <c r="E107" s="33" t="s">
        <v>64</v>
      </c>
      <c r="F107" s="33" t="s">
        <v>25</v>
      </c>
      <c r="G107" s="33" t="str">
        <f t="shared" si="13"/>
        <v>已完成</v>
      </c>
      <c r="H107" s="33" t="str">
        <f t="shared" si="8"/>
        <v>郑士旺</v>
      </c>
      <c r="I107" s="32">
        <f t="shared" si="9"/>
        <v>46209</v>
      </c>
      <c r="J107" s="32">
        <f t="shared" si="10"/>
        <v>46269</v>
      </c>
      <c r="K107" s="32" t="s">
        <v>64</v>
      </c>
      <c r="L107" s="33" t="s">
        <v>65</v>
      </c>
      <c r="M107" s="33" t="s">
        <v>3</v>
      </c>
      <c r="N107" s="32">
        <v>46209</v>
      </c>
      <c r="O107" s="32">
        <v>46213</v>
      </c>
      <c r="P107" s="33" t="s">
        <v>66</v>
      </c>
      <c r="Q107" s="33" t="s">
        <v>3</v>
      </c>
      <c r="R107" s="32">
        <v>46230</v>
      </c>
      <c r="S107" s="32">
        <v>46262</v>
      </c>
      <c r="T107" s="33" t="s">
        <v>67</v>
      </c>
      <c r="U107" s="33" t="s">
        <v>3</v>
      </c>
      <c r="V107" s="32">
        <v>46230</v>
      </c>
      <c r="W107" s="32">
        <v>46262</v>
      </c>
      <c r="X107" s="33" t="s">
        <v>68</v>
      </c>
      <c r="Y107" s="33" t="s">
        <v>3</v>
      </c>
      <c r="Z107" s="32">
        <v>46253</v>
      </c>
      <c r="AA107" s="32">
        <v>46269</v>
      </c>
      <c r="AB107" s="75">
        <f t="shared" si="11"/>
        <v>1</v>
      </c>
      <c r="AC107" s="33" t="str">
        <f>IF(G107="已完成","正常",IF(OR(G107="暂停",G107="挂起"),"暂停",IF(J107="","日期缺失",IF(J107&lt;项目驾驶舱!$B$3,"已延期",IF(J107&lt;=项目驾驶舱!$B$3+7,"临近到期","正常")))))</f>
        <v>正常</v>
      </c>
      <c r="AD107" s="33" t="s">
        <v>69</v>
      </c>
      <c r="AE107" s="34" t="s">
        <v>69</v>
      </c>
    </row>
    <row r="108" ht="17" customHeight="1" spans="1:31">
      <c r="A108" s="31" t="s">
        <v>309</v>
      </c>
      <c r="B108" s="33" t="s">
        <v>307</v>
      </c>
      <c r="C108" s="33" t="s">
        <v>310</v>
      </c>
      <c r="D108" s="33" t="s">
        <v>64</v>
      </c>
      <c r="E108" s="33" t="s">
        <v>64</v>
      </c>
      <c r="F108" s="33" t="s">
        <v>25</v>
      </c>
      <c r="G108" s="33" t="str">
        <f t="shared" si="13"/>
        <v>已完成</v>
      </c>
      <c r="H108" s="33" t="str">
        <f t="shared" si="8"/>
        <v>郑士旺</v>
      </c>
      <c r="I108" s="32">
        <f t="shared" si="9"/>
        <v>46209</v>
      </c>
      <c r="J108" s="32">
        <f t="shared" si="10"/>
        <v>46269</v>
      </c>
      <c r="K108" s="32" t="s">
        <v>64</v>
      </c>
      <c r="L108" s="33" t="s">
        <v>65</v>
      </c>
      <c r="M108" s="33" t="s">
        <v>3</v>
      </c>
      <c r="N108" s="32">
        <v>46209</v>
      </c>
      <c r="O108" s="32">
        <v>46213</v>
      </c>
      <c r="P108" s="33" t="s">
        <v>66</v>
      </c>
      <c r="Q108" s="33" t="s">
        <v>3</v>
      </c>
      <c r="R108" s="32">
        <v>46230</v>
      </c>
      <c r="S108" s="32">
        <v>46262</v>
      </c>
      <c r="T108" s="33" t="s">
        <v>67</v>
      </c>
      <c r="U108" s="33" t="s">
        <v>3</v>
      </c>
      <c r="V108" s="32">
        <v>46230</v>
      </c>
      <c r="W108" s="32">
        <v>46262</v>
      </c>
      <c r="X108" s="33" t="s">
        <v>68</v>
      </c>
      <c r="Y108" s="33" t="s">
        <v>3</v>
      </c>
      <c r="Z108" s="32">
        <v>46253</v>
      </c>
      <c r="AA108" s="32">
        <v>46269</v>
      </c>
      <c r="AB108" s="75">
        <f t="shared" si="11"/>
        <v>1</v>
      </c>
      <c r="AC108" s="33" t="str">
        <f>IF(G108="已完成","正常",IF(OR(G108="暂停",G108="挂起"),"暂停",IF(J108="","日期缺失",IF(J108&lt;项目驾驶舱!$B$3,"已延期",IF(J108&lt;=项目驾驶舱!$B$3+7,"临近到期","正常")))))</f>
        <v>正常</v>
      </c>
      <c r="AD108" s="33" t="s">
        <v>69</v>
      </c>
      <c r="AE108" s="34" t="s">
        <v>69</v>
      </c>
    </row>
    <row r="109" ht="17" customHeight="1" spans="1:31">
      <c r="A109" s="31" t="s">
        <v>311</v>
      </c>
      <c r="B109" s="33" t="s">
        <v>307</v>
      </c>
      <c r="C109" s="33" t="s">
        <v>312</v>
      </c>
      <c r="D109" s="33" t="s">
        <v>64</v>
      </c>
      <c r="E109" s="33" t="s">
        <v>64</v>
      </c>
      <c r="F109" s="33" t="s">
        <v>25</v>
      </c>
      <c r="G109" s="33" t="str">
        <f t="shared" si="13"/>
        <v>已完成</v>
      </c>
      <c r="H109" s="33" t="str">
        <f t="shared" si="8"/>
        <v>郑士旺</v>
      </c>
      <c r="I109" s="32">
        <f t="shared" si="9"/>
        <v>46209</v>
      </c>
      <c r="J109" s="32">
        <f t="shared" si="10"/>
        <v>46269</v>
      </c>
      <c r="K109" s="32" t="s">
        <v>64</v>
      </c>
      <c r="L109" s="33" t="s">
        <v>65</v>
      </c>
      <c r="M109" s="33" t="s">
        <v>3</v>
      </c>
      <c r="N109" s="32">
        <v>46209</v>
      </c>
      <c r="O109" s="32">
        <v>46213</v>
      </c>
      <c r="P109" s="33" t="s">
        <v>66</v>
      </c>
      <c r="Q109" s="33" t="s">
        <v>3</v>
      </c>
      <c r="R109" s="32">
        <v>46230</v>
      </c>
      <c r="S109" s="32">
        <v>46262</v>
      </c>
      <c r="T109" s="33" t="s">
        <v>67</v>
      </c>
      <c r="U109" s="33" t="s">
        <v>3</v>
      </c>
      <c r="V109" s="32">
        <v>46230</v>
      </c>
      <c r="W109" s="32">
        <v>46262</v>
      </c>
      <c r="X109" s="33" t="s">
        <v>68</v>
      </c>
      <c r="Y109" s="33" t="s">
        <v>3</v>
      </c>
      <c r="Z109" s="32">
        <v>46253</v>
      </c>
      <c r="AA109" s="32">
        <v>46269</v>
      </c>
      <c r="AB109" s="75">
        <f t="shared" si="11"/>
        <v>1</v>
      </c>
      <c r="AC109" s="33" t="str">
        <f>IF(G109="已完成","正常",IF(OR(G109="暂停",G109="挂起"),"暂停",IF(J109="","日期缺失",IF(J109&lt;项目驾驶舱!$B$3,"已延期",IF(J109&lt;=项目驾驶舱!$B$3+7,"临近到期","正常")))))</f>
        <v>正常</v>
      </c>
      <c r="AD109" s="33" t="s">
        <v>69</v>
      </c>
      <c r="AE109" s="34" t="s">
        <v>69</v>
      </c>
    </row>
    <row r="110" ht="17" customHeight="1" spans="1:31">
      <c r="A110" s="31" t="s">
        <v>313</v>
      </c>
      <c r="B110" s="33" t="s">
        <v>307</v>
      </c>
      <c r="C110" s="33" t="s">
        <v>314</v>
      </c>
      <c r="D110" s="33" t="s">
        <v>64</v>
      </c>
      <c r="E110" s="33" t="s">
        <v>64</v>
      </c>
      <c r="F110" s="33" t="s">
        <v>25</v>
      </c>
      <c r="G110" s="33" t="str">
        <f t="shared" si="13"/>
        <v>已完成</v>
      </c>
      <c r="H110" s="33" t="str">
        <f t="shared" si="8"/>
        <v>郑士旺</v>
      </c>
      <c r="I110" s="32">
        <f t="shared" si="9"/>
        <v>46209</v>
      </c>
      <c r="J110" s="32">
        <f t="shared" si="10"/>
        <v>46269</v>
      </c>
      <c r="K110" s="32" t="s">
        <v>64</v>
      </c>
      <c r="L110" s="33" t="s">
        <v>65</v>
      </c>
      <c r="M110" s="33" t="s">
        <v>3</v>
      </c>
      <c r="N110" s="32">
        <v>46209</v>
      </c>
      <c r="O110" s="32">
        <v>46213</v>
      </c>
      <c r="P110" s="33" t="s">
        <v>66</v>
      </c>
      <c r="Q110" s="33" t="s">
        <v>3</v>
      </c>
      <c r="R110" s="32">
        <v>46230</v>
      </c>
      <c r="S110" s="32">
        <v>46262</v>
      </c>
      <c r="T110" s="33" t="s">
        <v>67</v>
      </c>
      <c r="U110" s="33" t="s">
        <v>3</v>
      </c>
      <c r="V110" s="32">
        <v>46230</v>
      </c>
      <c r="W110" s="32">
        <v>46262</v>
      </c>
      <c r="X110" s="33" t="s">
        <v>68</v>
      </c>
      <c r="Y110" s="33" t="s">
        <v>3</v>
      </c>
      <c r="Z110" s="32">
        <v>46253</v>
      </c>
      <c r="AA110" s="32">
        <v>46269</v>
      </c>
      <c r="AB110" s="75">
        <f t="shared" si="11"/>
        <v>1</v>
      </c>
      <c r="AC110" s="33" t="str">
        <f>IF(G110="已完成","正常",IF(OR(G110="暂停",G110="挂起"),"暂停",IF(J110="","日期缺失",IF(J110&lt;项目驾驶舱!$B$3,"已延期",IF(J110&lt;=项目驾驶舱!$B$3+7,"临近到期","正常")))))</f>
        <v>正常</v>
      </c>
      <c r="AD110" s="33" t="s">
        <v>69</v>
      </c>
      <c r="AE110" s="34" t="s">
        <v>69</v>
      </c>
    </row>
    <row r="111" ht="17" customHeight="1" spans="1:31">
      <c r="A111" s="31" t="s">
        <v>315</v>
      </c>
      <c r="B111" s="33" t="s">
        <v>307</v>
      </c>
      <c r="C111" s="33" t="s">
        <v>316</v>
      </c>
      <c r="D111" s="33" t="s">
        <v>64</v>
      </c>
      <c r="E111" s="33" t="s">
        <v>64</v>
      </c>
      <c r="F111" s="33" t="s">
        <v>25</v>
      </c>
      <c r="G111" s="33" t="str">
        <f t="shared" si="13"/>
        <v>已完成</v>
      </c>
      <c r="H111" s="33" t="str">
        <f t="shared" si="8"/>
        <v>郑士旺</v>
      </c>
      <c r="I111" s="32">
        <f t="shared" si="9"/>
        <v>46209</v>
      </c>
      <c r="J111" s="32">
        <f t="shared" si="10"/>
        <v>46269</v>
      </c>
      <c r="K111" s="32" t="s">
        <v>64</v>
      </c>
      <c r="L111" s="33" t="s">
        <v>65</v>
      </c>
      <c r="M111" s="33" t="s">
        <v>3</v>
      </c>
      <c r="N111" s="32">
        <v>46209</v>
      </c>
      <c r="O111" s="32">
        <v>46213</v>
      </c>
      <c r="P111" s="33" t="s">
        <v>66</v>
      </c>
      <c r="Q111" s="33" t="s">
        <v>3</v>
      </c>
      <c r="R111" s="32">
        <v>46230</v>
      </c>
      <c r="S111" s="32">
        <v>46262</v>
      </c>
      <c r="T111" s="33" t="s">
        <v>67</v>
      </c>
      <c r="U111" s="33" t="s">
        <v>3</v>
      </c>
      <c r="V111" s="32">
        <v>46230</v>
      </c>
      <c r="W111" s="32">
        <v>46262</v>
      </c>
      <c r="X111" s="33" t="s">
        <v>68</v>
      </c>
      <c r="Y111" s="33" t="s">
        <v>3</v>
      </c>
      <c r="Z111" s="32">
        <v>46253</v>
      </c>
      <c r="AA111" s="32">
        <v>46269</v>
      </c>
      <c r="AB111" s="75">
        <f t="shared" si="11"/>
        <v>1</v>
      </c>
      <c r="AC111" s="33" t="str">
        <f>IF(G111="已完成","正常",IF(OR(G111="暂停",G111="挂起"),"暂停",IF(J111="","日期缺失",IF(J111&lt;项目驾驶舱!$B$3,"已延期",IF(J111&lt;=项目驾驶舱!$B$3+7,"临近到期","正常")))))</f>
        <v>正常</v>
      </c>
      <c r="AD111" s="33" t="s">
        <v>69</v>
      </c>
      <c r="AE111" s="34" t="s">
        <v>69</v>
      </c>
    </row>
    <row r="112" ht="17" customHeight="1" spans="1:31">
      <c r="A112" s="31" t="s">
        <v>317</v>
      </c>
      <c r="B112" s="33" t="s">
        <v>307</v>
      </c>
      <c r="C112" s="33" t="s">
        <v>318</v>
      </c>
      <c r="D112" s="33" t="s">
        <v>64</v>
      </c>
      <c r="E112" s="33" t="s">
        <v>64</v>
      </c>
      <c r="F112" s="33" t="s">
        <v>25</v>
      </c>
      <c r="G112" s="33" t="str">
        <f t="shared" si="13"/>
        <v>已完成</v>
      </c>
      <c r="H112" s="33" t="str">
        <f t="shared" si="8"/>
        <v>郑士旺</v>
      </c>
      <c r="I112" s="32">
        <f t="shared" si="9"/>
        <v>46209</v>
      </c>
      <c r="J112" s="32">
        <f t="shared" si="10"/>
        <v>46269</v>
      </c>
      <c r="K112" s="32" t="s">
        <v>64</v>
      </c>
      <c r="L112" s="33" t="s">
        <v>65</v>
      </c>
      <c r="M112" s="33" t="s">
        <v>3</v>
      </c>
      <c r="N112" s="32">
        <v>46209</v>
      </c>
      <c r="O112" s="32">
        <v>46213</v>
      </c>
      <c r="P112" s="33" t="s">
        <v>66</v>
      </c>
      <c r="Q112" s="33" t="s">
        <v>3</v>
      </c>
      <c r="R112" s="32">
        <v>46230</v>
      </c>
      <c r="S112" s="32">
        <v>46262</v>
      </c>
      <c r="T112" s="33" t="s">
        <v>67</v>
      </c>
      <c r="U112" s="33" t="s">
        <v>3</v>
      </c>
      <c r="V112" s="32">
        <v>46230</v>
      </c>
      <c r="W112" s="32">
        <v>46262</v>
      </c>
      <c r="X112" s="33" t="s">
        <v>68</v>
      </c>
      <c r="Y112" s="33" t="s">
        <v>3</v>
      </c>
      <c r="Z112" s="32">
        <v>46253</v>
      </c>
      <c r="AA112" s="32">
        <v>46269</v>
      </c>
      <c r="AB112" s="75">
        <f t="shared" si="11"/>
        <v>1</v>
      </c>
      <c r="AC112" s="33" t="str">
        <f>IF(G112="已完成","正常",IF(OR(G112="暂停",G112="挂起"),"暂停",IF(J112="","日期缺失",IF(J112&lt;项目驾驶舱!$B$3,"已延期",IF(J112&lt;=项目驾驶舱!$B$3+7,"临近到期","正常")))))</f>
        <v>正常</v>
      </c>
      <c r="AD112" s="33" t="s">
        <v>69</v>
      </c>
      <c r="AE112" s="34" t="s">
        <v>69</v>
      </c>
    </row>
    <row r="113" ht="17" customHeight="1" spans="1:31">
      <c r="A113" s="31" t="s">
        <v>319</v>
      </c>
      <c r="B113" s="33" t="s">
        <v>307</v>
      </c>
      <c r="C113" s="33" t="s">
        <v>320</v>
      </c>
      <c r="D113" s="33" t="s">
        <v>64</v>
      </c>
      <c r="E113" s="33" t="s">
        <v>64</v>
      </c>
      <c r="F113" s="33" t="s">
        <v>26</v>
      </c>
      <c r="G113" s="33" t="str">
        <f t="shared" si="13"/>
        <v>已完成</v>
      </c>
      <c r="H113" s="33" t="str">
        <f t="shared" si="8"/>
        <v>郑士旺</v>
      </c>
      <c r="I113" s="32">
        <f t="shared" si="9"/>
        <v>46209</v>
      </c>
      <c r="J113" s="32">
        <f t="shared" si="10"/>
        <v>46269</v>
      </c>
      <c r="K113" s="32" t="s">
        <v>64</v>
      </c>
      <c r="L113" s="33" t="s">
        <v>65</v>
      </c>
      <c r="M113" s="33" t="s">
        <v>3</v>
      </c>
      <c r="N113" s="32">
        <v>46209</v>
      </c>
      <c r="O113" s="32">
        <v>46213</v>
      </c>
      <c r="P113" s="33" t="s">
        <v>66</v>
      </c>
      <c r="Q113" s="33" t="s">
        <v>3</v>
      </c>
      <c r="R113" s="32">
        <v>46230</v>
      </c>
      <c r="S113" s="32">
        <v>46262</v>
      </c>
      <c r="T113" s="33" t="s">
        <v>67</v>
      </c>
      <c r="U113" s="33" t="s">
        <v>3</v>
      </c>
      <c r="V113" s="32">
        <v>46230</v>
      </c>
      <c r="W113" s="32">
        <v>46262</v>
      </c>
      <c r="X113" s="33" t="s">
        <v>68</v>
      </c>
      <c r="Y113" s="33" t="s">
        <v>3</v>
      </c>
      <c r="Z113" s="32">
        <v>46253</v>
      </c>
      <c r="AA113" s="32">
        <v>46269</v>
      </c>
      <c r="AB113" s="75">
        <f t="shared" si="11"/>
        <v>1</v>
      </c>
      <c r="AC113" s="33" t="str">
        <f>IF(G113="已完成","正常",IF(OR(G113="暂停",G113="挂起"),"暂停",IF(J113="","日期缺失",IF(J113&lt;项目驾驶舱!$B$3,"已延期",IF(J113&lt;=项目驾驶舱!$B$3+7,"临近到期","正常")))))</f>
        <v>正常</v>
      </c>
      <c r="AD113" s="33" t="s">
        <v>69</v>
      </c>
      <c r="AE113" s="34" t="s">
        <v>69</v>
      </c>
    </row>
    <row r="114" ht="17" customHeight="1" spans="1:31">
      <c r="A114" s="31" t="s">
        <v>321</v>
      </c>
      <c r="B114" s="33" t="s">
        <v>307</v>
      </c>
      <c r="C114" s="33" t="s">
        <v>322</v>
      </c>
      <c r="D114" s="33" t="s">
        <v>64</v>
      </c>
      <c r="E114" s="33" t="s">
        <v>64</v>
      </c>
      <c r="F114" s="33" t="s">
        <v>64</v>
      </c>
      <c r="G114" s="33" t="str">
        <f t="shared" ref="G114:G119" si="14">IF(OR(M114="挂起",M114="暂停",Q114="挂起",Q114="暂停",U114="挂起",U114="暂停",Y114="挂起",Y114="暂停"),"暂停","暂停")</f>
        <v>暂停</v>
      </c>
      <c r="H114" s="33" t="str">
        <f t="shared" si="8"/>
        <v>/</v>
      </c>
      <c r="I114" s="32" t="str">
        <f t="shared" si="9"/>
        <v/>
      </c>
      <c r="J114" s="32" t="str">
        <f t="shared" si="10"/>
        <v/>
      </c>
      <c r="K114" s="32"/>
      <c r="L114" s="33" t="s">
        <v>64</v>
      </c>
      <c r="M114" s="33" t="s">
        <v>64</v>
      </c>
      <c r="N114" s="32" t="s">
        <v>64</v>
      </c>
      <c r="O114" s="32" t="s">
        <v>64</v>
      </c>
      <c r="P114" s="33" t="s">
        <v>64</v>
      </c>
      <c r="Q114" s="33" t="s">
        <v>64</v>
      </c>
      <c r="R114" s="32" t="s">
        <v>64</v>
      </c>
      <c r="S114" s="32" t="s">
        <v>64</v>
      </c>
      <c r="T114" s="33" t="s">
        <v>64</v>
      </c>
      <c r="U114" s="33" t="s">
        <v>64</v>
      </c>
      <c r="V114" s="32" t="s">
        <v>64</v>
      </c>
      <c r="W114" s="32" t="s">
        <v>64</v>
      </c>
      <c r="X114" s="33" t="s">
        <v>64</v>
      </c>
      <c r="Y114" s="33" t="s">
        <v>64</v>
      </c>
      <c r="Z114" s="32" t="s">
        <v>64</v>
      </c>
      <c r="AA114" s="32" t="s">
        <v>64</v>
      </c>
      <c r="AB114" s="75">
        <f t="shared" si="11"/>
        <v>0</v>
      </c>
      <c r="AC114" s="33" t="str">
        <f>IF(G114="已完成","正常",IF(OR(G114="暂停",G114="挂起"),"暂停",IF(J114="","日期缺失",IF(J114&lt;项目驾驶舱!$B$3,"已延期",IF(J114&lt;=项目驾驶舱!$B$3+7,"临近到期","正常")))))</f>
        <v>暂停</v>
      </c>
      <c r="AD114" s="33" t="s">
        <v>69</v>
      </c>
      <c r="AE114" s="34" t="s">
        <v>69</v>
      </c>
    </row>
    <row r="115" ht="17" customHeight="1" spans="1:31">
      <c r="A115" s="31" t="s">
        <v>323</v>
      </c>
      <c r="B115" s="33" t="s">
        <v>307</v>
      </c>
      <c r="C115" s="33" t="s">
        <v>324</v>
      </c>
      <c r="D115" s="33" t="s">
        <v>64</v>
      </c>
      <c r="E115" s="33" t="s">
        <v>64</v>
      </c>
      <c r="F115" s="33" t="s">
        <v>64</v>
      </c>
      <c r="G115" s="33" t="str">
        <f t="shared" si="14"/>
        <v>暂停</v>
      </c>
      <c r="H115" s="33" t="str">
        <f t="shared" si="8"/>
        <v>/</v>
      </c>
      <c r="I115" s="32" t="str">
        <f t="shared" si="9"/>
        <v/>
      </c>
      <c r="J115" s="32" t="str">
        <f t="shared" si="10"/>
        <v/>
      </c>
      <c r="K115" s="32"/>
      <c r="L115" s="33" t="s">
        <v>64</v>
      </c>
      <c r="M115" s="33" t="s">
        <v>64</v>
      </c>
      <c r="N115" s="32" t="s">
        <v>64</v>
      </c>
      <c r="O115" s="32" t="s">
        <v>64</v>
      </c>
      <c r="P115" s="33" t="s">
        <v>64</v>
      </c>
      <c r="Q115" s="33" t="s">
        <v>64</v>
      </c>
      <c r="R115" s="32" t="s">
        <v>64</v>
      </c>
      <c r="S115" s="32" t="s">
        <v>64</v>
      </c>
      <c r="T115" s="33" t="s">
        <v>64</v>
      </c>
      <c r="U115" s="33" t="s">
        <v>64</v>
      </c>
      <c r="V115" s="32" t="s">
        <v>64</v>
      </c>
      <c r="W115" s="32" t="s">
        <v>64</v>
      </c>
      <c r="X115" s="33" t="s">
        <v>64</v>
      </c>
      <c r="Y115" s="33" t="s">
        <v>64</v>
      </c>
      <c r="Z115" s="32" t="s">
        <v>64</v>
      </c>
      <c r="AA115" s="32" t="s">
        <v>64</v>
      </c>
      <c r="AB115" s="75">
        <f t="shared" si="11"/>
        <v>0</v>
      </c>
      <c r="AC115" s="33" t="str">
        <f>IF(G115="已完成","正常",IF(OR(G115="暂停",G115="挂起"),"暂停",IF(J115="","日期缺失",IF(J115&lt;项目驾驶舱!$B$3,"已延期",IF(J115&lt;=项目驾驶舱!$B$3+7,"临近到期","正常")))))</f>
        <v>暂停</v>
      </c>
      <c r="AD115" s="33" t="s">
        <v>69</v>
      </c>
      <c r="AE115" s="34" t="s">
        <v>69</v>
      </c>
    </row>
    <row r="116" ht="17" customHeight="1" spans="1:31">
      <c r="A116" s="31" t="s">
        <v>325</v>
      </c>
      <c r="B116" s="33" t="s">
        <v>307</v>
      </c>
      <c r="C116" s="33" t="s">
        <v>326</v>
      </c>
      <c r="D116" s="33" t="s">
        <v>64</v>
      </c>
      <c r="E116" s="33" t="s">
        <v>64</v>
      </c>
      <c r="F116" s="33" t="s">
        <v>64</v>
      </c>
      <c r="G116" s="33" t="str">
        <f t="shared" si="14"/>
        <v>暂停</v>
      </c>
      <c r="H116" s="33" t="str">
        <f t="shared" si="8"/>
        <v>/</v>
      </c>
      <c r="I116" s="32" t="str">
        <f t="shared" si="9"/>
        <v/>
      </c>
      <c r="J116" s="32" t="str">
        <f t="shared" si="10"/>
        <v/>
      </c>
      <c r="K116" s="32"/>
      <c r="L116" s="33" t="s">
        <v>64</v>
      </c>
      <c r="M116" s="33" t="s">
        <v>64</v>
      </c>
      <c r="N116" s="32" t="s">
        <v>64</v>
      </c>
      <c r="O116" s="32" t="s">
        <v>64</v>
      </c>
      <c r="P116" s="33" t="s">
        <v>64</v>
      </c>
      <c r="Q116" s="33" t="s">
        <v>64</v>
      </c>
      <c r="R116" s="32" t="s">
        <v>64</v>
      </c>
      <c r="S116" s="32" t="s">
        <v>64</v>
      </c>
      <c r="T116" s="33" t="s">
        <v>64</v>
      </c>
      <c r="U116" s="33" t="s">
        <v>64</v>
      </c>
      <c r="V116" s="32" t="s">
        <v>64</v>
      </c>
      <c r="W116" s="32" t="s">
        <v>64</v>
      </c>
      <c r="X116" s="33" t="s">
        <v>64</v>
      </c>
      <c r="Y116" s="33" t="s">
        <v>64</v>
      </c>
      <c r="Z116" s="32" t="s">
        <v>64</v>
      </c>
      <c r="AA116" s="32" t="s">
        <v>64</v>
      </c>
      <c r="AB116" s="75">
        <f t="shared" si="11"/>
        <v>0</v>
      </c>
      <c r="AC116" s="33" t="str">
        <f>IF(G116="已完成","正常",IF(OR(G116="暂停",G116="挂起"),"暂停",IF(J116="","日期缺失",IF(J116&lt;项目驾驶舱!$B$3,"已延期",IF(J116&lt;=项目驾驶舱!$B$3+7,"临近到期","正常")))))</f>
        <v>暂停</v>
      </c>
      <c r="AD116" s="33" t="s">
        <v>69</v>
      </c>
      <c r="AE116" s="34" t="s">
        <v>69</v>
      </c>
    </row>
    <row r="117" ht="17" customHeight="1" spans="1:31">
      <c r="A117" s="31" t="s">
        <v>327</v>
      </c>
      <c r="B117" s="33" t="s">
        <v>307</v>
      </c>
      <c r="C117" s="33" t="s">
        <v>328</v>
      </c>
      <c r="D117" s="33" t="s">
        <v>64</v>
      </c>
      <c r="E117" s="33" t="s">
        <v>64</v>
      </c>
      <c r="F117" s="33" t="s">
        <v>64</v>
      </c>
      <c r="G117" s="33" t="str">
        <f t="shared" si="14"/>
        <v>暂停</v>
      </c>
      <c r="H117" s="33" t="str">
        <f t="shared" si="8"/>
        <v>/</v>
      </c>
      <c r="I117" s="32" t="str">
        <f t="shared" si="9"/>
        <v/>
      </c>
      <c r="J117" s="32" t="str">
        <f t="shared" si="10"/>
        <v/>
      </c>
      <c r="K117" s="32"/>
      <c r="L117" s="33" t="s">
        <v>64</v>
      </c>
      <c r="M117" s="33" t="s">
        <v>64</v>
      </c>
      <c r="N117" s="32" t="s">
        <v>64</v>
      </c>
      <c r="O117" s="32" t="s">
        <v>64</v>
      </c>
      <c r="P117" s="33" t="s">
        <v>64</v>
      </c>
      <c r="Q117" s="33" t="s">
        <v>64</v>
      </c>
      <c r="R117" s="32" t="s">
        <v>64</v>
      </c>
      <c r="S117" s="32" t="s">
        <v>64</v>
      </c>
      <c r="T117" s="33" t="s">
        <v>64</v>
      </c>
      <c r="U117" s="33" t="s">
        <v>64</v>
      </c>
      <c r="V117" s="32" t="s">
        <v>64</v>
      </c>
      <c r="W117" s="32" t="s">
        <v>64</v>
      </c>
      <c r="X117" s="33" t="s">
        <v>64</v>
      </c>
      <c r="Y117" s="33" t="s">
        <v>64</v>
      </c>
      <c r="Z117" s="32" t="s">
        <v>64</v>
      </c>
      <c r="AA117" s="32" t="s">
        <v>64</v>
      </c>
      <c r="AB117" s="75">
        <f t="shared" si="11"/>
        <v>0</v>
      </c>
      <c r="AC117" s="33" t="str">
        <f>IF(G117="已完成","正常",IF(OR(G117="暂停",G117="挂起"),"暂停",IF(J117="","日期缺失",IF(J117&lt;项目驾驶舱!$B$3,"已延期",IF(J117&lt;=项目驾驶舱!$B$3+7,"临近到期","正常")))))</f>
        <v>暂停</v>
      </c>
      <c r="AD117" s="33" t="s">
        <v>69</v>
      </c>
      <c r="AE117" s="34" t="s">
        <v>69</v>
      </c>
    </row>
    <row r="118" ht="17" customHeight="1" spans="1:31">
      <c r="A118" s="31" t="s">
        <v>329</v>
      </c>
      <c r="B118" s="33" t="s">
        <v>307</v>
      </c>
      <c r="C118" s="33" t="s">
        <v>330</v>
      </c>
      <c r="D118" s="33" t="s">
        <v>64</v>
      </c>
      <c r="E118" s="33" t="s">
        <v>64</v>
      </c>
      <c r="F118" s="33" t="s">
        <v>64</v>
      </c>
      <c r="G118" s="33" t="str">
        <f t="shared" si="14"/>
        <v>暂停</v>
      </c>
      <c r="H118" s="33" t="str">
        <f t="shared" si="8"/>
        <v>/</v>
      </c>
      <c r="I118" s="32" t="str">
        <f t="shared" si="9"/>
        <v/>
      </c>
      <c r="J118" s="32" t="str">
        <f t="shared" si="10"/>
        <v/>
      </c>
      <c r="K118" s="32"/>
      <c r="L118" s="33" t="s">
        <v>64</v>
      </c>
      <c r="M118" s="33" t="s">
        <v>64</v>
      </c>
      <c r="N118" s="32" t="s">
        <v>64</v>
      </c>
      <c r="O118" s="32" t="s">
        <v>64</v>
      </c>
      <c r="P118" s="33" t="s">
        <v>64</v>
      </c>
      <c r="Q118" s="33" t="s">
        <v>64</v>
      </c>
      <c r="R118" s="32" t="s">
        <v>64</v>
      </c>
      <c r="S118" s="32" t="s">
        <v>64</v>
      </c>
      <c r="T118" s="33" t="s">
        <v>64</v>
      </c>
      <c r="U118" s="33" t="s">
        <v>64</v>
      </c>
      <c r="V118" s="32" t="s">
        <v>64</v>
      </c>
      <c r="W118" s="32" t="s">
        <v>64</v>
      </c>
      <c r="X118" s="33" t="s">
        <v>64</v>
      </c>
      <c r="Y118" s="33" t="s">
        <v>64</v>
      </c>
      <c r="Z118" s="32" t="s">
        <v>64</v>
      </c>
      <c r="AA118" s="32" t="s">
        <v>64</v>
      </c>
      <c r="AB118" s="75">
        <f t="shared" si="11"/>
        <v>0</v>
      </c>
      <c r="AC118" s="33" t="str">
        <f>IF(G118="已完成","正常",IF(OR(G118="暂停",G118="挂起"),"暂停",IF(J118="","日期缺失",IF(J118&lt;项目驾驶舱!$B$3,"已延期",IF(J118&lt;=项目驾驶舱!$B$3+7,"临近到期","正常")))))</f>
        <v>暂停</v>
      </c>
      <c r="AD118" s="33" t="s">
        <v>69</v>
      </c>
      <c r="AE118" s="34" t="s">
        <v>69</v>
      </c>
    </row>
    <row r="119" ht="17" customHeight="1" spans="1:31">
      <c r="A119" s="31" t="s">
        <v>331</v>
      </c>
      <c r="B119" s="33" t="s">
        <v>307</v>
      </c>
      <c r="C119" s="33" t="s">
        <v>332</v>
      </c>
      <c r="D119" s="33" t="s">
        <v>64</v>
      </c>
      <c r="E119" s="33" t="s">
        <v>64</v>
      </c>
      <c r="F119" s="33" t="s">
        <v>64</v>
      </c>
      <c r="G119" s="33" t="str">
        <f t="shared" si="14"/>
        <v>暂停</v>
      </c>
      <c r="H119" s="33" t="str">
        <f t="shared" si="8"/>
        <v>/</v>
      </c>
      <c r="I119" s="32" t="str">
        <f t="shared" si="9"/>
        <v/>
      </c>
      <c r="J119" s="32" t="str">
        <f t="shared" si="10"/>
        <v/>
      </c>
      <c r="K119" s="32"/>
      <c r="L119" s="33" t="s">
        <v>64</v>
      </c>
      <c r="M119" s="33" t="s">
        <v>64</v>
      </c>
      <c r="N119" s="32" t="s">
        <v>64</v>
      </c>
      <c r="O119" s="32" t="s">
        <v>64</v>
      </c>
      <c r="P119" s="33" t="s">
        <v>64</v>
      </c>
      <c r="Q119" s="33" t="s">
        <v>64</v>
      </c>
      <c r="R119" s="32" t="s">
        <v>64</v>
      </c>
      <c r="S119" s="32" t="s">
        <v>64</v>
      </c>
      <c r="T119" s="33" t="s">
        <v>64</v>
      </c>
      <c r="U119" s="33" t="s">
        <v>64</v>
      </c>
      <c r="V119" s="32" t="s">
        <v>64</v>
      </c>
      <c r="W119" s="32" t="s">
        <v>64</v>
      </c>
      <c r="X119" s="33" t="s">
        <v>64</v>
      </c>
      <c r="Y119" s="33" t="s">
        <v>64</v>
      </c>
      <c r="Z119" s="32" t="s">
        <v>64</v>
      </c>
      <c r="AA119" s="32" t="s">
        <v>64</v>
      </c>
      <c r="AB119" s="75">
        <f t="shared" si="11"/>
        <v>0</v>
      </c>
      <c r="AC119" s="33" t="str">
        <f>IF(G119="已完成","正常",IF(OR(G119="暂停",G119="挂起"),"暂停",IF(J119="","日期缺失",IF(J119&lt;项目驾驶舱!$B$3,"已延期",IF(J119&lt;=项目驾驶舱!$B$3+7,"临近到期","正常")))))</f>
        <v>暂停</v>
      </c>
      <c r="AD119" s="33" t="s">
        <v>69</v>
      </c>
      <c r="AE119" s="34" t="s">
        <v>69</v>
      </c>
    </row>
    <row r="120" ht="17" customHeight="1" spans="1:31">
      <c r="A120" s="31" t="s">
        <v>333</v>
      </c>
      <c r="B120" s="33" t="s">
        <v>334</v>
      </c>
      <c r="C120" s="33" t="s">
        <v>335</v>
      </c>
      <c r="D120" s="33" t="s">
        <v>64</v>
      </c>
      <c r="E120" s="33" t="s">
        <v>64</v>
      </c>
      <c r="F120" s="33" t="s">
        <v>25</v>
      </c>
      <c r="G120" s="33" t="str">
        <f t="shared" ref="G120:G128" si="15">IF(OR(M120="挂起",M120="暂停",Q120="挂起",Q120="暂停",U120="挂起",U120="暂停",Y120="挂起",Y120="暂停"),"暂停","已完成")</f>
        <v>已完成</v>
      </c>
      <c r="H120" s="33" t="str">
        <f t="shared" si="8"/>
        <v>郑士旺</v>
      </c>
      <c r="I120" s="32">
        <f t="shared" si="9"/>
        <v>46230</v>
      </c>
      <c r="J120" s="32">
        <f t="shared" si="10"/>
        <v>46269</v>
      </c>
      <c r="K120" s="32" t="s">
        <v>64</v>
      </c>
      <c r="L120" s="33" t="s">
        <v>65</v>
      </c>
      <c r="M120" s="33" t="s">
        <v>3</v>
      </c>
      <c r="N120" s="32" t="s">
        <v>64</v>
      </c>
      <c r="O120" s="32" t="s">
        <v>64</v>
      </c>
      <c r="P120" s="33" t="s">
        <v>66</v>
      </c>
      <c r="Q120" s="33" t="s">
        <v>3</v>
      </c>
      <c r="R120" s="32">
        <v>46230</v>
      </c>
      <c r="S120" s="32">
        <v>46262</v>
      </c>
      <c r="T120" s="33" t="s">
        <v>67</v>
      </c>
      <c r="U120" s="33" t="s">
        <v>3</v>
      </c>
      <c r="V120" s="32">
        <v>46230</v>
      </c>
      <c r="W120" s="32">
        <v>46262</v>
      </c>
      <c r="X120" s="33" t="s">
        <v>68</v>
      </c>
      <c r="Y120" s="33" t="s">
        <v>3</v>
      </c>
      <c r="Z120" s="32">
        <v>46253</v>
      </c>
      <c r="AA120" s="32">
        <v>46269</v>
      </c>
      <c r="AB120" s="75">
        <f t="shared" si="11"/>
        <v>1</v>
      </c>
      <c r="AC120" s="33" t="str">
        <f>IF(G120="已完成","正常",IF(OR(G120="暂停",G120="挂起"),"暂停",IF(J120="","日期缺失",IF(J120&lt;项目驾驶舱!$B$3,"已延期",IF(J120&lt;=项目驾驶舱!$B$3+7,"临近到期","正常")))))</f>
        <v>正常</v>
      </c>
      <c r="AD120" s="33" t="s">
        <v>69</v>
      </c>
      <c r="AE120" s="34" t="s">
        <v>69</v>
      </c>
    </row>
    <row r="121" ht="17" customHeight="1" spans="1:31">
      <c r="A121" s="31" t="s">
        <v>336</v>
      </c>
      <c r="B121" s="33" t="s">
        <v>334</v>
      </c>
      <c r="C121" s="33" t="s">
        <v>337</v>
      </c>
      <c r="D121" s="33" t="s">
        <v>64</v>
      </c>
      <c r="E121" s="33" t="s">
        <v>64</v>
      </c>
      <c r="F121" s="33" t="s">
        <v>25</v>
      </c>
      <c r="G121" s="33" t="str">
        <f t="shared" si="15"/>
        <v>已完成</v>
      </c>
      <c r="H121" s="33" t="str">
        <f t="shared" si="8"/>
        <v>郑士旺</v>
      </c>
      <c r="I121" s="32">
        <f t="shared" si="9"/>
        <v>46230</v>
      </c>
      <c r="J121" s="32">
        <f t="shared" si="10"/>
        <v>46269</v>
      </c>
      <c r="K121" s="32" t="s">
        <v>64</v>
      </c>
      <c r="L121" s="33" t="s">
        <v>65</v>
      </c>
      <c r="M121" s="33" t="s">
        <v>3</v>
      </c>
      <c r="N121" s="32" t="s">
        <v>64</v>
      </c>
      <c r="O121" s="32" t="s">
        <v>64</v>
      </c>
      <c r="P121" s="33" t="s">
        <v>66</v>
      </c>
      <c r="Q121" s="33" t="s">
        <v>3</v>
      </c>
      <c r="R121" s="32">
        <v>46230</v>
      </c>
      <c r="S121" s="32">
        <v>46262</v>
      </c>
      <c r="T121" s="33" t="s">
        <v>67</v>
      </c>
      <c r="U121" s="33" t="s">
        <v>3</v>
      </c>
      <c r="V121" s="32">
        <v>46230</v>
      </c>
      <c r="W121" s="32">
        <v>46262</v>
      </c>
      <c r="X121" s="33" t="s">
        <v>68</v>
      </c>
      <c r="Y121" s="33" t="s">
        <v>3</v>
      </c>
      <c r="Z121" s="32">
        <v>46253</v>
      </c>
      <c r="AA121" s="32">
        <v>46269</v>
      </c>
      <c r="AB121" s="75">
        <f t="shared" si="11"/>
        <v>1</v>
      </c>
      <c r="AC121" s="33" t="str">
        <f>IF(G121="已完成","正常",IF(OR(G121="暂停",G121="挂起"),"暂停",IF(J121="","日期缺失",IF(J121&lt;项目驾驶舱!$B$3,"已延期",IF(J121&lt;=项目驾驶舱!$B$3+7,"临近到期","正常")))))</f>
        <v>正常</v>
      </c>
      <c r="AD121" s="33" t="s">
        <v>69</v>
      </c>
      <c r="AE121" s="34" t="s">
        <v>69</v>
      </c>
    </row>
    <row r="122" ht="17" customHeight="1" spans="1:31">
      <c r="A122" s="31" t="s">
        <v>338</v>
      </c>
      <c r="B122" s="33" t="s">
        <v>334</v>
      </c>
      <c r="C122" s="33" t="s">
        <v>339</v>
      </c>
      <c r="D122" s="33" t="s">
        <v>64</v>
      </c>
      <c r="E122" s="33" t="s">
        <v>64</v>
      </c>
      <c r="F122" s="33" t="s">
        <v>25</v>
      </c>
      <c r="G122" s="33" t="str">
        <f t="shared" si="15"/>
        <v>已完成</v>
      </c>
      <c r="H122" s="33" t="str">
        <f t="shared" si="8"/>
        <v>郑士旺</v>
      </c>
      <c r="I122" s="32">
        <f t="shared" si="9"/>
        <v>46230</v>
      </c>
      <c r="J122" s="32">
        <f t="shared" si="10"/>
        <v>46269</v>
      </c>
      <c r="K122" s="32" t="s">
        <v>64</v>
      </c>
      <c r="L122" s="33" t="s">
        <v>65</v>
      </c>
      <c r="M122" s="33" t="s">
        <v>3</v>
      </c>
      <c r="N122" s="32" t="s">
        <v>64</v>
      </c>
      <c r="O122" s="32" t="s">
        <v>64</v>
      </c>
      <c r="P122" s="33" t="s">
        <v>66</v>
      </c>
      <c r="Q122" s="33" t="s">
        <v>3</v>
      </c>
      <c r="R122" s="32">
        <v>46230</v>
      </c>
      <c r="S122" s="32">
        <v>46262</v>
      </c>
      <c r="T122" s="33" t="s">
        <v>67</v>
      </c>
      <c r="U122" s="33" t="s">
        <v>3</v>
      </c>
      <c r="V122" s="32">
        <v>46230</v>
      </c>
      <c r="W122" s="32">
        <v>46262</v>
      </c>
      <c r="X122" s="33" t="s">
        <v>68</v>
      </c>
      <c r="Y122" s="33" t="s">
        <v>3</v>
      </c>
      <c r="Z122" s="32">
        <v>46253</v>
      </c>
      <c r="AA122" s="32">
        <v>46269</v>
      </c>
      <c r="AB122" s="75">
        <f t="shared" si="11"/>
        <v>1</v>
      </c>
      <c r="AC122" s="33" t="str">
        <f>IF(G122="已完成","正常",IF(OR(G122="暂停",G122="挂起"),"暂停",IF(J122="","日期缺失",IF(J122&lt;项目驾驶舱!$B$3,"已延期",IF(J122&lt;=项目驾驶舱!$B$3+7,"临近到期","正常")))))</f>
        <v>正常</v>
      </c>
      <c r="AD122" s="33" t="s">
        <v>69</v>
      </c>
      <c r="AE122" s="34" t="s">
        <v>69</v>
      </c>
    </row>
    <row r="123" ht="17" customHeight="1" spans="1:31">
      <c r="A123" s="31" t="s">
        <v>340</v>
      </c>
      <c r="B123" s="33" t="s">
        <v>334</v>
      </c>
      <c r="C123" s="33" t="s">
        <v>341</v>
      </c>
      <c r="D123" s="33" t="s">
        <v>64</v>
      </c>
      <c r="E123" s="33" t="s">
        <v>64</v>
      </c>
      <c r="F123" s="33" t="s">
        <v>25</v>
      </c>
      <c r="G123" s="33" t="str">
        <f t="shared" si="15"/>
        <v>已完成</v>
      </c>
      <c r="H123" s="33" t="str">
        <f t="shared" si="8"/>
        <v>郑士旺</v>
      </c>
      <c r="I123" s="32">
        <f t="shared" si="9"/>
        <v>46230</v>
      </c>
      <c r="J123" s="32">
        <f t="shared" si="10"/>
        <v>46269</v>
      </c>
      <c r="K123" s="32" t="s">
        <v>64</v>
      </c>
      <c r="L123" s="33" t="s">
        <v>65</v>
      </c>
      <c r="M123" s="33" t="s">
        <v>3</v>
      </c>
      <c r="N123" s="32" t="s">
        <v>64</v>
      </c>
      <c r="O123" s="32" t="s">
        <v>64</v>
      </c>
      <c r="P123" s="33" t="s">
        <v>66</v>
      </c>
      <c r="Q123" s="33" t="s">
        <v>3</v>
      </c>
      <c r="R123" s="32">
        <v>46230</v>
      </c>
      <c r="S123" s="32">
        <v>46262</v>
      </c>
      <c r="T123" s="33" t="s">
        <v>67</v>
      </c>
      <c r="U123" s="33" t="s">
        <v>3</v>
      </c>
      <c r="V123" s="32">
        <v>46230</v>
      </c>
      <c r="W123" s="32">
        <v>46262</v>
      </c>
      <c r="X123" s="33" t="s">
        <v>68</v>
      </c>
      <c r="Y123" s="33" t="s">
        <v>3</v>
      </c>
      <c r="Z123" s="32">
        <v>46253</v>
      </c>
      <c r="AA123" s="32">
        <v>46269</v>
      </c>
      <c r="AB123" s="75">
        <f t="shared" si="11"/>
        <v>1</v>
      </c>
      <c r="AC123" s="33" t="str">
        <f>IF(G123="已完成","正常",IF(OR(G123="暂停",G123="挂起"),"暂停",IF(J123="","日期缺失",IF(J123&lt;项目驾驶舱!$B$3,"已延期",IF(J123&lt;=项目驾驶舱!$B$3+7,"临近到期","正常")))))</f>
        <v>正常</v>
      </c>
      <c r="AD123" s="33" t="s">
        <v>69</v>
      </c>
      <c r="AE123" s="34" t="s">
        <v>69</v>
      </c>
    </row>
    <row r="124" ht="17" customHeight="1" spans="1:31">
      <c r="A124" s="31" t="s">
        <v>342</v>
      </c>
      <c r="B124" s="33" t="s">
        <v>343</v>
      </c>
      <c r="C124" s="33" t="s">
        <v>344</v>
      </c>
      <c r="D124" s="33" t="s">
        <v>345</v>
      </c>
      <c r="E124" s="33" t="s">
        <v>64</v>
      </c>
      <c r="F124" s="33" t="s">
        <v>26</v>
      </c>
      <c r="G124" s="33" t="str">
        <f t="shared" si="15"/>
        <v>已完成</v>
      </c>
      <c r="H124" s="33" t="str">
        <f t="shared" si="8"/>
        <v>郑士旺</v>
      </c>
      <c r="I124" s="32">
        <f t="shared" si="9"/>
        <v>46216</v>
      </c>
      <c r="J124" s="32">
        <f t="shared" si="10"/>
        <v>46261</v>
      </c>
      <c r="K124" s="32">
        <v>46261</v>
      </c>
      <c r="L124" s="33" t="s">
        <v>65</v>
      </c>
      <c r="M124" s="33" t="s">
        <v>3</v>
      </c>
      <c r="N124" s="32">
        <v>46216</v>
      </c>
      <c r="O124" s="32">
        <v>46220</v>
      </c>
      <c r="P124" s="33" t="s">
        <v>66</v>
      </c>
      <c r="Q124" s="33" t="s">
        <v>3</v>
      </c>
      <c r="R124" s="32">
        <v>46265</v>
      </c>
      <c r="S124" s="32">
        <v>46269</v>
      </c>
      <c r="T124" s="33" t="s">
        <v>67</v>
      </c>
      <c r="U124" s="33" t="s">
        <v>3</v>
      </c>
      <c r="V124" s="32">
        <v>46265</v>
      </c>
      <c r="W124" s="32">
        <v>46269</v>
      </c>
      <c r="X124" s="33" t="s">
        <v>68</v>
      </c>
      <c r="Y124" s="33" t="s">
        <v>3</v>
      </c>
      <c r="Z124" s="32">
        <v>46272</v>
      </c>
      <c r="AA124" s="32">
        <v>46276</v>
      </c>
      <c r="AB124" s="75">
        <f t="shared" si="11"/>
        <v>1</v>
      </c>
      <c r="AC124" s="33" t="str">
        <f>IF(G124="已完成","正常",IF(OR(G124="暂停",G124="挂起"),"暂停",IF(J124="","日期缺失",IF(J124&lt;项目驾驶舱!$B$3,"已延期",IF(J124&lt;=项目驾驶舱!$B$3+7,"临近到期","正常")))))</f>
        <v>正常</v>
      </c>
      <c r="AD124" s="33" t="s">
        <v>69</v>
      </c>
      <c r="AE124" s="34" t="s">
        <v>69</v>
      </c>
    </row>
    <row r="125" ht="17" customHeight="1" spans="1:31">
      <c r="A125" s="31" t="s">
        <v>346</v>
      </c>
      <c r="B125" s="33" t="s">
        <v>343</v>
      </c>
      <c r="C125" s="33" t="s">
        <v>344</v>
      </c>
      <c r="D125" s="33" t="s">
        <v>347</v>
      </c>
      <c r="E125" s="33" t="s">
        <v>64</v>
      </c>
      <c r="F125" s="33" t="s">
        <v>26</v>
      </c>
      <c r="G125" s="33" t="str">
        <f t="shared" si="15"/>
        <v>已完成</v>
      </c>
      <c r="H125" s="33" t="str">
        <f t="shared" si="8"/>
        <v>郑士旺</v>
      </c>
      <c r="I125" s="32">
        <f t="shared" si="9"/>
        <v>46216</v>
      </c>
      <c r="J125" s="32">
        <f t="shared" si="10"/>
        <v>46261</v>
      </c>
      <c r="K125" s="32">
        <v>46261</v>
      </c>
      <c r="L125" s="33" t="s">
        <v>65</v>
      </c>
      <c r="M125" s="33" t="s">
        <v>3</v>
      </c>
      <c r="N125" s="32">
        <v>46216</v>
      </c>
      <c r="O125" s="32">
        <v>46220</v>
      </c>
      <c r="P125" s="33" t="s">
        <v>66</v>
      </c>
      <c r="Q125" s="33" t="s">
        <v>3</v>
      </c>
      <c r="R125" s="32">
        <v>46265</v>
      </c>
      <c r="S125" s="32">
        <v>46269</v>
      </c>
      <c r="T125" s="33" t="s">
        <v>67</v>
      </c>
      <c r="U125" s="33" t="s">
        <v>3</v>
      </c>
      <c r="V125" s="32">
        <v>46265</v>
      </c>
      <c r="W125" s="32">
        <v>46269</v>
      </c>
      <c r="X125" s="33" t="s">
        <v>68</v>
      </c>
      <c r="Y125" s="33" t="s">
        <v>3</v>
      </c>
      <c r="Z125" s="32">
        <v>46272</v>
      </c>
      <c r="AA125" s="32">
        <v>46276</v>
      </c>
      <c r="AB125" s="75">
        <f t="shared" si="11"/>
        <v>1</v>
      </c>
      <c r="AC125" s="33" t="str">
        <f>IF(G125="已完成","正常",IF(OR(G125="暂停",G125="挂起"),"暂停",IF(J125="","日期缺失",IF(J125&lt;项目驾驶舱!$B$3,"已延期",IF(J125&lt;=项目驾驶舱!$B$3+7,"临近到期","正常")))))</f>
        <v>正常</v>
      </c>
      <c r="AD125" s="33" t="s">
        <v>69</v>
      </c>
      <c r="AE125" s="34" t="s">
        <v>69</v>
      </c>
    </row>
    <row r="126" ht="17" customHeight="1" spans="1:31">
      <c r="A126" s="31" t="s">
        <v>348</v>
      </c>
      <c r="B126" s="33" t="s">
        <v>343</v>
      </c>
      <c r="C126" s="33" t="s">
        <v>344</v>
      </c>
      <c r="D126" s="33" t="s">
        <v>349</v>
      </c>
      <c r="E126" s="33" t="s">
        <v>64</v>
      </c>
      <c r="F126" s="33" t="s">
        <v>26</v>
      </c>
      <c r="G126" s="33" t="str">
        <f t="shared" si="15"/>
        <v>已完成</v>
      </c>
      <c r="H126" s="33" t="str">
        <f t="shared" si="8"/>
        <v>郑士旺</v>
      </c>
      <c r="I126" s="32">
        <f t="shared" si="9"/>
        <v>46216</v>
      </c>
      <c r="J126" s="32">
        <f t="shared" si="10"/>
        <v>46261</v>
      </c>
      <c r="K126" s="32">
        <v>46261</v>
      </c>
      <c r="L126" s="33" t="s">
        <v>65</v>
      </c>
      <c r="M126" s="33" t="s">
        <v>3</v>
      </c>
      <c r="N126" s="32">
        <v>46216</v>
      </c>
      <c r="O126" s="32">
        <v>46220</v>
      </c>
      <c r="P126" s="33" t="s">
        <v>66</v>
      </c>
      <c r="Q126" s="33" t="s">
        <v>3</v>
      </c>
      <c r="R126" s="32">
        <v>46265</v>
      </c>
      <c r="S126" s="32">
        <v>46269</v>
      </c>
      <c r="T126" s="33" t="s">
        <v>67</v>
      </c>
      <c r="U126" s="33" t="s">
        <v>3</v>
      </c>
      <c r="V126" s="32">
        <v>46265</v>
      </c>
      <c r="W126" s="32">
        <v>46269</v>
      </c>
      <c r="X126" s="33" t="s">
        <v>68</v>
      </c>
      <c r="Y126" s="33" t="s">
        <v>3</v>
      </c>
      <c r="Z126" s="32">
        <v>46272</v>
      </c>
      <c r="AA126" s="32">
        <v>46276</v>
      </c>
      <c r="AB126" s="75">
        <f t="shared" si="11"/>
        <v>1</v>
      </c>
      <c r="AC126" s="33" t="str">
        <f>IF(G126="已完成","正常",IF(OR(G126="暂停",G126="挂起"),"暂停",IF(J126="","日期缺失",IF(J126&lt;项目驾驶舱!$B$3,"已延期",IF(J126&lt;=项目驾驶舱!$B$3+7,"临近到期","正常")))))</f>
        <v>正常</v>
      </c>
      <c r="AD126" s="33" t="s">
        <v>69</v>
      </c>
      <c r="AE126" s="34" t="s">
        <v>69</v>
      </c>
    </row>
    <row r="127" ht="17" customHeight="1" spans="1:31">
      <c r="A127" s="31" t="s">
        <v>350</v>
      </c>
      <c r="B127" s="33" t="s">
        <v>343</v>
      </c>
      <c r="C127" s="33" t="s">
        <v>344</v>
      </c>
      <c r="D127" s="33" t="s">
        <v>351</v>
      </c>
      <c r="E127" s="33" t="s">
        <v>64</v>
      </c>
      <c r="F127" s="33" t="s">
        <v>26</v>
      </c>
      <c r="G127" s="33" t="str">
        <f t="shared" si="15"/>
        <v>已完成</v>
      </c>
      <c r="H127" s="33" t="str">
        <f t="shared" si="8"/>
        <v>郑士旺</v>
      </c>
      <c r="I127" s="32">
        <f t="shared" si="9"/>
        <v>46216</v>
      </c>
      <c r="J127" s="32">
        <f t="shared" si="10"/>
        <v>46261</v>
      </c>
      <c r="K127" s="32">
        <v>46261</v>
      </c>
      <c r="L127" s="33" t="s">
        <v>65</v>
      </c>
      <c r="M127" s="33" t="s">
        <v>3</v>
      </c>
      <c r="N127" s="32">
        <v>46216</v>
      </c>
      <c r="O127" s="32">
        <v>46220</v>
      </c>
      <c r="P127" s="33" t="s">
        <v>66</v>
      </c>
      <c r="Q127" s="33" t="s">
        <v>3</v>
      </c>
      <c r="R127" s="32">
        <v>46265</v>
      </c>
      <c r="S127" s="32">
        <v>46269</v>
      </c>
      <c r="T127" s="33" t="s">
        <v>67</v>
      </c>
      <c r="U127" s="33" t="s">
        <v>3</v>
      </c>
      <c r="V127" s="32">
        <v>46265</v>
      </c>
      <c r="W127" s="32">
        <v>46269</v>
      </c>
      <c r="X127" s="33" t="s">
        <v>68</v>
      </c>
      <c r="Y127" s="33" t="s">
        <v>3</v>
      </c>
      <c r="Z127" s="32">
        <v>46272</v>
      </c>
      <c r="AA127" s="32">
        <v>46276</v>
      </c>
      <c r="AB127" s="75">
        <f t="shared" si="11"/>
        <v>1</v>
      </c>
      <c r="AC127" s="33" t="str">
        <f>IF(G127="已完成","正常",IF(OR(G127="暂停",G127="挂起"),"暂停",IF(J127="","日期缺失",IF(J127&lt;项目驾驶舱!$B$3,"已延期",IF(J127&lt;=项目驾驶舱!$B$3+7,"临近到期","正常")))))</f>
        <v>正常</v>
      </c>
      <c r="AD127" s="33" t="s">
        <v>69</v>
      </c>
      <c r="AE127" s="34" t="s">
        <v>69</v>
      </c>
    </row>
    <row r="128" ht="17" customHeight="1" spans="1:31">
      <c r="A128" s="31" t="s">
        <v>352</v>
      </c>
      <c r="B128" s="33" t="s">
        <v>343</v>
      </c>
      <c r="C128" s="33" t="s">
        <v>344</v>
      </c>
      <c r="D128" s="33" t="s">
        <v>353</v>
      </c>
      <c r="E128" s="33" t="s">
        <v>64</v>
      </c>
      <c r="F128" s="33" t="s">
        <v>26</v>
      </c>
      <c r="G128" s="33" t="str">
        <f t="shared" si="15"/>
        <v>已完成</v>
      </c>
      <c r="H128" s="33" t="str">
        <f t="shared" si="8"/>
        <v>郑士旺</v>
      </c>
      <c r="I128" s="32">
        <f t="shared" si="9"/>
        <v>46216</v>
      </c>
      <c r="J128" s="32">
        <f t="shared" si="10"/>
        <v>46261</v>
      </c>
      <c r="K128" s="32">
        <v>46261</v>
      </c>
      <c r="L128" s="33" t="s">
        <v>65</v>
      </c>
      <c r="M128" s="33" t="s">
        <v>3</v>
      </c>
      <c r="N128" s="32">
        <v>46216</v>
      </c>
      <c r="O128" s="32">
        <v>46220</v>
      </c>
      <c r="P128" s="33" t="s">
        <v>66</v>
      </c>
      <c r="Q128" s="33" t="s">
        <v>3</v>
      </c>
      <c r="R128" s="32">
        <v>46265</v>
      </c>
      <c r="S128" s="32">
        <v>46269</v>
      </c>
      <c r="T128" s="33" t="s">
        <v>67</v>
      </c>
      <c r="U128" s="33" t="s">
        <v>3</v>
      </c>
      <c r="V128" s="32">
        <v>46265</v>
      </c>
      <c r="W128" s="32">
        <v>46269</v>
      </c>
      <c r="X128" s="33" t="s">
        <v>68</v>
      </c>
      <c r="Y128" s="33" t="s">
        <v>3</v>
      </c>
      <c r="Z128" s="32">
        <v>46272</v>
      </c>
      <c r="AA128" s="32">
        <v>46276</v>
      </c>
      <c r="AB128" s="75">
        <f t="shared" si="11"/>
        <v>1</v>
      </c>
      <c r="AC128" s="33" t="str">
        <f>IF(G128="已完成","正常",IF(OR(G128="暂停",G128="挂起"),"暂停",IF(J128="","日期缺失",IF(J128&lt;项目驾驶舱!$B$3,"已延期",IF(J128&lt;=项目驾驶舱!$B$3+7,"临近到期","正常")))))</f>
        <v>正常</v>
      </c>
      <c r="AD128" s="33" t="s">
        <v>69</v>
      </c>
      <c r="AE128" s="34" t="s">
        <v>69</v>
      </c>
    </row>
    <row r="129" ht="17" customHeight="1" spans="1:31">
      <c r="A129" s="31" t="s">
        <v>354</v>
      </c>
      <c r="B129" s="33" t="s">
        <v>343</v>
      </c>
      <c r="C129" s="33" t="s">
        <v>344</v>
      </c>
      <c r="D129" s="33" t="s">
        <v>355</v>
      </c>
      <c r="E129" s="33" t="s">
        <v>64</v>
      </c>
      <c r="F129" s="33" t="s">
        <v>26</v>
      </c>
      <c r="G129" s="33" t="str">
        <f t="shared" ref="G129:G140" si="16">IF(OR(M129="挂起",M129="暂停",Q129="挂起",Q129="暂停",U129="挂起",U129="暂停",Y129="挂起",Y129="暂停"),"暂停","未开始")</f>
        <v>未开始</v>
      </c>
      <c r="H129" s="33" t="str">
        <f t="shared" si="8"/>
        <v>郑士旺</v>
      </c>
      <c r="I129" s="32">
        <f t="shared" si="9"/>
        <v>46230</v>
      </c>
      <c r="J129" s="32">
        <f t="shared" si="10"/>
        <v>46353</v>
      </c>
      <c r="K129" s="32"/>
      <c r="L129" s="33" t="s">
        <v>65</v>
      </c>
      <c r="M129" s="33" t="s">
        <v>5</v>
      </c>
      <c r="N129" s="32">
        <v>46230</v>
      </c>
      <c r="O129" s="32">
        <v>46241</v>
      </c>
      <c r="P129" s="33" t="s">
        <v>66</v>
      </c>
      <c r="Q129" s="33" t="s">
        <v>5</v>
      </c>
      <c r="R129" s="32">
        <v>46307</v>
      </c>
      <c r="S129" s="32">
        <v>46339</v>
      </c>
      <c r="T129" s="33" t="s">
        <v>67</v>
      </c>
      <c r="U129" s="33" t="s">
        <v>5</v>
      </c>
      <c r="V129" s="32">
        <v>46307</v>
      </c>
      <c r="W129" s="32">
        <v>46339</v>
      </c>
      <c r="X129" s="33" t="s">
        <v>68</v>
      </c>
      <c r="Y129" s="33" t="s">
        <v>5</v>
      </c>
      <c r="Z129" s="32">
        <v>46342</v>
      </c>
      <c r="AA129" s="32">
        <v>46353</v>
      </c>
      <c r="AB129" s="75">
        <f t="shared" si="11"/>
        <v>0</v>
      </c>
      <c r="AC129" s="33" t="str">
        <f>IF(G129="已完成","正常",IF(OR(G129="暂停",G129="挂起"),"暂停",IF(J129="","日期缺失",IF(J129&lt;项目驾驶舱!$B$3,"已延期",IF(J129&lt;=项目驾驶舱!$B$3+7,"临近到期","正常")))))</f>
        <v>正常</v>
      </c>
      <c r="AD129" s="33" t="s">
        <v>69</v>
      </c>
      <c r="AE129" s="34" t="s">
        <v>69</v>
      </c>
    </row>
    <row r="130" ht="17" customHeight="1" spans="1:31">
      <c r="A130" s="31" t="s">
        <v>356</v>
      </c>
      <c r="B130" s="33" t="s">
        <v>343</v>
      </c>
      <c r="C130" s="33" t="s">
        <v>344</v>
      </c>
      <c r="D130" s="33" t="s">
        <v>357</v>
      </c>
      <c r="E130" s="33" t="s">
        <v>64</v>
      </c>
      <c r="F130" s="33" t="s">
        <v>26</v>
      </c>
      <c r="G130" s="33" t="str">
        <f t="shared" si="16"/>
        <v>未开始</v>
      </c>
      <c r="H130" s="33" t="str">
        <f t="shared" si="8"/>
        <v>郑士旺</v>
      </c>
      <c r="I130" s="32">
        <f t="shared" si="9"/>
        <v>46230</v>
      </c>
      <c r="J130" s="32">
        <f t="shared" si="10"/>
        <v>46261</v>
      </c>
      <c r="K130" s="32">
        <v>46261</v>
      </c>
      <c r="L130" s="33" t="s">
        <v>65</v>
      </c>
      <c r="M130" s="33" t="s">
        <v>5</v>
      </c>
      <c r="N130" s="32">
        <v>46230</v>
      </c>
      <c r="O130" s="32">
        <v>46241</v>
      </c>
      <c r="P130" s="33" t="s">
        <v>66</v>
      </c>
      <c r="Q130" s="33" t="s">
        <v>5</v>
      </c>
      <c r="R130" s="32">
        <v>46307</v>
      </c>
      <c r="S130" s="32">
        <v>46339</v>
      </c>
      <c r="T130" s="33" t="s">
        <v>67</v>
      </c>
      <c r="U130" s="33" t="s">
        <v>5</v>
      </c>
      <c r="V130" s="32">
        <v>46307</v>
      </c>
      <c r="W130" s="32">
        <v>46339</v>
      </c>
      <c r="X130" s="33" t="s">
        <v>68</v>
      </c>
      <c r="Y130" s="33" t="s">
        <v>5</v>
      </c>
      <c r="Z130" s="32">
        <v>46342</v>
      </c>
      <c r="AA130" s="32">
        <v>46353</v>
      </c>
      <c r="AB130" s="75">
        <f t="shared" si="11"/>
        <v>0</v>
      </c>
      <c r="AC130" s="33" t="str">
        <f>IF(G130="已完成","正常",IF(OR(G130="暂停",G130="挂起"),"暂停",IF(J130="","日期缺失",IF(J130&lt;项目驾驶舱!$B$3,"已延期",IF(J130&lt;=项目驾驶舱!$B$3+7,"临近到期","正常")))))</f>
        <v>已延期</v>
      </c>
      <c r="AD130" s="33" t="s">
        <v>69</v>
      </c>
      <c r="AE130" s="34" t="s">
        <v>69</v>
      </c>
    </row>
    <row r="131" ht="17" customHeight="1" spans="1:31">
      <c r="A131" s="31" t="s">
        <v>358</v>
      </c>
      <c r="B131" s="33" t="s">
        <v>343</v>
      </c>
      <c r="C131" s="33" t="s">
        <v>344</v>
      </c>
      <c r="D131" s="33" t="s">
        <v>359</v>
      </c>
      <c r="E131" s="33" t="s">
        <v>64</v>
      </c>
      <c r="F131" s="33" t="s">
        <v>26</v>
      </c>
      <c r="G131" s="33" t="str">
        <f t="shared" si="16"/>
        <v>未开始</v>
      </c>
      <c r="H131" s="33" t="str">
        <f t="shared" si="8"/>
        <v>郑士旺</v>
      </c>
      <c r="I131" s="32">
        <f t="shared" si="9"/>
        <v>46230</v>
      </c>
      <c r="J131" s="32">
        <f t="shared" si="10"/>
        <v>46261</v>
      </c>
      <c r="K131" s="32">
        <v>46261</v>
      </c>
      <c r="L131" s="33" t="s">
        <v>65</v>
      </c>
      <c r="M131" s="33" t="s">
        <v>5</v>
      </c>
      <c r="N131" s="32">
        <v>46230</v>
      </c>
      <c r="O131" s="32">
        <v>46241</v>
      </c>
      <c r="P131" s="33" t="s">
        <v>66</v>
      </c>
      <c r="Q131" s="33" t="s">
        <v>5</v>
      </c>
      <c r="R131" s="32">
        <v>46307</v>
      </c>
      <c r="S131" s="32">
        <v>46339</v>
      </c>
      <c r="T131" s="33" t="s">
        <v>67</v>
      </c>
      <c r="U131" s="33" t="s">
        <v>5</v>
      </c>
      <c r="V131" s="32">
        <v>46307</v>
      </c>
      <c r="W131" s="32">
        <v>46339</v>
      </c>
      <c r="X131" s="33" t="s">
        <v>68</v>
      </c>
      <c r="Y131" s="33" t="s">
        <v>5</v>
      </c>
      <c r="Z131" s="32">
        <v>46342</v>
      </c>
      <c r="AA131" s="32">
        <v>46353</v>
      </c>
      <c r="AB131" s="75">
        <f t="shared" si="11"/>
        <v>0</v>
      </c>
      <c r="AC131" s="33" t="str">
        <f>IF(G131="已完成","正常",IF(OR(G131="暂停",G131="挂起"),"暂停",IF(J131="","日期缺失",IF(J131&lt;项目驾驶舱!$B$3,"已延期",IF(J131&lt;=项目驾驶舱!$B$3+7,"临近到期","正常")))))</f>
        <v>已延期</v>
      </c>
      <c r="AD131" s="33" t="s">
        <v>69</v>
      </c>
      <c r="AE131" s="34" t="s">
        <v>69</v>
      </c>
    </row>
    <row r="132" ht="17" customHeight="1" spans="1:31">
      <c r="A132" s="35" t="s">
        <v>360</v>
      </c>
      <c r="B132" s="37" t="s">
        <v>343</v>
      </c>
      <c r="C132" s="37" t="s">
        <v>344</v>
      </c>
      <c r="D132" s="37" t="s">
        <v>361</v>
      </c>
      <c r="E132" s="37" t="s">
        <v>64</v>
      </c>
      <c r="F132" s="37" t="s">
        <v>26</v>
      </c>
      <c r="G132" s="37" t="str">
        <f t="shared" si="16"/>
        <v>未开始</v>
      </c>
      <c r="H132" s="37" t="str">
        <f t="shared" ref="H132:H148" si="17">IF(L132&lt;&gt;"",L132,IF(P132&lt;&gt;"",P132,IF(T132&lt;&gt;"",T132,X132)))</f>
        <v>郑士旺</v>
      </c>
      <c r="I132" s="36">
        <f t="shared" ref="I132:I148" si="18">IF(COUNT(N132,R132,V132,Z132)=0,"",MIN(N132,R132,V132,Z132))</f>
        <v>46230</v>
      </c>
      <c r="J132" s="36">
        <f t="shared" ref="J132:J148" si="19">IF(ISNUMBER(K132),K132,IF(COUNT(O132,S132,W132,AA132)=0,"",MAX(O132,S132,W132,AA132)))</f>
        <v>46353</v>
      </c>
      <c r="K132" s="36"/>
      <c r="L132" s="37" t="s">
        <v>65</v>
      </c>
      <c r="M132" s="37" t="s">
        <v>5</v>
      </c>
      <c r="N132" s="36">
        <v>46230</v>
      </c>
      <c r="O132" s="36">
        <v>46241</v>
      </c>
      <c r="P132" s="37" t="s">
        <v>66</v>
      </c>
      <c r="Q132" s="37" t="s">
        <v>5</v>
      </c>
      <c r="R132" s="36">
        <v>46307</v>
      </c>
      <c r="S132" s="36">
        <v>46339</v>
      </c>
      <c r="T132" s="37" t="s">
        <v>67</v>
      </c>
      <c r="U132" s="37" t="s">
        <v>5</v>
      </c>
      <c r="V132" s="36">
        <v>46307</v>
      </c>
      <c r="W132" s="36">
        <v>46339</v>
      </c>
      <c r="X132" s="37" t="s">
        <v>68</v>
      </c>
      <c r="Y132" s="37" t="s">
        <v>5</v>
      </c>
      <c r="Z132" s="36">
        <v>46342</v>
      </c>
      <c r="AA132" s="36">
        <v>46353</v>
      </c>
      <c r="AB132" s="76">
        <f t="shared" ref="AB132:AB148" si="20">(IF(M132="已完成",1,IF(M132="进行中",0.5,0))*15%+IF(Q132="已完成",1,IF(Q132="进行中",0.5,0))*35%+IF(U132="已完成",1,IF(U132="进行中",0.5,0))*30%+IF(Y132="已完成",1,IF(Y132="进行中",0.5,0))*20%)</f>
        <v>0</v>
      </c>
      <c r="AC132" s="37" t="str">
        <f>IF(G132="已完成","正常",IF(OR(G132="暂停",G132="挂起"),"暂停",IF(J132="","日期缺失",IF(J132&lt;项目驾驶舱!$B$3,"已延期",IF(J132&lt;=项目驾驶舱!$B$3+7,"临近到期","正常")))))</f>
        <v>正常</v>
      </c>
      <c r="AD132" s="37" t="s">
        <v>69</v>
      </c>
      <c r="AE132" s="38" t="s">
        <v>69</v>
      </c>
    </row>
    <row r="133" ht="17" customHeight="1" spans="1:31">
      <c r="A133" s="35" t="s">
        <v>362</v>
      </c>
      <c r="B133" s="37" t="s">
        <v>343</v>
      </c>
      <c r="C133" s="37" t="s">
        <v>344</v>
      </c>
      <c r="D133" s="37" t="s">
        <v>363</v>
      </c>
      <c r="E133" s="37" t="s">
        <v>64</v>
      </c>
      <c r="F133" s="37" t="s">
        <v>26</v>
      </c>
      <c r="G133" s="37" t="str">
        <f t="shared" si="16"/>
        <v>未开始</v>
      </c>
      <c r="H133" s="37" t="str">
        <f t="shared" si="17"/>
        <v>郑士旺</v>
      </c>
      <c r="I133" s="36">
        <f t="shared" si="18"/>
        <v>46230</v>
      </c>
      <c r="J133" s="36">
        <f t="shared" si="19"/>
        <v>46353</v>
      </c>
      <c r="K133" s="36"/>
      <c r="L133" s="37" t="s">
        <v>65</v>
      </c>
      <c r="M133" s="37" t="s">
        <v>5</v>
      </c>
      <c r="N133" s="36">
        <v>46230</v>
      </c>
      <c r="O133" s="36">
        <v>46241</v>
      </c>
      <c r="P133" s="37" t="s">
        <v>66</v>
      </c>
      <c r="Q133" s="37" t="s">
        <v>5</v>
      </c>
      <c r="R133" s="36">
        <v>46307</v>
      </c>
      <c r="S133" s="36">
        <v>46339</v>
      </c>
      <c r="T133" s="37" t="s">
        <v>67</v>
      </c>
      <c r="U133" s="37" t="s">
        <v>5</v>
      </c>
      <c r="V133" s="36">
        <v>46307</v>
      </c>
      <c r="W133" s="36">
        <v>46339</v>
      </c>
      <c r="X133" s="37" t="s">
        <v>68</v>
      </c>
      <c r="Y133" s="37" t="s">
        <v>5</v>
      </c>
      <c r="Z133" s="36">
        <v>46342</v>
      </c>
      <c r="AA133" s="36">
        <v>46353</v>
      </c>
      <c r="AB133" s="76">
        <f t="shared" si="20"/>
        <v>0</v>
      </c>
      <c r="AC133" s="37" t="str">
        <f>IF(G133="已完成","正常",IF(OR(G133="暂停",G133="挂起"),"暂停",IF(J133="","日期缺失",IF(J133&lt;项目驾驶舱!$B$3,"已延期",IF(J133&lt;=项目驾驶舱!$B$3+7,"临近到期","正常")))))</f>
        <v>正常</v>
      </c>
      <c r="AD133" s="37" t="s">
        <v>69</v>
      </c>
      <c r="AE133" s="38" t="s">
        <v>69</v>
      </c>
    </row>
    <row r="134" ht="17" customHeight="1" spans="1:31">
      <c r="A134" s="35" t="s">
        <v>364</v>
      </c>
      <c r="B134" s="37" t="s">
        <v>343</v>
      </c>
      <c r="C134" s="37" t="s">
        <v>344</v>
      </c>
      <c r="D134" s="37" t="s">
        <v>365</v>
      </c>
      <c r="E134" s="37" t="s">
        <v>64</v>
      </c>
      <c r="F134" s="37" t="s">
        <v>26</v>
      </c>
      <c r="G134" s="37" t="str">
        <f t="shared" si="16"/>
        <v>未开始</v>
      </c>
      <c r="H134" s="37" t="str">
        <f t="shared" si="17"/>
        <v>郑士旺</v>
      </c>
      <c r="I134" s="36">
        <f t="shared" si="18"/>
        <v>46230</v>
      </c>
      <c r="J134" s="36">
        <f t="shared" si="19"/>
        <v>46353</v>
      </c>
      <c r="K134" s="36"/>
      <c r="L134" s="37" t="s">
        <v>65</v>
      </c>
      <c r="M134" s="37" t="s">
        <v>5</v>
      </c>
      <c r="N134" s="36">
        <v>46230</v>
      </c>
      <c r="O134" s="36">
        <v>46241</v>
      </c>
      <c r="P134" s="37" t="s">
        <v>66</v>
      </c>
      <c r="Q134" s="37" t="s">
        <v>5</v>
      </c>
      <c r="R134" s="36">
        <v>46307</v>
      </c>
      <c r="S134" s="36">
        <v>46339</v>
      </c>
      <c r="T134" s="37" t="s">
        <v>67</v>
      </c>
      <c r="U134" s="37" t="s">
        <v>5</v>
      </c>
      <c r="V134" s="36">
        <v>46307</v>
      </c>
      <c r="W134" s="36">
        <v>46339</v>
      </c>
      <c r="X134" s="37" t="s">
        <v>68</v>
      </c>
      <c r="Y134" s="37" t="s">
        <v>5</v>
      </c>
      <c r="Z134" s="36">
        <v>46342</v>
      </c>
      <c r="AA134" s="36">
        <v>46353</v>
      </c>
      <c r="AB134" s="76">
        <f t="shared" si="20"/>
        <v>0</v>
      </c>
      <c r="AC134" s="37" t="str">
        <f>IF(G134="已完成","正常",IF(OR(G134="暂停",G134="挂起"),"暂停",IF(J134="","日期缺失",IF(J134&lt;项目驾驶舱!$B$3,"已延期",IF(J134&lt;=项目驾驶舱!$B$3+7,"临近到期","正常")))))</f>
        <v>正常</v>
      </c>
      <c r="AD134" s="37" t="s">
        <v>69</v>
      </c>
      <c r="AE134" s="38" t="s">
        <v>69</v>
      </c>
    </row>
    <row r="135" ht="17" customHeight="1" spans="1:31">
      <c r="A135" s="35" t="s">
        <v>366</v>
      </c>
      <c r="B135" s="37" t="s">
        <v>343</v>
      </c>
      <c r="C135" s="37" t="s">
        <v>344</v>
      </c>
      <c r="D135" s="37" t="s">
        <v>148</v>
      </c>
      <c r="E135" s="37" t="s">
        <v>64</v>
      </c>
      <c r="F135" s="37" t="s">
        <v>26</v>
      </c>
      <c r="G135" s="37" t="str">
        <f t="shared" si="16"/>
        <v>未开始</v>
      </c>
      <c r="H135" s="37" t="str">
        <f t="shared" si="17"/>
        <v>郑士旺</v>
      </c>
      <c r="I135" s="36">
        <f t="shared" si="18"/>
        <v>46230</v>
      </c>
      <c r="J135" s="36">
        <f t="shared" si="19"/>
        <v>46353</v>
      </c>
      <c r="K135" s="36"/>
      <c r="L135" s="37" t="s">
        <v>65</v>
      </c>
      <c r="M135" s="37" t="s">
        <v>5</v>
      </c>
      <c r="N135" s="36">
        <v>46230</v>
      </c>
      <c r="O135" s="36">
        <v>46241</v>
      </c>
      <c r="P135" s="37" t="s">
        <v>66</v>
      </c>
      <c r="Q135" s="37" t="s">
        <v>5</v>
      </c>
      <c r="R135" s="36">
        <v>46307</v>
      </c>
      <c r="S135" s="36">
        <v>46339</v>
      </c>
      <c r="T135" s="37" t="s">
        <v>67</v>
      </c>
      <c r="U135" s="37" t="s">
        <v>5</v>
      </c>
      <c r="V135" s="36">
        <v>46307</v>
      </c>
      <c r="W135" s="36">
        <v>46339</v>
      </c>
      <c r="X135" s="37" t="s">
        <v>68</v>
      </c>
      <c r="Y135" s="37" t="s">
        <v>5</v>
      </c>
      <c r="Z135" s="36">
        <v>46342</v>
      </c>
      <c r="AA135" s="36">
        <v>46353</v>
      </c>
      <c r="AB135" s="76">
        <f t="shared" si="20"/>
        <v>0</v>
      </c>
      <c r="AC135" s="37" t="str">
        <f>IF(G135="已完成","正常",IF(OR(G135="暂停",G135="挂起"),"暂停",IF(J135="","日期缺失",IF(J135&lt;项目驾驶舱!$B$3,"已延期",IF(J135&lt;=项目驾驶舱!$B$3+7,"临近到期","正常")))))</f>
        <v>正常</v>
      </c>
      <c r="AD135" s="37" t="s">
        <v>69</v>
      </c>
      <c r="AE135" s="38" t="s">
        <v>69</v>
      </c>
    </row>
    <row r="136" ht="17" customHeight="1" spans="1:31">
      <c r="A136" s="35" t="s">
        <v>367</v>
      </c>
      <c r="B136" s="37" t="s">
        <v>343</v>
      </c>
      <c r="C136" s="37" t="s">
        <v>344</v>
      </c>
      <c r="D136" s="37" t="s">
        <v>152</v>
      </c>
      <c r="E136" s="37" t="s">
        <v>64</v>
      </c>
      <c r="F136" s="37" t="s">
        <v>26</v>
      </c>
      <c r="G136" s="37" t="str">
        <f t="shared" si="16"/>
        <v>未开始</v>
      </c>
      <c r="H136" s="37" t="str">
        <f t="shared" si="17"/>
        <v>郑士旺</v>
      </c>
      <c r="I136" s="36">
        <f t="shared" si="18"/>
        <v>46230</v>
      </c>
      <c r="J136" s="36">
        <f t="shared" si="19"/>
        <v>46353</v>
      </c>
      <c r="K136" s="36"/>
      <c r="L136" s="37" t="s">
        <v>65</v>
      </c>
      <c r="M136" s="37" t="s">
        <v>5</v>
      </c>
      <c r="N136" s="36">
        <v>46230</v>
      </c>
      <c r="O136" s="36">
        <v>46241</v>
      </c>
      <c r="P136" s="37" t="s">
        <v>66</v>
      </c>
      <c r="Q136" s="37" t="s">
        <v>5</v>
      </c>
      <c r="R136" s="36">
        <v>46307</v>
      </c>
      <c r="S136" s="36">
        <v>46339</v>
      </c>
      <c r="T136" s="37" t="s">
        <v>67</v>
      </c>
      <c r="U136" s="37" t="s">
        <v>5</v>
      </c>
      <c r="V136" s="36">
        <v>46307</v>
      </c>
      <c r="W136" s="36">
        <v>46339</v>
      </c>
      <c r="X136" s="37" t="s">
        <v>68</v>
      </c>
      <c r="Y136" s="37" t="s">
        <v>5</v>
      </c>
      <c r="Z136" s="36">
        <v>46342</v>
      </c>
      <c r="AA136" s="36">
        <v>46353</v>
      </c>
      <c r="AB136" s="76">
        <f t="shared" si="20"/>
        <v>0</v>
      </c>
      <c r="AC136" s="37" t="str">
        <f>IF(G136="已完成","正常",IF(OR(G136="暂停",G136="挂起"),"暂停",IF(J136="","日期缺失",IF(J136&lt;项目驾驶舱!$B$3,"已延期",IF(J136&lt;=项目驾驶舱!$B$3+7,"临近到期","正常")))))</f>
        <v>正常</v>
      </c>
      <c r="AD136" s="37" t="s">
        <v>69</v>
      </c>
      <c r="AE136" s="38" t="s">
        <v>69</v>
      </c>
    </row>
    <row r="137" ht="17" customHeight="1" spans="1:31">
      <c r="A137" s="35" t="s">
        <v>368</v>
      </c>
      <c r="B137" s="37" t="s">
        <v>343</v>
      </c>
      <c r="C137" s="37" t="s">
        <v>344</v>
      </c>
      <c r="D137" s="37" t="s">
        <v>369</v>
      </c>
      <c r="E137" s="37" t="s">
        <v>64</v>
      </c>
      <c r="F137" s="37" t="s">
        <v>26</v>
      </c>
      <c r="G137" s="37" t="str">
        <f t="shared" si="16"/>
        <v>未开始</v>
      </c>
      <c r="H137" s="37" t="str">
        <f t="shared" si="17"/>
        <v>郑士旺</v>
      </c>
      <c r="I137" s="36">
        <f t="shared" si="18"/>
        <v>46230</v>
      </c>
      <c r="J137" s="36">
        <f t="shared" si="19"/>
        <v>46353</v>
      </c>
      <c r="K137" s="36"/>
      <c r="L137" s="37" t="s">
        <v>65</v>
      </c>
      <c r="M137" s="37" t="s">
        <v>5</v>
      </c>
      <c r="N137" s="36">
        <v>46230</v>
      </c>
      <c r="O137" s="36">
        <v>46241</v>
      </c>
      <c r="P137" s="37" t="s">
        <v>228</v>
      </c>
      <c r="Q137" s="37" t="s">
        <v>5</v>
      </c>
      <c r="R137" s="36">
        <v>46307</v>
      </c>
      <c r="S137" s="36">
        <v>46339</v>
      </c>
      <c r="T137" s="37" t="s">
        <v>228</v>
      </c>
      <c r="U137" s="37" t="s">
        <v>5</v>
      </c>
      <c r="V137" s="36">
        <v>46307</v>
      </c>
      <c r="W137" s="36">
        <v>46339</v>
      </c>
      <c r="X137" s="37" t="s">
        <v>68</v>
      </c>
      <c r="Y137" s="37" t="s">
        <v>5</v>
      </c>
      <c r="Z137" s="36">
        <v>46342</v>
      </c>
      <c r="AA137" s="36">
        <v>46353</v>
      </c>
      <c r="AB137" s="76">
        <f t="shared" si="20"/>
        <v>0</v>
      </c>
      <c r="AC137" s="37" t="str">
        <f>IF(G137="已完成","正常",IF(OR(G137="暂停",G137="挂起"),"暂停",IF(J137="","日期缺失",IF(J137&lt;项目驾驶舱!$B$3,"已延期",IF(J137&lt;=项目驾驶舱!$B$3+7,"临近到期","正常")))))</f>
        <v>正常</v>
      </c>
      <c r="AD137" s="37" t="s">
        <v>69</v>
      </c>
      <c r="AE137" s="38" t="s">
        <v>69</v>
      </c>
    </row>
    <row r="138" ht="17" customHeight="1" spans="1:31">
      <c r="A138" s="35" t="s">
        <v>370</v>
      </c>
      <c r="B138" s="37" t="s">
        <v>343</v>
      </c>
      <c r="C138" s="37" t="s">
        <v>344</v>
      </c>
      <c r="D138" s="37" t="s">
        <v>124</v>
      </c>
      <c r="E138" s="37" t="s">
        <v>64</v>
      </c>
      <c r="F138" s="37" t="s">
        <v>26</v>
      </c>
      <c r="G138" s="37" t="str">
        <f t="shared" si="16"/>
        <v>未开始</v>
      </c>
      <c r="H138" s="37" t="str">
        <f t="shared" si="17"/>
        <v>郑士旺</v>
      </c>
      <c r="I138" s="36">
        <f t="shared" si="18"/>
        <v>46230</v>
      </c>
      <c r="J138" s="36">
        <f t="shared" si="19"/>
        <v>46353</v>
      </c>
      <c r="K138" s="36"/>
      <c r="L138" s="37" t="s">
        <v>65</v>
      </c>
      <c r="M138" s="37" t="s">
        <v>5</v>
      </c>
      <c r="N138" s="36">
        <v>46230</v>
      </c>
      <c r="O138" s="36">
        <v>46241</v>
      </c>
      <c r="P138" s="37" t="s">
        <v>228</v>
      </c>
      <c r="Q138" s="37" t="s">
        <v>5</v>
      </c>
      <c r="R138" s="36">
        <v>46307</v>
      </c>
      <c r="S138" s="36">
        <v>46339</v>
      </c>
      <c r="T138" s="37" t="s">
        <v>228</v>
      </c>
      <c r="U138" s="37" t="s">
        <v>5</v>
      </c>
      <c r="V138" s="36">
        <v>46307</v>
      </c>
      <c r="W138" s="36">
        <v>46339</v>
      </c>
      <c r="X138" s="37" t="s">
        <v>68</v>
      </c>
      <c r="Y138" s="37" t="s">
        <v>5</v>
      </c>
      <c r="Z138" s="36">
        <v>46342</v>
      </c>
      <c r="AA138" s="36">
        <v>46353</v>
      </c>
      <c r="AB138" s="76">
        <f t="shared" si="20"/>
        <v>0</v>
      </c>
      <c r="AC138" s="37" t="str">
        <f>IF(G138="已完成","正常",IF(OR(G138="暂停",G138="挂起"),"暂停",IF(J138="","日期缺失",IF(J138&lt;项目驾驶舱!$B$3,"已延期",IF(J138&lt;=项目驾驶舱!$B$3+7,"临近到期","正常")))))</f>
        <v>正常</v>
      </c>
      <c r="AD138" s="37" t="s">
        <v>69</v>
      </c>
      <c r="AE138" s="38" t="s">
        <v>69</v>
      </c>
    </row>
    <row r="139" ht="17" customHeight="1" spans="1:31">
      <c r="A139" s="35" t="s">
        <v>371</v>
      </c>
      <c r="B139" s="37" t="s">
        <v>343</v>
      </c>
      <c r="C139" s="37" t="s">
        <v>344</v>
      </c>
      <c r="D139" s="37" t="s">
        <v>129</v>
      </c>
      <c r="E139" s="37" t="s">
        <v>64</v>
      </c>
      <c r="F139" s="37" t="s">
        <v>26</v>
      </c>
      <c r="G139" s="37" t="str">
        <f t="shared" si="16"/>
        <v>未开始</v>
      </c>
      <c r="H139" s="37" t="str">
        <f t="shared" si="17"/>
        <v>郑士旺</v>
      </c>
      <c r="I139" s="36">
        <f t="shared" si="18"/>
        <v>46230</v>
      </c>
      <c r="J139" s="36">
        <f t="shared" si="19"/>
        <v>46353</v>
      </c>
      <c r="K139" s="36"/>
      <c r="L139" s="37" t="s">
        <v>65</v>
      </c>
      <c r="M139" s="37" t="s">
        <v>5</v>
      </c>
      <c r="N139" s="36">
        <v>46230</v>
      </c>
      <c r="O139" s="36">
        <v>46241</v>
      </c>
      <c r="P139" s="37" t="s">
        <v>66</v>
      </c>
      <c r="Q139" s="37" t="s">
        <v>5</v>
      </c>
      <c r="R139" s="36">
        <v>46307</v>
      </c>
      <c r="S139" s="36">
        <v>46339</v>
      </c>
      <c r="T139" s="37" t="s">
        <v>67</v>
      </c>
      <c r="U139" s="37" t="s">
        <v>5</v>
      </c>
      <c r="V139" s="36">
        <v>46307</v>
      </c>
      <c r="W139" s="36">
        <v>46339</v>
      </c>
      <c r="X139" s="37" t="s">
        <v>68</v>
      </c>
      <c r="Y139" s="37" t="s">
        <v>5</v>
      </c>
      <c r="Z139" s="36">
        <v>46342</v>
      </c>
      <c r="AA139" s="36">
        <v>46353</v>
      </c>
      <c r="AB139" s="76">
        <f t="shared" si="20"/>
        <v>0</v>
      </c>
      <c r="AC139" s="37" t="str">
        <f>IF(G139="已完成","正常",IF(OR(G139="暂停",G139="挂起"),"暂停",IF(J139="","日期缺失",IF(J139&lt;项目驾驶舱!$B$3,"已延期",IF(J139&lt;=项目驾驶舱!$B$3+7,"临近到期","正常")))))</f>
        <v>正常</v>
      </c>
      <c r="AD139" s="37" t="s">
        <v>69</v>
      </c>
      <c r="AE139" s="38" t="s">
        <v>69</v>
      </c>
    </row>
    <row r="140" ht="17" customHeight="1" spans="1:31">
      <c r="A140" s="35" t="s">
        <v>372</v>
      </c>
      <c r="B140" s="37" t="s">
        <v>343</v>
      </c>
      <c r="C140" s="37" t="s">
        <v>344</v>
      </c>
      <c r="D140" s="37" t="s">
        <v>373</v>
      </c>
      <c r="E140" s="37" t="s">
        <v>64</v>
      </c>
      <c r="F140" s="37" t="s">
        <v>26</v>
      </c>
      <c r="G140" s="37" t="str">
        <f t="shared" si="16"/>
        <v>未开始</v>
      </c>
      <c r="H140" s="37" t="str">
        <f t="shared" si="17"/>
        <v>郑士旺</v>
      </c>
      <c r="I140" s="36">
        <f t="shared" si="18"/>
        <v>46230</v>
      </c>
      <c r="J140" s="36">
        <f t="shared" si="19"/>
        <v>46353</v>
      </c>
      <c r="K140" s="36"/>
      <c r="L140" s="37" t="s">
        <v>65</v>
      </c>
      <c r="M140" s="37" t="s">
        <v>5</v>
      </c>
      <c r="N140" s="36">
        <v>46230</v>
      </c>
      <c r="O140" s="36">
        <v>46241</v>
      </c>
      <c r="P140" s="37" t="s">
        <v>66</v>
      </c>
      <c r="Q140" s="37" t="s">
        <v>5</v>
      </c>
      <c r="R140" s="36">
        <v>46307</v>
      </c>
      <c r="S140" s="36">
        <v>46339</v>
      </c>
      <c r="T140" s="37" t="s">
        <v>67</v>
      </c>
      <c r="U140" s="37" t="s">
        <v>5</v>
      </c>
      <c r="V140" s="36">
        <v>46307</v>
      </c>
      <c r="W140" s="36">
        <v>46339</v>
      </c>
      <c r="X140" s="37" t="s">
        <v>68</v>
      </c>
      <c r="Y140" s="37" t="s">
        <v>5</v>
      </c>
      <c r="Z140" s="36">
        <v>46342</v>
      </c>
      <c r="AA140" s="36">
        <v>46353</v>
      </c>
      <c r="AB140" s="76">
        <f t="shared" si="20"/>
        <v>0</v>
      </c>
      <c r="AC140" s="37" t="str">
        <f>IF(G140="已完成","正常",IF(OR(G140="暂停",G140="挂起"),"暂停",IF(J140="","日期缺失",IF(J140&lt;项目驾驶舱!$B$3,"已延期",IF(J140&lt;=项目驾驶舱!$B$3+7,"临近到期","正常")))))</f>
        <v>正常</v>
      </c>
      <c r="AD140" s="37" t="s">
        <v>69</v>
      </c>
      <c r="AE140" s="38" t="s">
        <v>69</v>
      </c>
    </row>
    <row r="141" ht="17" customHeight="1" spans="1:31">
      <c r="A141" s="35" t="s">
        <v>374</v>
      </c>
      <c r="B141" s="37" t="s">
        <v>343</v>
      </c>
      <c r="C141" s="37" t="s">
        <v>344</v>
      </c>
      <c r="D141" s="37" t="s">
        <v>157</v>
      </c>
      <c r="E141" s="37" t="s">
        <v>64</v>
      </c>
      <c r="F141" s="37" t="s">
        <v>26</v>
      </c>
      <c r="G141" s="37" t="str">
        <f>IF(OR(M141="挂起",M141="暂停",Q141="挂起",Q141="暂停",U141="挂起",U141="暂停",Y141="挂起",Y141="暂停"),"暂停","已完成")</f>
        <v>已完成</v>
      </c>
      <c r="H141" s="37" t="str">
        <f t="shared" si="17"/>
        <v>郑士旺</v>
      </c>
      <c r="I141" s="36">
        <f t="shared" si="18"/>
        <v>46209</v>
      </c>
      <c r="J141" s="36">
        <f t="shared" si="19"/>
        <v>46261</v>
      </c>
      <c r="K141" s="36">
        <v>46261</v>
      </c>
      <c r="L141" s="37" t="s">
        <v>65</v>
      </c>
      <c r="M141" s="37" t="s">
        <v>3</v>
      </c>
      <c r="N141" s="36">
        <v>46209</v>
      </c>
      <c r="O141" s="36">
        <v>46213</v>
      </c>
      <c r="P141" s="37" t="s">
        <v>66</v>
      </c>
      <c r="Q141" s="37" t="s">
        <v>3</v>
      </c>
      <c r="R141" s="36">
        <v>46230</v>
      </c>
      <c r="S141" s="36">
        <v>46262</v>
      </c>
      <c r="T141" s="37" t="s">
        <v>67</v>
      </c>
      <c r="U141" s="37" t="s">
        <v>3</v>
      </c>
      <c r="V141" s="36">
        <v>46230</v>
      </c>
      <c r="W141" s="36">
        <v>46262</v>
      </c>
      <c r="X141" s="37" t="s">
        <v>68</v>
      </c>
      <c r="Y141" s="37" t="s">
        <v>3</v>
      </c>
      <c r="Z141" s="36">
        <v>46342</v>
      </c>
      <c r="AA141" s="36">
        <v>46353</v>
      </c>
      <c r="AB141" s="76">
        <f t="shared" si="20"/>
        <v>1</v>
      </c>
      <c r="AC141" s="37" t="str">
        <f>IF(G141="已完成","正常",IF(OR(G141="暂停",G141="挂起"),"暂停",IF(J141="","日期缺失",IF(J141&lt;项目驾驶舱!$B$3,"已延期",IF(J141&lt;=项目驾驶舱!$B$3+7,"临近到期","正常")))))</f>
        <v>正常</v>
      </c>
      <c r="AD141" s="37" t="s">
        <v>69</v>
      </c>
      <c r="AE141" s="38" t="s">
        <v>69</v>
      </c>
    </row>
    <row r="142" ht="17" customHeight="1" spans="1:31">
      <c r="A142" s="35" t="s">
        <v>375</v>
      </c>
      <c r="B142" s="37" t="s">
        <v>343</v>
      </c>
      <c r="C142" s="37" t="s">
        <v>344</v>
      </c>
      <c r="D142" s="37" t="s">
        <v>164</v>
      </c>
      <c r="E142" s="37" t="s">
        <v>64</v>
      </c>
      <c r="F142" s="37" t="s">
        <v>26</v>
      </c>
      <c r="G142" s="37" t="str">
        <f>IF(OR(M142="挂起",M142="暂停",Q142="挂起",Q142="暂停",U142="挂起",U142="暂停",Y142="挂起",Y142="暂停"),"暂停","已完成")</f>
        <v>已完成</v>
      </c>
      <c r="H142" s="37" t="str">
        <f t="shared" si="17"/>
        <v>郑士旺</v>
      </c>
      <c r="I142" s="36">
        <f t="shared" si="18"/>
        <v>46209</v>
      </c>
      <c r="J142" s="36">
        <f t="shared" si="19"/>
        <v>46261</v>
      </c>
      <c r="K142" s="36">
        <v>46261</v>
      </c>
      <c r="L142" s="37" t="s">
        <v>65</v>
      </c>
      <c r="M142" s="37" t="s">
        <v>3</v>
      </c>
      <c r="N142" s="36">
        <v>46209</v>
      </c>
      <c r="O142" s="36">
        <v>46213</v>
      </c>
      <c r="P142" s="37" t="s">
        <v>66</v>
      </c>
      <c r="Q142" s="37" t="s">
        <v>3</v>
      </c>
      <c r="R142" s="36">
        <v>46230</v>
      </c>
      <c r="S142" s="36">
        <v>46262</v>
      </c>
      <c r="T142" s="37" t="s">
        <v>67</v>
      </c>
      <c r="U142" s="37" t="s">
        <v>3</v>
      </c>
      <c r="V142" s="36">
        <v>46230</v>
      </c>
      <c r="W142" s="36">
        <v>46262</v>
      </c>
      <c r="X142" s="37" t="s">
        <v>68</v>
      </c>
      <c r="Y142" s="37" t="s">
        <v>3</v>
      </c>
      <c r="Z142" s="36">
        <v>46342</v>
      </c>
      <c r="AA142" s="36">
        <v>46353</v>
      </c>
      <c r="AB142" s="76">
        <f t="shared" si="20"/>
        <v>1</v>
      </c>
      <c r="AC142" s="37" t="str">
        <f>IF(G142="已完成","正常",IF(OR(G142="暂停",G142="挂起"),"暂停",IF(J142="","日期缺失",IF(J142&lt;项目驾驶舱!$B$3,"已延期",IF(J142&lt;=项目驾驶舱!$B$3+7,"临近到期","正常")))))</f>
        <v>正常</v>
      </c>
      <c r="AD142" s="37" t="s">
        <v>69</v>
      </c>
      <c r="AE142" s="38" t="s">
        <v>69</v>
      </c>
    </row>
    <row r="143" ht="17" customHeight="1" spans="1:31">
      <c r="A143" s="35" t="s">
        <v>376</v>
      </c>
      <c r="B143" s="37" t="s">
        <v>343</v>
      </c>
      <c r="C143" s="37" t="s">
        <v>344</v>
      </c>
      <c r="D143" s="37" t="s">
        <v>171</v>
      </c>
      <c r="E143" s="37" t="s">
        <v>64</v>
      </c>
      <c r="F143" s="37" t="s">
        <v>26</v>
      </c>
      <c r="G143" s="37" t="str">
        <f>IF(OR(M143="挂起",M143="暂停",Q143="挂起",Q143="暂停",U143="挂起",U143="暂停",Y143="挂起",Y143="暂停"),"暂停","已完成")</f>
        <v>已完成</v>
      </c>
      <c r="H143" s="37" t="str">
        <f t="shared" si="17"/>
        <v>郑士旺</v>
      </c>
      <c r="I143" s="36">
        <f t="shared" si="18"/>
        <v>46209</v>
      </c>
      <c r="J143" s="36">
        <f t="shared" si="19"/>
        <v>46353</v>
      </c>
      <c r="K143" s="36"/>
      <c r="L143" s="37" t="s">
        <v>65</v>
      </c>
      <c r="M143" s="37" t="s">
        <v>3</v>
      </c>
      <c r="N143" s="36">
        <v>46209</v>
      </c>
      <c r="O143" s="36">
        <v>46213</v>
      </c>
      <c r="P143" s="37" t="s">
        <v>66</v>
      </c>
      <c r="Q143" s="37" t="s">
        <v>3</v>
      </c>
      <c r="R143" s="36">
        <v>46230</v>
      </c>
      <c r="S143" s="36">
        <v>46262</v>
      </c>
      <c r="T143" s="37" t="s">
        <v>67</v>
      </c>
      <c r="U143" s="37" t="s">
        <v>3</v>
      </c>
      <c r="V143" s="36">
        <v>46230</v>
      </c>
      <c r="W143" s="36">
        <v>46262</v>
      </c>
      <c r="X143" s="37" t="s">
        <v>68</v>
      </c>
      <c r="Y143" s="37" t="s">
        <v>3</v>
      </c>
      <c r="Z143" s="36">
        <v>46342</v>
      </c>
      <c r="AA143" s="36">
        <v>46353</v>
      </c>
      <c r="AB143" s="76">
        <f t="shared" si="20"/>
        <v>1</v>
      </c>
      <c r="AC143" s="37" t="str">
        <f>IF(G143="已完成","正常",IF(OR(G143="暂停",G143="挂起"),"暂停",IF(J143="","日期缺失",IF(J143&lt;项目驾驶舱!$B$3,"已延期",IF(J143&lt;=项目驾驶舱!$B$3+7,"临近到期","正常")))))</f>
        <v>正常</v>
      </c>
      <c r="AD143" s="37" t="s">
        <v>69</v>
      </c>
      <c r="AE143" s="38" t="s">
        <v>69</v>
      </c>
    </row>
    <row r="144" ht="17" customHeight="1" spans="1:31">
      <c r="A144" s="35" t="s">
        <v>377</v>
      </c>
      <c r="B144" s="37" t="s">
        <v>343</v>
      </c>
      <c r="C144" s="37" t="s">
        <v>344</v>
      </c>
      <c r="D144" s="37" t="s">
        <v>378</v>
      </c>
      <c r="E144" s="37" t="s">
        <v>64</v>
      </c>
      <c r="F144" s="37" t="s">
        <v>26</v>
      </c>
      <c r="G144" s="37" t="str">
        <f>IF(OR(M144="挂起",M144="暂停",Q144="挂起",Q144="暂停",U144="挂起",U144="暂停",Y144="挂起",Y144="暂停"),"暂停","未开始")</f>
        <v>未开始</v>
      </c>
      <c r="H144" s="37" t="str">
        <f t="shared" si="17"/>
        <v>郑士旺</v>
      </c>
      <c r="I144" s="36">
        <f t="shared" si="18"/>
        <v>46223</v>
      </c>
      <c r="J144" s="36">
        <f t="shared" si="19"/>
        <v>46318</v>
      </c>
      <c r="K144" s="36"/>
      <c r="L144" s="37" t="s">
        <v>65</v>
      </c>
      <c r="M144" s="37" t="s">
        <v>5</v>
      </c>
      <c r="N144" s="36">
        <v>46223</v>
      </c>
      <c r="O144" s="36">
        <v>46227</v>
      </c>
      <c r="P144" s="37" t="s">
        <v>66</v>
      </c>
      <c r="Q144" s="37" t="s">
        <v>5</v>
      </c>
      <c r="R144" s="36">
        <v>46272</v>
      </c>
      <c r="S144" s="36">
        <v>46304</v>
      </c>
      <c r="T144" s="37" t="s">
        <v>67</v>
      </c>
      <c r="U144" s="37" t="s">
        <v>5</v>
      </c>
      <c r="V144" s="36">
        <v>46272</v>
      </c>
      <c r="W144" s="36">
        <v>46304</v>
      </c>
      <c r="X144" s="37" t="s">
        <v>68</v>
      </c>
      <c r="Y144" s="37" t="s">
        <v>5</v>
      </c>
      <c r="Z144" s="36">
        <v>46307</v>
      </c>
      <c r="AA144" s="36">
        <v>46318</v>
      </c>
      <c r="AB144" s="76">
        <f t="shared" si="20"/>
        <v>0</v>
      </c>
      <c r="AC144" s="37" t="str">
        <f>IF(G144="已完成","正常",IF(OR(G144="暂停",G144="挂起"),"暂停",IF(J144="","日期缺失",IF(J144&lt;项目驾驶舱!$B$3,"已延期",IF(J144&lt;=项目驾驶舱!$B$3+7,"临近到期","正常")))))</f>
        <v>正常</v>
      </c>
      <c r="AD144" s="37" t="s">
        <v>69</v>
      </c>
      <c r="AE144" s="38" t="s">
        <v>69</v>
      </c>
    </row>
    <row r="145" ht="17" customHeight="1" spans="1:31">
      <c r="A145" s="35" t="s">
        <v>379</v>
      </c>
      <c r="B145" s="37" t="s">
        <v>343</v>
      </c>
      <c r="C145" s="37" t="s">
        <v>380</v>
      </c>
      <c r="D145" s="37" t="s">
        <v>150</v>
      </c>
      <c r="E145" s="37" t="s">
        <v>64</v>
      </c>
      <c r="F145" s="37" t="s">
        <v>26</v>
      </c>
      <c r="G145" s="37" t="str">
        <f>IF(OR(M145="挂起",M145="暂停",Q145="挂起",Q145="暂停",U145="挂起",U145="暂停",Y145="挂起",Y145="暂停"),"暂停","未开始")</f>
        <v>未开始</v>
      </c>
      <c r="H145" s="37" t="str">
        <f t="shared" si="17"/>
        <v>郑士旺</v>
      </c>
      <c r="I145" s="36">
        <f t="shared" si="18"/>
        <v>46230</v>
      </c>
      <c r="J145" s="36">
        <f t="shared" si="19"/>
        <v>46353</v>
      </c>
      <c r="K145" s="36"/>
      <c r="L145" s="37" t="s">
        <v>65</v>
      </c>
      <c r="M145" s="37" t="s">
        <v>5</v>
      </c>
      <c r="N145" s="36">
        <v>46230</v>
      </c>
      <c r="O145" s="36">
        <v>46241</v>
      </c>
      <c r="P145" s="37" t="s">
        <v>66</v>
      </c>
      <c r="Q145" s="37" t="s">
        <v>5</v>
      </c>
      <c r="R145" s="36">
        <v>46307</v>
      </c>
      <c r="S145" s="36">
        <v>46339</v>
      </c>
      <c r="T145" s="37" t="s">
        <v>67</v>
      </c>
      <c r="U145" s="37" t="s">
        <v>5</v>
      </c>
      <c r="V145" s="36">
        <v>46307</v>
      </c>
      <c r="W145" s="36">
        <v>46339</v>
      </c>
      <c r="X145" s="37" t="s">
        <v>68</v>
      </c>
      <c r="Y145" s="37" t="s">
        <v>5</v>
      </c>
      <c r="Z145" s="36">
        <v>46342</v>
      </c>
      <c r="AA145" s="36">
        <v>46353</v>
      </c>
      <c r="AB145" s="76">
        <f t="shared" si="20"/>
        <v>0</v>
      </c>
      <c r="AC145" s="37" t="str">
        <f>IF(G145="已完成","正常",IF(OR(G145="暂停",G145="挂起"),"暂停",IF(J145="","日期缺失",IF(J145&lt;项目驾驶舱!$B$3,"已延期",IF(J145&lt;=项目驾驶舱!$B$3+7,"临近到期","正常")))))</f>
        <v>正常</v>
      </c>
      <c r="AD145" s="37" t="s">
        <v>69</v>
      </c>
      <c r="AE145" s="38" t="s">
        <v>69</v>
      </c>
    </row>
    <row r="146" ht="17" customHeight="1" spans="1:31">
      <c r="A146" s="35" t="s">
        <v>381</v>
      </c>
      <c r="B146" s="37" t="s">
        <v>343</v>
      </c>
      <c r="C146" s="37" t="s">
        <v>380</v>
      </c>
      <c r="D146" s="37" t="s">
        <v>154</v>
      </c>
      <c r="E146" s="37" t="s">
        <v>382</v>
      </c>
      <c r="F146" s="37" t="s">
        <v>25</v>
      </c>
      <c r="G146" s="37" t="str">
        <f>IF(OR(M146="挂起",M146="暂停",Q146="挂起",Q146="暂停",U146="挂起",U146="暂停",Y146="挂起",Y146="暂停"),"暂停","已完成")</f>
        <v>已完成</v>
      </c>
      <c r="H146" s="37" t="str">
        <f t="shared" si="17"/>
        <v>郑士旺</v>
      </c>
      <c r="I146" s="36">
        <f t="shared" si="18"/>
        <v>46209</v>
      </c>
      <c r="J146" s="36">
        <f t="shared" si="19"/>
        <v>46261</v>
      </c>
      <c r="K146" s="36">
        <v>46261</v>
      </c>
      <c r="L146" s="37" t="s">
        <v>65</v>
      </c>
      <c r="M146" s="37" t="s">
        <v>3</v>
      </c>
      <c r="N146" s="36">
        <v>46209</v>
      </c>
      <c r="O146" s="36">
        <v>46213</v>
      </c>
      <c r="P146" s="37" t="s">
        <v>66</v>
      </c>
      <c r="Q146" s="37" t="s">
        <v>3</v>
      </c>
      <c r="R146" s="36">
        <v>46237</v>
      </c>
      <c r="S146" s="36">
        <v>46252</v>
      </c>
      <c r="T146" s="37" t="s">
        <v>67</v>
      </c>
      <c r="U146" s="37" t="s">
        <v>3</v>
      </c>
      <c r="V146" s="36">
        <v>46237</v>
      </c>
      <c r="W146" s="36">
        <v>46252</v>
      </c>
      <c r="X146" s="37" t="s">
        <v>68</v>
      </c>
      <c r="Y146" s="37" t="s">
        <v>3</v>
      </c>
      <c r="Z146" s="36">
        <v>46251</v>
      </c>
      <c r="AA146" s="36">
        <v>46269</v>
      </c>
      <c r="AB146" s="76">
        <f t="shared" si="20"/>
        <v>1</v>
      </c>
      <c r="AC146" s="37" t="str">
        <f>IF(G146="已完成","正常",IF(OR(G146="暂停",G146="挂起"),"暂停",IF(J146="","日期缺失",IF(J146&lt;项目驾驶舱!$B$3,"已延期",IF(J146&lt;=项目驾驶舱!$B$3+7,"临近到期","正常")))))</f>
        <v>正常</v>
      </c>
      <c r="AD146" s="37" t="s">
        <v>69</v>
      </c>
      <c r="AE146" s="38" t="s">
        <v>69</v>
      </c>
    </row>
    <row r="147" ht="17" customHeight="1" spans="1:31">
      <c r="A147" s="35" t="s">
        <v>383</v>
      </c>
      <c r="B147" s="37" t="s">
        <v>343</v>
      </c>
      <c r="C147" s="37" t="s">
        <v>380</v>
      </c>
      <c r="D147" s="37" t="s">
        <v>161</v>
      </c>
      <c r="E147" s="37" t="s">
        <v>382</v>
      </c>
      <c r="F147" s="37" t="s">
        <v>25</v>
      </c>
      <c r="G147" s="37" t="str">
        <f>IF(OR(M147="挂起",M147="暂停",Q147="挂起",Q147="暂停",U147="挂起",U147="暂停",Y147="挂起",Y147="暂停"),"暂停","已完成")</f>
        <v>已完成</v>
      </c>
      <c r="H147" s="37" t="str">
        <f t="shared" si="17"/>
        <v>郑士旺</v>
      </c>
      <c r="I147" s="36">
        <f t="shared" si="18"/>
        <v>46209</v>
      </c>
      <c r="J147" s="36">
        <f t="shared" si="19"/>
        <v>46261</v>
      </c>
      <c r="K147" s="36">
        <v>46261</v>
      </c>
      <c r="L147" s="37" t="s">
        <v>65</v>
      </c>
      <c r="M147" s="37" t="s">
        <v>3</v>
      </c>
      <c r="N147" s="36">
        <v>46209</v>
      </c>
      <c r="O147" s="36">
        <v>46213</v>
      </c>
      <c r="P147" s="37" t="s">
        <v>66</v>
      </c>
      <c r="Q147" s="37" t="s">
        <v>3</v>
      </c>
      <c r="R147" s="36">
        <v>46237</v>
      </c>
      <c r="S147" s="36">
        <v>46252</v>
      </c>
      <c r="T147" s="37" t="s">
        <v>67</v>
      </c>
      <c r="U147" s="37" t="s">
        <v>3</v>
      </c>
      <c r="V147" s="36">
        <v>46237</v>
      </c>
      <c r="W147" s="36">
        <v>46252</v>
      </c>
      <c r="X147" s="37" t="s">
        <v>68</v>
      </c>
      <c r="Y147" s="37" t="s">
        <v>3</v>
      </c>
      <c r="Z147" s="36">
        <v>46251</v>
      </c>
      <c r="AA147" s="36">
        <v>46269</v>
      </c>
      <c r="AB147" s="76">
        <f t="shared" si="20"/>
        <v>1</v>
      </c>
      <c r="AC147" s="37" t="str">
        <f>IF(G147="已完成","正常",IF(OR(G147="暂停",G147="挂起"),"暂停",IF(J147="","日期缺失",IF(J147&lt;项目驾驶舱!$B$3,"已延期",IF(J147&lt;=项目驾驶舱!$B$3+7,"临近到期","正常")))))</f>
        <v>正常</v>
      </c>
      <c r="AD147" s="37" t="s">
        <v>69</v>
      </c>
      <c r="AE147" s="38" t="s">
        <v>69</v>
      </c>
    </row>
    <row r="148" ht="17" customHeight="1" spans="1:31">
      <c r="A148" s="35" t="s">
        <v>384</v>
      </c>
      <c r="B148" s="37" t="s">
        <v>343</v>
      </c>
      <c r="C148" s="37" t="s">
        <v>380</v>
      </c>
      <c r="D148" s="37" t="s">
        <v>168</v>
      </c>
      <c r="E148" s="37" t="s">
        <v>382</v>
      </c>
      <c r="F148" s="37" t="s">
        <v>26</v>
      </c>
      <c r="G148" s="37" t="str">
        <f>IF(OR(M148="挂起",M148="暂停",Q148="挂起",Q148="暂停",U148="挂起",U148="暂停",Y148="挂起",Y148="暂停"),"暂停","已完成")</f>
        <v>已完成</v>
      </c>
      <c r="H148" s="37" t="str">
        <f t="shared" si="17"/>
        <v>郑士旺</v>
      </c>
      <c r="I148" s="36">
        <f t="shared" si="18"/>
        <v>46209</v>
      </c>
      <c r="J148" s="36">
        <f t="shared" si="19"/>
        <v>46269</v>
      </c>
      <c r="K148" s="36"/>
      <c r="L148" s="37" t="s">
        <v>65</v>
      </c>
      <c r="M148" s="37" t="s">
        <v>3</v>
      </c>
      <c r="N148" s="36">
        <v>46209</v>
      </c>
      <c r="O148" s="36">
        <v>46213</v>
      </c>
      <c r="P148" s="37" t="s">
        <v>66</v>
      </c>
      <c r="Q148" s="37" t="s">
        <v>3</v>
      </c>
      <c r="R148" s="36">
        <v>46237</v>
      </c>
      <c r="S148" s="36">
        <v>46252</v>
      </c>
      <c r="T148" s="37" t="s">
        <v>67</v>
      </c>
      <c r="U148" s="37" t="s">
        <v>3</v>
      </c>
      <c r="V148" s="36">
        <v>46237</v>
      </c>
      <c r="W148" s="36">
        <v>46252</v>
      </c>
      <c r="X148" s="37" t="s">
        <v>68</v>
      </c>
      <c r="Y148" s="37" t="s">
        <v>3</v>
      </c>
      <c r="Z148" s="36">
        <v>46251</v>
      </c>
      <c r="AA148" s="36">
        <v>46269</v>
      </c>
      <c r="AB148" s="76">
        <f t="shared" si="20"/>
        <v>1</v>
      </c>
      <c r="AC148" s="37" t="str">
        <f>IF(G148="已完成","正常",IF(OR(G148="暂停",G148="挂起"),"暂停",IF(J148="","日期缺失",IF(J148&lt;项目驾驶舱!$B$3,"已延期",IF(J148&lt;=项目驾驶舱!$B$3+7,"临近到期","正常")))))</f>
        <v>正常</v>
      </c>
      <c r="AD148" s="37"/>
      <c r="AE148" s="38"/>
    </row>
  </sheetData>
  <autoFilter xmlns:etc="http://www.wps.cn/officeDocument/2017/etCustomData" ref="A3:AE148" etc:filterBottomFollowUsedRange="0">
    <filterColumn colId="5">
      <customFilters>
        <customFilter operator="equal" val="第二批次"/>
      </customFilters>
    </filterColumn>
    <filterColumn colId="6">
      <customFilters>
        <customFilter operator="equal" val="未开始"/>
      </customFilters>
    </filterColumn>
    <extLst/>
  </autoFilter>
  <mergeCells count="2">
    <mergeCell ref="A1:AE1"/>
    <mergeCell ref="A2:AE2"/>
  </mergeCells>
  <conditionalFormatting sqref="G4:G132">
    <cfRule type="containsText" dxfId="0" priority="1" operator="between" text="已完成">
      <formula>NOT(ISERROR(SEARCH("已完成",G4)))</formula>
    </cfRule>
    <cfRule type="containsText" dxfId="1" priority="2" operator="between" text="进行中">
      <formula>NOT(ISERROR(SEARCH("进行中",G4)))</formula>
    </cfRule>
    <cfRule type="containsText" dxfId="2" priority="3" operator="between" text="未开始">
      <formula>NOT(ISERROR(SEARCH("未开始",G4)))</formula>
    </cfRule>
    <cfRule type="containsText" dxfId="3" priority="4" operator="between" text="暂停">
      <formula>NOT(ISERROR(SEARCH("暂停",G4)))</formula>
    </cfRule>
  </conditionalFormatting>
  <conditionalFormatting sqref="M4:M132">
    <cfRule type="containsText" dxfId="0" priority="5" operator="between" text="已完成">
      <formula>NOT(ISERROR(SEARCH("已完成",M4)))</formula>
    </cfRule>
    <cfRule type="containsText" dxfId="1" priority="6" operator="between" text="进行中">
      <formula>NOT(ISERROR(SEARCH("进行中",M4)))</formula>
    </cfRule>
    <cfRule type="containsText" dxfId="2" priority="7" operator="between" text="未开始">
      <formula>NOT(ISERROR(SEARCH("未开始",M4)))</formula>
    </cfRule>
    <cfRule type="containsText" dxfId="3" priority="8" operator="between" text="暂停">
      <formula>NOT(ISERROR(SEARCH("暂停",M4)))</formula>
    </cfRule>
  </conditionalFormatting>
  <conditionalFormatting sqref="Q4:Q132">
    <cfRule type="containsText" dxfId="0" priority="9" operator="between" text="已完成">
      <formula>NOT(ISERROR(SEARCH("已完成",Q4)))</formula>
    </cfRule>
    <cfRule type="containsText" dxfId="1" priority="10" operator="between" text="进行中">
      <formula>NOT(ISERROR(SEARCH("进行中",Q4)))</formula>
    </cfRule>
    <cfRule type="containsText" dxfId="2" priority="11" operator="between" text="未开始">
      <formula>NOT(ISERROR(SEARCH("未开始",Q4)))</formula>
    </cfRule>
    <cfRule type="containsText" dxfId="3" priority="12" operator="between" text="暂停">
      <formula>NOT(ISERROR(SEARCH("暂停",Q4)))</formula>
    </cfRule>
  </conditionalFormatting>
  <conditionalFormatting sqref="U4:U132">
    <cfRule type="containsText" dxfId="0" priority="13" operator="between" text="已完成">
      <formula>NOT(ISERROR(SEARCH("已完成",U4)))</formula>
    </cfRule>
    <cfRule type="containsText" dxfId="1" priority="14" operator="between" text="进行中">
      <formula>NOT(ISERROR(SEARCH("进行中",U4)))</formula>
    </cfRule>
    <cfRule type="containsText" dxfId="2" priority="15" operator="between" text="未开始">
      <formula>NOT(ISERROR(SEARCH("未开始",U4)))</formula>
    </cfRule>
    <cfRule type="containsText" dxfId="3" priority="16" operator="between" text="暂停">
      <formula>NOT(ISERROR(SEARCH("暂停",U4)))</formula>
    </cfRule>
  </conditionalFormatting>
  <conditionalFormatting sqref="Y4:Y132">
    <cfRule type="containsText" dxfId="0" priority="17" operator="between" text="已完成">
      <formula>NOT(ISERROR(SEARCH("已完成",Y4)))</formula>
    </cfRule>
    <cfRule type="containsText" dxfId="1" priority="18" operator="between" text="进行中">
      <formula>NOT(ISERROR(SEARCH("进行中",Y4)))</formula>
    </cfRule>
    <cfRule type="containsText" dxfId="2" priority="19" operator="between" text="未开始">
      <formula>NOT(ISERROR(SEARCH("未开始",Y4)))</formula>
    </cfRule>
    <cfRule type="containsText" dxfId="3" priority="20" operator="between" text="暂停">
      <formula>NOT(ISERROR(SEARCH("暂停",Y4)))</formula>
    </cfRule>
  </conditionalFormatting>
  <conditionalFormatting sqref="AB4:AB132">
    <cfRule type="dataBar" priority="23">
      <dataBar>
        <cfvo type="min"/>
        <cfvo type="max"/>
        <color rgb="FF70AD47"/>
      </dataBar>
      <extLst>
        <ext xmlns:x14="http://schemas.microsoft.com/office/spreadsheetml/2009/9/main" uri="{B025F937-C7B1-47D3-B67F-A62EFF666E3E}">
          <x14:id>{01d21d34-8905-422f-a42c-c73744f61615}</x14:id>
        </ext>
      </extLst>
    </cfRule>
  </conditionalFormatting>
  <conditionalFormatting sqref="AC4:AC132">
    <cfRule type="containsText" dxfId="4" priority="21" operator="between" text="已延期">
      <formula>NOT(ISERROR(SEARCH("已延期",AC4)))</formula>
    </cfRule>
    <cfRule type="containsText" dxfId="1" priority="22" operator="between" text="临近到期">
      <formula>NOT(ISERROR(SEARCH("临近到期",AC4)))</formula>
    </cfRule>
  </conditionalFormatting>
  <dataValidations count="1">
    <dataValidation type="list" sqref="G4:G132 M4:M132 Q4:Q132 U4:U132 Y4:Y132">
      <formula1>"未开始,进行中,已完成,暂停"</formula1>
    </dataValidation>
  </dataValidations>
  <pageMargins left="0.7" right="0.7" top="0.75" bottom="0.75" header="0.3" footer="0.3"/>
  <headerFooter/>
  <extLst>
    <ext xmlns:x14="http://schemas.microsoft.com/office/spreadsheetml/2009/9/main" uri="{78C0D931-6437-407d-A8EE-F0AAD7539E65}">
      <x14:conditionalFormattings>
        <x14:conditionalFormatting xmlns:xm="http://schemas.microsoft.com/office/excel/2006/main">
          <x14:cfRule type="dataBar" id="{01d21d34-8905-422f-a42c-c73744f61615}">
            <x14:dataBar minLength="10" maxLength="90" negativeBarColorSameAsPositive="1" axisPosition="none">
              <x14:cfvo type="min"/>
              <x14:cfvo type="max"/>
              <x14:axisColor indexed="65"/>
            </x14:dataBar>
          </x14:cfRule>
          <xm:sqref>AB4:AB132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B9BD5"/>
    <pageSetUpPr fitToPage="1"/>
  </sheetPr>
  <dimension ref="A1:L836"/>
  <sheetViews>
    <sheetView showGridLines="0" tabSelected="1" zoomScale="85" zoomScaleNormal="85" workbookViewId="0">
      <pane ySplit="15" topLeftCell="A16" activePane="bottomLeft" state="frozen"/>
      <selection/>
      <selection pane="bottomLeft" activeCell="E13" sqref="E13"/>
    </sheetView>
  </sheetViews>
  <sheetFormatPr defaultColWidth="9" defaultRowHeight="16.8"/>
  <cols>
    <col min="1" max="1" width="14" style="1" customWidth="1"/>
    <col min="2" max="2" width="11" style="1" customWidth="1"/>
    <col min="3" max="3" width="28" style="1" customWidth="1"/>
    <col min="4" max="7" width="13" style="1" customWidth="1"/>
    <col min="8" max="8" width="14" style="1" customWidth="1"/>
    <col min="9" max="9" width="13" style="1" customWidth="1"/>
    <col min="10" max="10" width="28" style="1" customWidth="1"/>
    <col min="11" max="11" width="24" style="1" customWidth="1"/>
    <col min="12" max="12" width="13" style="1" hidden="1" customWidth="1"/>
  </cols>
  <sheetData>
    <row r="1" ht="28" customHeight="1" spans="1:12">
      <c r="A1" s="2" t="s">
        <v>385</v>
      </c>
    </row>
    <row r="2" ht="22" customHeight="1" spans="1:12">
      <c r="A2" s="3" t="s">
        <v>386</v>
      </c>
    </row>
    <row r="3" spans="1:12">
      <c r="A3" s="4"/>
      <c r="B3" s="4"/>
      <c r="C3" s="4"/>
      <c r="D3" s="4"/>
      <c r="E3" s="4"/>
      <c r="F3" s="4"/>
      <c r="G3" s="4"/>
      <c r="H3" s="4"/>
      <c r="I3" s="4"/>
      <c r="J3" s="4"/>
      <c r="K3" s="4"/>
      <c r="L3" s="4"/>
    </row>
    <row r="4" ht="28" customHeight="1" spans="1:12">
      <c r="A4" s="5" t="s">
        <v>387</v>
      </c>
      <c r="B4" s="5" t="s">
        <v>388</v>
      </c>
      <c r="C4" s="5" t="s">
        <v>22</v>
      </c>
      <c r="D4" s="5" t="s">
        <v>389</v>
      </c>
      <c r="E4" s="5" t="s">
        <v>390</v>
      </c>
      <c r="F4" s="5" t="s">
        <v>391</v>
      </c>
      <c r="G4" s="5" t="s">
        <v>392</v>
      </c>
      <c r="H4" s="5" t="s">
        <v>393</v>
      </c>
      <c r="I4" s="5" t="s">
        <v>394</v>
      </c>
      <c r="J4" s="5" t="s">
        <v>395</v>
      </c>
      <c r="K4" s="5" t="s">
        <v>396</v>
      </c>
      <c r="L4" s="5" t="s">
        <v>59</v>
      </c>
    </row>
    <row r="5" spans="1:12">
      <c r="A5" s="6" t="s">
        <v>397</v>
      </c>
      <c r="B5" s="6" t="s">
        <v>398</v>
      </c>
      <c r="C5" s="6">
        <f>COUNTA($B$158:$B$285)</f>
        <v>128</v>
      </c>
      <c r="D5" s="6">
        <f>COUNTIFS($E$158:$E$285,"&lt;&gt;已完成")</f>
        <v>60</v>
      </c>
      <c r="E5" s="17">
        <f>IFERROR(_xlfn.MINIFS($F$158:$F$285,$F$158:$F$285,"&gt;0"),"")</f>
        <v>46195</v>
      </c>
      <c r="F5" s="17">
        <f>IFERROR(MAX($G$158:$G$285),"")</f>
        <v>46339</v>
      </c>
      <c r="G5" s="8">
        <v>40</v>
      </c>
      <c r="H5" s="63">
        <f>SUM($H$158:$H$285)</f>
        <v>840</v>
      </c>
      <c r="I5" s="16">
        <f t="shared" ref="I5:I10" si="0">IF(OR(G5=0,E5="",F5=""),"",H5/(G5*(INT(((F5-WEEKDAY(F5,2)+1)-(E5-WEEKDAY(E5,2)+1))/7)+1)))</f>
        <v>1</v>
      </c>
      <c r="J5" s="6" t="str">
        <f t="shared" ref="J5:J10" si="1">IF(D5=0,"无在途任务",IF(H5=0,"待估算",IF(I5&gt;1,"超负荷",IF(I5&gt;0.85,"高负荷",IF(I5&lt;0.4,"低负荷","正常")))))</f>
        <v>高负荷</v>
      </c>
      <c r="K5" s="6" t="str">
        <f t="shared" ref="K5:K10" si="2">IF(J5="超负荷","调整任务或增加资源",IF(J5="高负荷","确认优先级并预留缓冲",IF(J5="待估算","补充任务投入工时","按计划跟踪")))</f>
        <v>确认优先级并预留缓冲</v>
      </c>
      <c r="L5" s="8"/>
    </row>
    <row r="6" spans="1:12">
      <c r="A6" s="6" t="s">
        <v>228</v>
      </c>
      <c r="B6" s="6" t="s">
        <v>399</v>
      </c>
      <c r="C6" s="6">
        <f>COUNTA($B$286:$B$296)</f>
        <v>11</v>
      </c>
      <c r="D6" s="6">
        <f>COUNTIFS($E$286:$E$296,"&lt;&gt;已完成")</f>
        <v>6</v>
      </c>
      <c r="E6" s="17">
        <f>IFERROR(_xlfn.MINIFS($F$286:$F$296,$F$286:$F$296,"&gt;0"),"")</f>
        <v>46195</v>
      </c>
      <c r="F6" s="17">
        <f>IFERROR(MAX($G$286:$G$296),"")</f>
        <v>46339</v>
      </c>
      <c r="G6" s="8">
        <v>40</v>
      </c>
      <c r="H6" s="63">
        <f>SUM($H$286:$H$296)</f>
        <v>600</v>
      </c>
      <c r="I6" s="16">
        <f t="shared" si="0"/>
        <v>0.714285714285714</v>
      </c>
      <c r="J6" s="6" t="str">
        <f t="shared" si="1"/>
        <v>正常</v>
      </c>
      <c r="K6" s="6" t="str">
        <f t="shared" si="2"/>
        <v>按计划跟踪</v>
      </c>
      <c r="L6" s="8"/>
    </row>
    <row r="7" spans="1:12">
      <c r="A7" s="6" t="s">
        <v>400</v>
      </c>
      <c r="B7" s="6" t="s">
        <v>398</v>
      </c>
      <c r="C7" s="6">
        <f>COUNTA($B$297:$B$427)</f>
        <v>131</v>
      </c>
      <c r="D7" s="6">
        <f>COUNTIFS($E$297:$E$427,"&lt;&gt;已完成")</f>
        <v>63</v>
      </c>
      <c r="E7" s="17">
        <f>IFERROR(_xlfn.MINIFS($F$297:$F$427,$F$297:$F$427,"&gt;0"),"")</f>
        <v>46195</v>
      </c>
      <c r="F7" s="17">
        <f>IFERROR(MAX($G$297:$G$427),"")</f>
        <v>46339</v>
      </c>
      <c r="G7" s="8">
        <v>40</v>
      </c>
      <c r="H7" s="63">
        <f>SUM($H$297:$H$427)</f>
        <v>840</v>
      </c>
      <c r="I7" s="16">
        <f t="shared" si="0"/>
        <v>1</v>
      </c>
      <c r="J7" s="6" t="str">
        <f t="shared" si="1"/>
        <v>高负荷</v>
      </c>
      <c r="K7" s="6" t="str">
        <f t="shared" si="2"/>
        <v>确认优先级并预留缓冲</v>
      </c>
      <c r="L7" s="8"/>
    </row>
    <row r="8" spans="1:12">
      <c r="A8" s="6" t="s">
        <v>68</v>
      </c>
      <c r="B8" s="6" t="s">
        <v>401</v>
      </c>
      <c r="C8" s="6">
        <f>COUNTA($B$428:$B$566)</f>
        <v>139</v>
      </c>
      <c r="D8" s="6">
        <f>COUNTIFS($E$428:$E$566,"&lt;&gt;已完成")</f>
        <v>66</v>
      </c>
      <c r="E8" s="17">
        <f>IFERROR(_xlfn.MINIFS($F$428:$F$566,$F$428:$F$566,"&gt;0"),"")</f>
        <v>46202</v>
      </c>
      <c r="F8" s="17">
        <f>IFERROR(MAX($G$428:$G$566),"")</f>
        <v>46353</v>
      </c>
      <c r="G8" s="8">
        <v>40</v>
      </c>
      <c r="H8" s="63">
        <f>SUM($H$428:$H$566)</f>
        <v>520</v>
      </c>
      <c r="I8" s="16">
        <f t="shared" si="0"/>
        <v>0.590909090909091</v>
      </c>
      <c r="J8" s="6" t="str">
        <f t="shared" si="1"/>
        <v>正常</v>
      </c>
      <c r="K8" s="6" t="str">
        <f t="shared" si="2"/>
        <v>按计划跟踪</v>
      </c>
      <c r="L8" s="8"/>
    </row>
    <row r="9" spans="1:12">
      <c r="A9" s="6" t="s">
        <v>67</v>
      </c>
      <c r="B9" s="6" t="s">
        <v>402</v>
      </c>
      <c r="C9" s="6">
        <f>COUNTA($B$567:$B$697)</f>
        <v>131</v>
      </c>
      <c r="D9" s="6">
        <f>COUNTIFS($E$567:$E$697,"&lt;&gt;已完成")</f>
        <v>63</v>
      </c>
      <c r="E9" s="17">
        <f>IFERROR(_xlfn.MINIFS($F$567:$F$697,$F$567:$F$697,"&gt;0"),"")</f>
        <v>46195</v>
      </c>
      <c r="F9" s="17">
        <f>IFERROR(MAX($G$567:$G$697),"")</f>
        <v>46339</v>
      </c>
      <c r="G9" s="8">
        <v>40</v>
      </c>
      <c r="H9" s="63">
        <f>SUM($H$567:$H$697)</f>
        <v>840</v>
      </c>
      <c r="I9" s="16">
        <f t="shared" si="0"/>
        <v>1</v>
      </c>
      <c r="J9" s="6" t="str">
        <f t="shared" si="1"/>
        <v>高负荷</v>
      </c>
      <c r="K9" s="6" t="str">
        <f t="shared" si="2"/>
        <v>确认优先级并预留缓冲</v>
      </c>
      <c r="L9" s="8"/>
    </row>
    <row r="10" spans="1:12">
      <c r="A10" s="6" t="s">
        <v>65</v>
      </c>
      <c r="B10" s="6" t="s">
        <v>403</v>
      </c>
      <c r="C10" s="6">
        <f>COUNTA($B$698:$B$836)</f>
        <v>139</v>
      </c>
      <c r="D10" s="6">
        <f>COUNTIFS($E$698:$E$836,"&lt;&gt;已完成")</f>
        <v>66</v>
      </c>
      <c r="E10" s="17">
        <f>IFERROR(_xlfn.MINIFS($F$698:$F$836,$F$698:$F$836,"&gt;0"),"")</f>
        <v>46202</v>
      </c>
      <c r="F10" s="17">
        <f>IFERROR(MAX($G$698:$G$836),"")</f>
        <v>46241</v>
      </c>
      <c r="G10" s="8">
        <v>40</v>
      </c>
      <c r="H10" s="63">
        <f>SUM($H$698:$H$836)</f>
        <v>240</v>
      </c>
      <c r="I10" s="16">
        <f t="shared" si="0"/>
        <v>1</v>
      </c>
      <c r="J10" s="6" t="str">
        <f t="shared" si="1"/>
        <v>高负荷</v>
      </c>
      <c r="K10" s="6" t="str">
        <f t="shared" si="2"/>
        <v>确认优先级并预留缓冲</v>
      </c>
      <c r="L10" s="8"/>
    </row>
    <row r="13" ht="17.6" spans="1:12">
      <c r="A13" s="15" t="s">
        <v>404</v>
      </c>
    </row>
    <row r="14" spans="1:12">
      <c r="A14" s="64" t="s">
        <v>405</v>
      </c>
    </row>
    <row r="15" ht="28" customHeight="1" spans="1:12">
      <c r="A15" s="5" t="s">
        <v>387</v>
      </c>
      <c r="B15" s="5" t="s">
        <v>406</v>
      </c>
      <c r="C15" s="5" t="s">
        <v>407</v>
      </c>
      <c r="D15" s="5" t="s">
        <v>408</v>
      </c>
      <c r="E15" s="5" t="s">
        <v>22</v>
      </c>
      <c r="F15" s="5" t="s">
        <v>409</v>
      </c>
      <c r="G15" s="5" t="s">
        <v>394</v>
      </c>
      <c r="H15" s="5" t="s">
        <v>395</v>
      </c>
      <c r="I15" s="5" t="s">
        <v>410</v>
      </c>
      <c r="J15" s="5" t="s">
        <v>411</v>
      </c>
    </row>
    <row r="16" ht="48" customHeight="1" spans="1:12">
      <c r="A16" s="6" t="s">
        <v>397</v>
      </c>
      <c r="B16" s="17">
        <v>46195</v>
      </c>
      <c r="C16" s="17">
        <v>46201</v>
      </c>
      <c r="D16" s="6" t="str">
        <f t="shared" ref="D16:D79" si="3">IF(E16=0,"无","有")</f>
        <v>有</v>
      </c>
      <c r="E16" s="6">
        <f t="shared" ref="E16:E79" si="4">COUNTIFS($L$158:$L$836,A16,$F$158:$F$836,"&lt;="&amp;C16,$G$158:$G$836,"&gt;="&amp;B16)</f>
        <v>3</v>
      </c>
      <c r="F16" s="63">
        <f t="shared" ref="F16:F79" si="5">IF(E16=0,0,40)</f>
        <v>40</v>
      </c>
      <c r="G16" s="16">
        <f t="shared" ref="G16:G79" si="6">F16/40</f>
        <v>1</v>
      </c>
      <c r="H16" s="6" t="str">
        <f t="shared" ref="H16:H79" si="7">IF(E16=0,"无任务",IF(G16&gt;1,"超负荷",IF(G16&gt;0.85,"高负荷",IF(G16&lt;0.4,"低负荷","正常"))))</f>
        <v>高负荷</v>
      </c>
      <c r="I16" s="8"/>
      <c r="J16" s="6" t="s">
        <v>412</v>
      </c>
    </row>
    <row r="17" ht="48" customHeight="1" spans="1:10">
      <c r="A17" s="6" t="s">
        <v>397</v>
      </c>
      <c r="B17" s="17">
        <v>46202</v>
      </c>
      <c r="C17" s="17">
        <v>46208</v>
      </c>
      <c r="D17" s="6" t="str">
        <f t="shared" si="3"/>
        <v>有</v>
      </c>
      <c r="E17" s="6">
        <f t="shared" si="4"/>
        <v>3</v>
      </c>
      <c r="F17" s="63">
        <f t="shared" si="5"/>
        <v>40</v>
      </c>
      <c r="G17" s="16">
        <f t="shared" si="6"/>
        <v>1</v>
      </c>
      <c r="H17" s="6" t="str">
        <f t="shared" si="7"/>
        <v>高负荷</v>
      </c>
      <c r="I17" s="8"/>
      <c r="J17" s="6" t="s">
        <v>412</v>
      </c>
    </row>
    <row r="18" ht="48" customHeight="1" spans="1:10">
      <c r="A18" s="6" t="s">
        <v>397</v>
      </c>
      <c r="B18" s="17">
        <v>46209</v>
      </c>
      <c r="C18" s="17">
        <v>46215</v>
      </c>
      <c r="D18" s="6" t="str">
        <f t="shared" si="3"/>
        <v>有</v>
      </c>
      <c r="E18" s="6">
        <f t="shared" si="4"/>
        <v>22</v>
      </c>
      <c r="F18" s="63">
        <f t="shared" si="5"/>
        <v>40</v>
      </c>
      <c r="G18" s="16">
        <f t="shared" si="6"/>
        <v>1</v>
      </c>
      <c r="H18" s="6" t="str">
        <f t="shared" si="7"/>
        <v>高负荷</v>
      </c>
      <c r="I18" s="8"/>
      <c r="J18" s="6" t="s">
        <v>413</v>
      </c>
    </row>
    <row r="19" ht="48" customHeight="1" spans="1:10">
      <c r="A19" s="6" t="s">
        <v>397</v>
      </c>
      <c r="B19" s="17">
        <v>46216</v>
      </c>
      <c r="C19" s="17">
        <v>46222</v>
      </c>
      <c r="D19" s="6" t="str">
        <f t="shared" si="3"/>
        <v>有</v>
      </c>
      <c r="E19" s="6">
        <f t="shared" si="4"/>
        <v>22</v>
      </c>
      <c r="F19" s="63">
        <f t="shared" si="5"/>
        <v>40</v>
      </c>
      <c r="G19" s="16">
        <f t="shared" si="6"/>
        <v>1</v>
      </c>
      <c r="H19" s="6" t="str">
        <f t="shared" si="7"/>
        <v>高负荷</v>
      </c>
      <c r="I19" s="8"/>
      <c r="J19" s="6" t="s">
        <v>413</v>
      </c>
    </row>
    <row r="20" ht="48" customHeight="1" spans="1:10">
      <c r="A20" s="6" t="s">
        <v>397</v>
      </c>
      <c r="B20" s="17">
        <v>46223</v>
      </c>
      <c r="C20" s="17">
        <v>46229</v>
      </c>
      <c r="D20" s="6" t="str">
        <f t="shared" si="3"/>
        <v>有</v>
      </c>
      <c r="E20" s="6">
        <f t="shared" si="4"/>
        <v>30</v>
      </c>
      <c r="F20" s="63">
        <f t="shared" si="5"/>
        <v>40</v>
      </c>
      <c r="G20" s="16">
        <f t="shared" si="6"/>
        <v>1</v>
      </c>
      <c r="H20" s="6" t="str">
        <f t="shared" si="7"/>
        <v>高负荷</v>
      </c>
      <c r="I20" s="8"/>
      <c r="J20" s="6" t="s">
        <v>414</v>
      </c>
    </row>
    <row r="21" ht="48" customHeight="1" spans="1:10">
      <c r="A21" s="6" t="s">
        <v>397</v>
      </c>
      <c r="B21" s="17">
        <v>46230</v>
      </c>
      <c r="C21" s="17">
        <v>46236</v>
      </c>
      <c r="D21" s="6" t="str">
        <f t="shared" si="3"/>
        <v>有</v>
      </c>
      <c r="E21" s="6">
        <f t="shared" si="4"/>
        <v>24</v>
      </c>
      <c r="F21" s="63">
        <f t="shared" si="5"/>
        <v>40</v>
      </c>
      <c r="G21" s="16">
        <f t="shared" si="6"/>
        <v>1</v>
      </c>
      <c r="H21" s="6" t="str">
        <f t="shared" si="7"/>
        <v>高负荷</v>
      </c>
      <c r="I21" s="8"/>
      <c r="J21" s="6" t="s">
        <v>415</v>
      </c>
    </row>
    <row r="22" ht="48" customHeight="1" spans="1:10">
      <c r="A22" s="6" t="s">
        <v>397</v>
      </c>
      <c r="B22" s="17">
        <v>46237</v>
      </c>
      <c r="C22" s="17">
        <v>46243</v>
      </c>
      <c r="D22" s="6" t="str">
        <f t="shared" si="3"/>
        <v>有</v>
      </c>
      <c r="E22" s="6">
        <f t="shared" si="4"/>
        <v>27</v>
      </c>
      <c r="F22" s="63">
        <f t="shared" si="5"/>
        <v>40</v>
      </c>
      <c r="G22" s="16">
        <f t="shared" si="6"/>
        <v>1</v>
      </c>
      <c r="H22" s="6" t="str">
        <f t="shared" si="7"/>
        <v>高负荷</v>
      </c>
      <c r="I22" s="8"/>
      <c r="J22" s="6" t="s">
        <v>416</v>
      </c>
    </row>
    <row r="23" ht="48" customHeight="1" spans="1:10">
      <c r="A23" s="6" t="s">
        <v>397</v>
      </c>
      <c r="B23" s="17">
        <v>46244</v>
      </c>
      <c r="C23" s="17">
        <v>46250</v>
      </c>
      <c r="D23" s="6" t="str">
        <f t="shared" si="3"/>
        <v>有</v>
      </c>
      <c r="E23" s="6">
        <f t="shared" si="4"/>
        <v>26</v>
      </c>
      <c r="F23" s="63">
        <f t="shared" si="5"/>
        <v>40</v>
      </c>
      <c r="G23" s="16">
        <f t="shared" si="6"/>
        <v>1</v>
      </c>
      <c r="H23" s="6" t="str">
        <f t="shared" si="7"/>
        <v>高负荷</v>
      </c>
      <c r="I23" s="8"/>
      <c r="J23" s="6" t="s">
        <v>417</v>
      </c>
    </row>
    <row r="24" ht="48" customHeight="1" spans="1:10">
      <c r="A24" s="6" t="s">
        <v>397</v>
      </c>
      <c r="B24" s="17">
        <v>46251</v>
      </c>
      <c r="C24" s="17">
        <v>46257</v>
      </c>
      <c r="D24" s="6" t="str">
        <f t="shared" si="3"/>
        <v>有</v>
      </c>
      <c r="E24" s="6">
        <f t="shared" si="4"/>
        <v>26</v>
      </c>
      <c r="F24" s="63">
        <f t="shared" si="5"/>
        <v>40</v>
      </c>
      <c r="G24" s="16">
        <f t="shared" si="6"/>
        <v>1</v>
      </c>
      <c r="H24" s="6" t="str">
        <f t="shared" si="7"/>
        <v>高负荷</v>
      </c>
      <c r="I24" s="8"/>
      <c r="J24" s="6" t="s">
        <v>417</v>
      </c>
    </row>
    <row r="25" ht="48" customHeight="1" spans="1:10">
      <c r="A25" s="6" t="s">
        <v>397</v>
      </c>
      <c r="B25" s="17">
        <v>46258</v>
      </c>
      <c r="C25" s="17">
        <v>46264</v>
      </c>
      <c r="D25" s="6" t="str">
        <f t="shared" si="3"/>
        <v>有</v>
      </c>
      <c r="E25" s="6">
        <f t="shared" si="4"/>
        <v>23</v>
      </c>
      <c r="F25" s="63">
        <f t="shared" si="5"/>
        <v>40</v>
      </c>
      <c r="G25" s="16">
        <f t="shared" si="6"/>
        <v>1</v>
      </c>
      <c r="H25" s="6" t="str">
        <f t="shared" si="7"/>
        <v>高负荷</v>
      </c>
      <c r="I25" s="8"/>
      <c r="J25" s="6" t="s">
        <v>418</v>
      </c>
    </row>
    <row r="26" ht="48" customHeight="1" spans="1:10">
      <c r="A26" s="6" t="s">
        <v>397</v>
      </c>
      <c r="B26" s="17">
        <v>46265</v>
      </c>
      <c r="C26" s="17">
        <v>46271</v>
      </c>
      <c r="D26" s="6" t="str">
        <f t="shared" si="3"/>
        <v>有</v>
      </c>
      <c r="E26" s="6">
        <f t="shared" si="4"/>
        <v>5</v>
      </c>
      <c r="F26" s="63">
        <f t="shared" si="5"/>
        <v>40</v>
      </c>
      <c r="G26" s="16">
        <f t="shared" si="6"/>
        <v>1</v>
      </c>
      <c r="H26" s="6" t="str">
        <f t="shared" si="7"/>
        <v>高负荷</v>
      </c>
      <c r="I26" s="8"/>
      <c r="J26" s="6" t="s">
        <v>419</v>
      </c>
    </row>
    <row r="27" ht="48" customHeight="1" spans="1:10">
      <c r="A27" s="6" t="s">
        <v>397</v>
      </c>
      <c r="B27" s="17">
        <v>46272</v>
      </c>
      <c r="C27" s="17">
        <v>46278</v>
      </c>
      <c r="D27" s="6" t="str">
        <f t="shared" si="3"/>
        <v>有</v>
      </c>
      <c r="E27" s="6">
        <f t="shared" si="4"/>
        <v>12</v>
      </c>
      <c r="F27" s="63">
        <f t="shared" si="5"/>
        <v>40</v>
      </c>
      <c r="G27" s="16">
        <f t="shared" si="6"/>
        <v>1</v>
      </c>
      <c r="H27" s="6" t="str">
        <f t="shared" si="7"/>
        <v>高负荷</v>
      </c>
      <c r="I27" s="8"/>
      <c r="J27" s="6" t="s">
        <v>420</v>
      </c>
    </row>
    <row r="28" ht="48" customHeight="1" spans="1:10">
      <c r="A28" s="6" t="s">
        <v>397</v>
      </c>
      <c r="B28" s="17">
        <v>46279</v>
      </c>
      <c r="C28" s="17">
        <v>46285</v>
      </c>
      <c r="D28" s="6" t="str">
        <f t="shared" si="3"/>
        <v>有</v>
      </c>
      <c r="E28" s="6">
        <f t="shared" si="4"/>
        <v>12</v>
      </c>
      <c r="F28" s="63">
        <f t="shared" si="5"/>
        <v>40</v>
      </c>
      <c r="G28" s="16">
        <f t="shared" si="6"/>
        <v>1</v>
      </c>
      <c r="H28" s="6" t="str">
        <f t="shared" si="7"/>
        <v>高负荷</v>
      </c>
      <c r="I28" s="8"/>
      <c r="J28" s="6" t="s">
        <v>420</v>
      </c>
    </row>
    <row r="29" ht="48" customHeight="1" spans="1:10">
      <c r="A29" s="6" t="s">
        <v>397</v>
      </c>
      <c r="B29" s="17">
        <v>46286</v>
      </c>
      <c r="C29" s="17">
        <v>46292</v>
      </c>
      <c r="D29" s="6" t="str">
        <f t="shared" si="3"/>
        <v>有</v>
      </c>
      <c r="E29" s="6">
        <f t="shared" si="4"/>
        <v>12</v>
      </c>
      <c r="F29" s="63">
        <f t="shared" si="5"/>
        <v>40</v>
      </c>
      <c r="G29" s="16">
        <f t="shared" si="6"/>
        <v>1</v>
      </c>
      <c r="H29" s="6" t="str">
        <f t="shared" si="7"/>
        <v>高负荷</v>
      </c>
      <c r="I29" s="8"/>
      <c r="J29" s="6" t="s">
        <v>420</v>
      </c>
    </row>
    <row r="30" ht="48" customHeight="1" spans="1:10">
      <c r="A30" s="6" t="s">
        <v>397</v>
      </c>
      <c r="B30" s="17">
        <v>46293</v>
      </c>
      <c r="C30" s="17">
        <v>46299</v>
      </c>
      <c r="D30" s="6" t="str">
        <f t="shared" si="3"/>
        <v>有</v>
      </c>
      <c r="E30" s="6">
        <f t="shared" si="4"/>
        <v>12</v>
      </c>
      <c r="F30" s="63">
        <f t="shared" si="5"/>
        <v>40</v>
      </c>
      <c r="G30" s="16">
        <f t="shared" si="6"/>
        <v>1</v>
      </c>
      <c r="H30" s="6" t="str">
        <f t="shared" si="7"/>
        <v>高负荷</v>
      </c>
      <c r="I30" s="8"/>
      <c r="J30" s="6" t="s">
        <v>420</v>
      </c>
    </row>
    <row r="31" ht="48" customHeight="1" spans="1:10">
      <c r="A31" s="6" t="s">
        <v>397</v>
      </c>
      <c r="B31" s="17">
        <v>46300</v>
      </c>
      <c r="C31" s="17">
        <v>46306</v>
      </c>
      <c r="D31" s="6" t="str">
        <f t="shared" si="3"/>
        <v>有</v>
      </c>
      <c r="E31" s="6">
        <f t="shared" si="4"/>
        <v>12</v>
      </c>
      <c r="F31" s="63">
        <f t="shared" si="5"/>
        <v>40</v>
      </c>
      <c r="G31" s="16">
        <f t="shared" si="6"/>
        <v>1</v>
      </c>
      <c r="H31" s="6" t="str">
        <f t="shared" si="7"/>
        <v>高负荷</v>
      </c>
      <c r="I31" s="8"/>
      <c r="J31" s="6" t="s">
        <v>420</v>
      </c>
    </row>
    <row r="32" ht="48" customHeight="1" spans="1:10">
      <c r="A32" s="6" t="s">
        <v>397</v>
      </c>
      <c r="B32" s="17">
        <v>46307</v>
      </c>
      <c r="C32" s="17">
        <v>46313</v>
      </c>
      <c r="D32" s="6" t="str">
        <f t="shared" si="3"/>
        <v>有</v>
      </c>
      <c r="E32" s="6">
        <f t="shared" si="4"/>
        <v>51</v>
      </c>
      <c r="F32" s="63">
        <f t="shared" si="5"/>
        <v>40</v>
      </c>
      <c r="G32" s="16">
        <f t="shared" si="6"/>
        <v>1</v>
      </c>
      <c r="H32" s="6" t="str">
        <f t="shared" si="7"/>
        <v>高负荷</v>
      </c>
      <c r="I32" s="8"/>
      <c r="J32" s="6" t="s">
        <v>421</v>
      </c>
    </row>
    <row r="33" ht="48" customHeight="1" spans="1:10">
      <c r="A33" s="6" t="s">
        <v>397</v>
      </c>
      <c r="B33" s="17">
        <v>46314</v>
      </c>
      <c r="C33" s="17">
        <v>46320</v>
      </c>
      <c r="D33" s="6" t="str">
        <f t="shared" si="3"/>
        <v>有</v>
      </c>
      <c r="E33" s="6">
        <f t="shared" si="4"/>
        <v>51</v>
      </c>
      <c r="F33" s="63">
        <f t="shared" si="5"/>
        <v>40</v>
      </c>
      <c r="G33" s="16">
        <f t="shared" si="6"/>
        <v>1</v>
      </c>
      <c r="H33" s="6" t="str">
        <f t="shared" si="7"/>
        <v>高负荷</v>
      </c>
      <c r="I33" s="8"/>
      <c r="J33" s="6" t="s">
        <v>421</v>
      </c>
    </row>
    <row r="34" ht="48" customHeight="1" spans="1:10">
      <c r="A34" s="6" t="s">
        <v>397</v>
      </c>
      <c r="B34" s="17">
        <v>46321</v>
      </c>
      <c r="C34" s="17">
        <v>46327</v>
      </c>
      <c r="D34" s="6" t="str">
        <f t="shared" si="3"/>
        <v>有</v>
      </c>
      <c r="E34" s="6">
        <f t="shared" si="4"/>
        <v>51</v>
      </c>
      <c r="F34" s="63">
        <f t="shared" si="5"/>
        <v>40</v>
      </c>
      <c r="G34" s="16">
        <f t="shared" si="6"/>
        <v>1</v>
      </c>
      <c r="H34" s="6" t="str">
        <f t="shared" si="7"/>
        <v>高负荷</v>
      </c>
      <c r="I34" s="8"/>
      <c r="J34" s="6" t="s">
        <v>421</v>
      </c>
    </row>
    <row r="35" ht="48" customHeight="1" spans="1:10">
      <c r="A35" s="6" t="s">
        <v>397</v>
      </c>
      <c r="B35" s="17">
        <v>46328</v>
      </c>
      <c r="C35" s="17">
        <v>46334</v>
      </c>
      <c r="D35" s="6" t="str">
        <f t="shared" si="3"/>
        <v>有</v>
      </c>
      <c r="E35" s="6">
        <f t="shared" si="4"/>
        <v>51</v>
      </c>
      <c r="F35" s="63">
        <f t="shared" si="5"/>
        <v>40</v>
      </c>
      <c r="G35" s="16">
        <f t="shared" si="6"/>
        <v>1</v>
      </c>
      <c r="H35" s="6" t="str">
        <f t="shared" si="7"/>
        <v>高负荷</v>
      </c>
      <c r="I35" s="8"/>
      <c r="J35" s="6" t="s">
        <v>421</v>
      </c>
    </row>
    <row r="36" ht="48" customHeight="1" spans="1:10">
      <c r="A36" s="6" t="s">
        <v>397</v>
      </c>
      <c r="B36" s="17">
        <v>46335</v>
      </c>
      <c r="C36" s="17">
        <v>46341</v>
      </c>
      <c r="D36" s="6" t="str">
        <f t="shared" si="3"/>
        <v>有</v>
      </c>
      <c r="E36" s="6">
        <f t="shared" si="4"/>
        <v>51</v>
      </c>
      <c r="F36" s="63">
        <f t="shared" si="5"/>
        <v>40</v>
      </c>
      <c r="G36" s="16">
        <f t="shared" si="6"/>
        <v>1</v>
      </c>
      <c r="H36" s="6" t="str">
        <f t="shared" si="7"/>
        <v>高负荷</v>
      </c>
      <c r="I36" s="8"/>
      <c r="J36" s="6" t="s">
        <v>421</v>
      </c>
    </row>
    <row r="37" ht="20" customHeight="1" spans="1:10">
      <c r="A37" s="6" t="s">
        <v>397</v>
      </c>
      <c r="B37" s="17">
        <v>46342</v>
      </c>
      <c r="C37" s="17">
        <v>46348</v>
      </c>
      <c r="D37" s="6" t="str">
        <f t="shared" si="3"/>
        <v>无</v>
      </c>
      <c r="E37" s="6">
        <f t="shared" si="4"/>
        <v>0</v>
      </c>
      <c r="F37" s="63">
        <f t="shared" si="5"/>
        <v>0</v>
      </c>
      <c r="G37" s="16">
        <f t="shared" si="6"/>
        <v>0</v>
      </c>
      <c r="H37" s="6" t="str">
        <f t="shared" si="7"/>
        <v>无任务</v>
      </c>
      <c r="I37" s="8"/>
      <c r="J37" s="6" t="s">
        <v>422</v>
      </c>
    </row>
    <row r="38" ht="20" customHeight="1" spans="1:10">
      <c r="A38" s="6" t="s">
        <v>397</v>
      </c>
      <c r="B38" s="17">
        <v>46349</v>
      </c>
      <c r="C38" s="17">
        <v>46355</v>
      </c>
      <c r="D38" s="6" t="str">
        <f t="shared" si="3"/>
        <v>无</v>
      </c>
      <c r="E38" s="6">
        <f t="shared" si="4"/>
        <v>0</v>
      </c>
      <c r="F38" s="63">
        <f t="shared" si="5"/>
        <v>0</v>
      </c>
      <c r="G38" s="16">
        <f t="shared" si="6"/>
        <v>0</v>
      </c>
      <c r="H38" s="6" t="str">
        <f t="shared" si="7"/>
        <v>无任务</v>
      </c>
      <c r="I38" s="8"/>
      <c r="J38" s="6" t="s">
        <v>422</v>
      </c>
    </row>
    <row r="39" ht="48" customHeight="1" spans="1:10">
      <c r="A39" s="6" t="s">
        <v>228</v>
      </c>
      <c r="B39" s="17">
        <v>46195</v>
      </c>
      <c r="C39" s="17">
        <v>46201</v>
      </c>
      <c r="D39" s="6" t="str">
        <f t="shared" si="3"/>
        <v>有</v>
      </c>
      <c r="E39" s="6">
        <f t="shared" si="4"/>
        <v>1</v>
      </c>
      <c r="F39" s="63">
        <f t="shared" si="5"/>
        <v>40</v>
      </c>
      <c r="G39" s="16">
        <f t="shared" si="6"/>
        <v>1</v>
      </c>
      <c r="H39" s="6" t="str">
        <f t="shared" si="7"/>
        <v>高负荷</v>
      </c>
      <c r="I39" s="8"/>
      <c r="J39" s="6" t="s">
        <v>423</v>
      </c>
    </row>
    <row r="40" ht="48" customHeight="1" spans="1:10">
      <c r="A40" s="6" t="s">
        <v>228</v>
      </c>
      <c r="B40" s="17">
        <v>46202</v>
      </c>
      <c r="C40" s="17">
        <v>46208</v>
      </c>
      <c r="D40" s="6" t="str">
        <f t="shared" si="3"/>
        <v>有</v>
      </c>
      <c r="E40" s="6">
        <f t="shared" si="4"/>
        <v>1</v>
      </c>
      <c r="F40" s="63">
        <f t="shared" si="5"/>
        <v>40</v>
      </c>
      <c r="G40" s="16">
        <f t="shared" si="6"/>
        <v>1</v>
      </c>
      <c r="H40" s="6" t="str">
        <f t="shared" si="7"/>
        <v>高负荷</v>
      </c>
      <c r="I40" s="8"/>
      <c r="J40" s="6" t="s">
        <v>423</v>
      </c>
    </row>
    <row r="41" ht="48" customHeight="1" spans="1:10">
      <c r="A41" s="6" t="s">
        <v>228</v>
      </c>
      <c r="B41" s="17">
        <v>46209</v>
      </c>
      <c r="C41" s="17">
        <v>46215</v>
      </c>
      <c r="D41" s="6" t="str">
        <f t="shared" si="3"/>
        <v>有</v>
      </c>
      <c r="E41" s="6">
        <f t="shared" si="4"/>
        <v>4</v>
      </c>
      <c r="F41" s="63">
        <f t="shared" si="5"/>
        <v>40</v>
      </c>
      <c r="G41" s="16">
        <f t="shared" si="6"/>
        <v>1</v>
      </c>
      <c r="H41" s="6" t="str">
        <f t="shared" si="7"/>
        <v>高负荷</v>
      </c>
      <c r="I41" s="8"/>
      <c r="J41" s="6" t="s">
        <v>424</v>
      </c>
    </row>
    <row r="42" ht="48" customHeight="1" spans="1:10">
      <c r="A42" s="6" t="s">
        <v>228</v>
      </c>
      <c r="B42" s="17">
        <v>46216</v>
      </c>
      <c r="C42" s="17">
        <v>46222</v>
      </c>
      <c r="D42" s="6" t="str">
        <f t="shared" si="3"/>
        <v>有</v>
      </c>
      <c r="E42" s="6">
        <f t="shared" si="4"/>
        <v>4</v>
      </c>
      <c r="F42" s="63">
        <f t="shared" si="5"/>
        <v>40</v>
      </c>
      <c r="G42" s="16">
        <f t="shared" si="6"/>
        <v>1</v>
      </c>
      <c r="H42" s="6" t="str">
        <f t="shared" si="7"/>
        <v>高负荷</v>
      </c>
      <c r="I42" s="8"/>
      <c r="J42" s="6" t="s">
        <v>424</v>
      </c>
    </row>
    <row r="43" ht="48" customHeight="1" spans="1:10">
      <c r="A43" s="6" t="s">
        <v>228</v>
      </c>
      <c r="B43" s="17">
        <v>46223</v>
      </c>
      <c r="C43" s="17">
        <v>46229</v>
      </c>
      <c r="D43" s="6" t="str">
        <f t="shared" si="3"/>
        <v>有</v>
      </c>
      <c r="E43" s="6">
        <f t="shared" si="4"/>
        <v>4</v>
      </c>
      <c r="F43" s="63">
        <f t="shared" si="5"/>
        <v>40</v>
      </c>
      <c r="G43" s="16">
        <f t="shared" si="6"/>
        <v>1</v>
      </c>
      <c r="H43" s="6" t="str">
        <f t="shared" si="7"/>
        <v>高负荷</v>
      </c>
      <c r="I43" s="8"/>
      <c r="J43" s="6" t="s">
        <v>424</v>
      </c>
    </row>
    <row r="44" ht="48" customHeight="1" spans="1:10">
      <c r="A44" s="6" t="s">
        <v>228</v>
      </c>
      <c r="B44" s="17">
        <v>46230</v>
      </c>
      <c r="C44" s="17">
        <v>46236</v>
      </c>
      <c r="D44" s="6" t="str">
        <f t="shared" si="3"/>
        <v>有</v>
      </c>
      <c r="E44" s="6">
        <f t="shared" si="4"/>
        <v>4</v>
      </c>
      <c r="F44" s="63">
        <f t="shared" si="5"/>
        <v>40</v>
      </c>
      <c r="G44" s="16">
        <f t="shared" si="6"/>
        <v>1</v>
      </c>
      <c r="H44" s="6" t="str">
        <f t="shared" si="7"/>
        <v>高负荷</v>
      </c>
      <c r="I44" s="8"/>
      <c r="J44" s="6" t="s">
        <v>425</v>
      </c>
    </row>
    <row r="45" ht="48" customHeight="1" spans="1:10">
      <c r="A45" s="6" t="s">
        <v>228</v>
      </c>
      <c r="B45" s="17">
        <v>46237</v>
      </c>
      <c r="C45" s="17">
        <v>46243</v>
      </c>
      <c r="D45" s="6" t="str">
        <f t="shared" si="3"/>
        <v>有</v>
      </c>
      <c r="E45" s="6">
        <f t="shared" si="4"/>
        <v>4</v>
      </c>
      <c r="F45" s="63">
        <f t="shared" si="5"/>
        <v>40</v>
      </c>
      <c r="G45" s="16">
        <f t="shared" si="6"/>
        <v>1</v>
      </c>
      <c r="H45" s="6" t="str">
        <f t="shared" si="7"/>
        <v>高负荷</v>
      </c>
      <c r="I45" s="8"/>
      <c r="J45" s="6" t="s">
        <v>425</v>
      </c>
    </row>
    <row r="46" ht="48" customHeight="1" spans="1:10">
      <c r="A46" s="6" t="s">
        <v>228</v>
      </c>
      <c r="B46" s="17">
        <v>46244</v>
      </c>
      <c r="C46" s="17">
        <v>46250</v>
      </c>
      <c r="D46" s="6" t="str">
        <f t="shared" si="3"/>
        <v>有</v>
      </c>
      <c r="E46" s="6">
        <f t="shared" si="4"/>
        <v>4</v>
      </c>
      <c r="F46" s="63">
        <f t="shared" si="5"/>
        <v>40</v>
      </c>
      <c r="G46" s="16">
        <f t="shared" si="6"/>
        <v>1</v>
      </c>
      <c r="H46" s="6" t="str">
        <f t="shared" si="7"/>
        <v>高负荷</v>
      </c>
      <c r="I46" s="8"/>
      <c r="J46" s="6" t="s">
        <v>425</v>
      </c>
    </row>
    <row r="47" ht="48" customHeight="1" spans="1:10">
      <c r="A47" s="6" t="s">
        <v>228</v>
      </c>
      <c r="B47" s="17">
        <v>46251</v>
      </c>
      <c r="C47" s="17">
        <v>46257</v>
      </c>
      <c r="D47" s="6" t="str">
        <f t="shared" si="3"/>
        <v>有</v>
      </c>
      <c r="E47" s="6">
        <f t="shared" si="4"/>
        <v>4</v>
      </c>
      <c r="F47" s="63">
        <f t="shared" si="5"/>
        <v>40</v>
      </c>
      <c r="G47" s="16">
        <f t="shared" si="6"/>
        <v>1</v>
      </c>
      <c r="H47" s="6" t="str">
        <f t="shared" si="7"/>
        <v>高负荷</v>
      </c>
      <c r="I47" s="8"/>
      <c r="J47" s="6" t="s">
        <v>425</v>
      </c>
    </row>
    <row r="48" ht="48" customHeight="1" spans="1:10">
      <c r="A48" s="6" t="s">
        <v>228</v>
      </c>
      <c r="B48" s="17">
        <v>46258</v>
      </c>
      <c r="C48" s="17">
        <v>46264</v>
      </c>
      <c r="D48" s="6" t="str">
        <f t="shared" si="3"/>
        <v>有</v>
      </c>
      <c r="E48" s="6">
        <f t="shared" si="4"/>
        <v>4</v>
      </c>
      <c r="F48" s="63">
        <f t="shared" si="5"/>
        <v>40</v>
      </c>
      <c r="G48" s="16">
        <f t="shared" si="6"/>
        <v>1</v>
      </c>
      <c r="H48" s="6" t="str">
        <f t="shared" si="7"/>
        <v>高负荷</v>
      </c>
      <c r="I48" s="8"/>
      <c r="J48" s="6" t="s">
        <v>425</v>
      </c>
    </row>
    <row r="49" ht="20" customHeight="1" spans="1:10">
      <c r="A49" s="6" t="s">
        <v>228</v>
      </c>
      <c r="B49" s="17">
        <v>46265</v>
      </c>
      <c r="C49" s="17">
        <v>46271</v>
      </c>
      <c r="D49" s="6" t="str">
        <f t="shared" si="3"/>
        <v>无</v>
      </c>
      <c r="E49" s="6">
        <f t="shared" si="4"/>
        <v>0</v>
      </c>
      <c r="F49" s="63">
        <f t="shared" si="5"/>
        <v>0</v>
      </c>
      <c r="G49" s="16">
        <f t="shared" si="6"/>
        <v>0</v>
      </c>
      <c r="H49" s="6" t="str">
        <f t="shared" si="7"/>
        <v>无任务</v>
      </c>
      <c r="I49" s="8"/>
      <c r="J49" s="6" t="s">
        <v>422</v>
      </c>
    </row>
    <row r="50" ht="20" customHeight="1" spans="1:10">
      <c r="A50" s="6" t="s">
        <v>228</v>
      </c>
      <c r="B50" s="17">
        <v>46272</v>
      </c>
      <c r="C50" s="17">
        <v>46278</v>
      </c>
      <c r="D50" s="6" t="str">
        <f t="shared" si="3"/>
        <v>无</v>
      </c>
      <c r="E50" s="6">
        <f t="shared" si="4"/>
        <v>0</v>
      </c>
      <c r="F50" s="63">
        <f t="shared" si="5"/>
        <v>0</v>
      </c>
      <c r="G50" s="16">
        <f t="shared" si="6"/>
        <v>0</v>
      </c>
      <c r="H50" s="6" t="str">
        <f t="shared" si="7"/>
        <v>无任务</v>
      </c>
      <c r="I50" s="8"/>
      <c r="J50" s="6" t="s">
        <v>422</v>
      </c>
    </row>
    <row r="51" ht="20" customHeight="1" spans="1:10">
      <c r="A51" s="6" t="s">
        <v>228</v>
      </c>
      <c r="B51" s="17">
        <v>46279</v>
      </c>
      <c r="C51" s="17">
        <v>46285</v>
      </c>
      <c r="D51" s="6" t="str">
        <f t="shared" si="3"/>
        <v>无</v>
      </c>
      <c r="E51" s="6">
        <f t="shared" si="4"/>
        <v>0</v>
      </c>
      <c r="F51" s="63">
        <f t="shared" si="5"/>
        <v>0</v>
      </c>
      <c r="G51" s="16">
        <f t="shared" si="6"/>
        <v>0</v>
      </c>
      <c r="H51" s="6" t="str">
        <f t="shared" si="7"/>
        <v>无任务</v>
      </c>
      <c r="I51" s="8"/>
      <c r="J51" s="6" t="s">
        <v>422</v>
      </c>
    </row>
    <row r="52" ht="20" customHeight="1" spans="1:10">
      <c r="A52" s="6" t="s">
        <v>228</v>
      </c>
      <c r="B52" s="17">
        <v>46286</v>
      </c>
      <c r="C52" s="17">
        <v>46292</v>
      </c>
      <c r="D52" s="6" t="str">
        <f t="shared" si="3"/>
        <v>无</v>
      </c>
      <c r="E52" s="6">
        <f t="shared" si="4"/>
        <v>0</v>
      </c>
      <c r="F52" s="63">
        <f t="shared" si="5"/>
        <v>0</v>
      </c>
      <c r="G52" s="16">
        <f t="shared" si="6"/>
        <v>0</v>
      </c>
      <c r="H52" s="6" t="str">
        <f t="shared" si="7"/>
        <v>无任务</v>
      </c>
      <c r="I52" s="8"/>
      <c r="J52" s="6" t="s">
        <v>422</v>
      </c>
    </row>
    <row r="53" ht="20" customHeight="1" spans="1:10">
      <c r="A53" s="6" t="s">
        <v>228</v>
      </c>
      <c r="B53" s="17">
        <v>46293</v>
      </c>
      <c r="C53" s="17">
        <v>46299</v>
      </c>
      <c r="D53" s="6" t="str">
        <f t="shared" si="3"/>
        <v>无</v>
      </c>
      <c r="E53" s="6">
        <f t="shared" si="4"/>
        <v>0</v>
      </c>
      <c r="F53" s="63">
        <f t="shared" si="5"/>
        <v>0</v>
      </c>
      <c r="G53" s="16">
        <f t="shared" si="6"/>
        <v>0</v>
      </c>
      <c r="H53" s="6" t="str">
        <f t="shared" si="7"/>
        <v>无任务</v>
      </c>
      <c r="I53" s="8"/>
      <c r="J53" s="6" t="s">
        <v>422</v>
      </c>
    </row>
    <row r="54" ht="20" customHeight="1" spans="1:10">
      <c r="A54" s="6" t="s">
        <v>228</v>
      </c>
      <c r="B54" s="17">
        <v>46300</v>
      </c>
      <c r="C54" s="17">
        <v>46306</v>
      </c>
      <c r="D54" s="6" t="str">
        <f t="shared" si="3"/>
        <v>无</v>
      </c>
      <c r="E54" s="6">
        <f t="shared" si="4"/>
        <v>0</v>
      </c>
      <c r="F54" s="63">
        <f t="shared" si="5"/>
        <v>0</v>
      </c>
      <c r="G54" s="16">
        <f t="shared" si="6"/>
        <v>0</v>
      </c>
      <c r="H54" s="6" t="str">
        <f t="shared" si="7"/>
        <v>无任务</v>
      </c>
      <c r="I54" s="8"/>
      <c r="J54" s="6" t="s">
        <v>422</v>
      </c>
    </row>
    <row r="55" ht="48" customHeight="1" spans="1:10">
      <c r="A55" s="6" t="s">
        <v>228</v>
      </c>
      <c r="B55" s="17">
        <v>46307</v>
      </c>
      <c r="C55" s="17">
        <v>46313</v>
      </c>
      <c r="D55" s="6" t="str">
        <f t="shared" si="3"/>
        <v>有</v>
      </c>
      <c r="E55" s="6">
        <f t="shared" si="4"/>
        <v>2</v>
      </c>
      <c r="F55" s="63">
        <f t="shared" si="5"/>
        <v>40</v>
      </c>
      <c r="G55" s="16">
        <f t="shared" si="6"/>
        <v>1</v>
      </c>
      <c r="H55" s="6" t="str">
        <f t="shared" si="7"/>
        <v>高负荷</v>
      </c>
      <c r="I55" s="8"/>
      <c r="J55" s="6" t="s">
        <v>426</v>
      </c>
    </row>
    <row r="56" ht="48" customHeight="1" spans="1:10">
      <c r="A56" s="6" t="s">
        <v>228</v>
      </c>
      <c r="B56" s="17">
        <v>46314</v>
      </c>
      <c r="C56" s="17">
        <v>46320</v>
      </c>
      <c r="D56" s="6" t="str">
        <f t="shared" si="3"/>
        <v>有</v>
      </c>
      <c r="E56" s="6">
        <f t="shared" si="4"/>
        <v>2</v>
      </c>
      <c r="F56" s="63">
        <f t="shared" si="5"/>
        <v>40</v>
      </c>
      <c r="G56" s="16">
        <f t="shared" si="6"/>
        <v>1</v>
      </c>
      <c r="H56" s="6" t="str">
        <f t="shared" si="7"/>
        <v>高负荷</v>
      </c>
      <c r="I56" s="8"/>
      <c r="J56" s="6" t="s">
        <v>426</v>
      </c>
    </row>
    <row r="57" ht="48" customHeight="1" spans="1:10">
      <c r="A57" s="6" t="s">
        <v>228</v>
      </c>
      <c r="B57" s="17">
        <v>46321</v>
      </c>
      <c r="C57" s="17">
        <v>46327</v>
      </c>
      <c r="D57" s="6" t="str">
        <f t="shared" si="3"/>
        <v>有</v>
      </c>
      <c r="E57" s="6">
        <f t="shared" si="4"/>
        <v>2</v>
      </c>
      <c r="F57" s="63">
        <f t="shared" si="5"/>
        <v>40</v>
      </c>
      <c r="G57" s="16">
        <f t="shared" si="6"/>
        <v>1</v>
      </c>
      <c r="H57" s="6" t="str">
        <f t="shared" si="7"/>
        <v>高负荷</v>
      </c>
      <c r="I57" s="8"/>
      <c r="J57" s="6" t="s">
        <v>426</v>
      </c>
    </row>
    <row r="58" ht="48" customHeight="1" spans="1:10">
      <c r="A58" s="6" t="s">
        <v>228</v>
      </c>
      <c r="B58" s="17">
        <v>46328</v>
      </c>
      <c r="C58" s="17">
        <v>46334</v>
      </c>
      <c r="D58" s="6" t="str">
        <f t="shared" si="3"/>
        <v>有</v>
      </c>
      <c r="E58" s="6">
        <f t="shared" si="4"/>
        <v>2</v>
      </c>
      <c r="F58" s="63">
        <f t="shared" si="5"/>
        <v>40</v>
      </c>
      <c r="G58" s="16">
        <f t="shared" si="6"/>
        <v>1</v>
      </c>
      <c r="H58" s="6" t="str">
        <f t="shared" si="7"/>
        <v>高负荷</v>
      </c>
      <c r="I58" s="8"/>
      <c r="J58" s="6" t="s">
        <v>426</v>
      </c>
    </row>
    <row r="59" ht="48" customHeight="1" spans="1:10">
      <c r="A59" s="6" t="s">
        <v>228</v>
      </c>
      <c r="B59" s="17">
        <v>46335</v>
      </c>
      <c r="C59" s="17">
        <v>46341</v>
      </c>
      <c r="D59" s="6" t="str">
        <f t="shared" si="3"/>
        <v>有</v>
      </c>
      <c r="E59" s="6">
        <f t="shared" si="4"/>
        <v>2</v>
      </c>
      <c r="F59" s="63">
        <f t="shared" si="5"/>
        <v>40</v>
      </c>
      <c r="G59" s="16">
        <f t="shared" si="6"/>
        <v>1</v>
      </c>
      <c r="H59" s="6" t="str">
        <f t="shared" si="7"/>
        <v>高负荷</v>
      </c>
      <c r="I59" s="8"/>
      <c r="J59" s="6" t="s">
        <v>426</v>
      </c>
    </row>
    <row r="60" ht="20" customHeight="1" spans="1:10">
      <c r="A60" s="6" t="s">
        <v>228</v>
      </c>
      <c r="B60" s="17">
        <v>46342</v>
      </c>
      <c r="C60" s="17">
        <v>46348</v>
      </c>
      <c r="D60" s="6" t="str">
        <f t="shared" si="3"/>
        <v>无</v>
      </c>
      <c r="E60" s="6">
        <f t="shared" si="4"/>
        <v>0</v>
      </c>
      <c r="F60" s="63">
        <f t="shared" si="5"/>
        <v>0</v>
      </c>
      <c r="G60" s="16">
        <f t="shared" si="6"/>
        <v>0</v>
      </c>
      <c r="H60" s="6" t="str">
        <f t="shared" si="7"/>
        <v>无任务</v>
      </c>
      <c r="I60" s="8"/>
      <c r="J60" s="6" t="s">
        <v>422</v>
      </c>
    </row>
    <row r="61" ht="20" customHeight="1" spans="1:10">
      <c r="A61" s="6" t="s">
        <v>228</v>
      </c>
      <c r="B61" s="17">
        <v>46349</v>
      </c>
      <c r="C61" s="17">
        <v>46355</v>
      </c>
      <c r="D61" s="6" t="str">
        <f t="shared" si="3"/>
        <v>无</v>
      </c>
      <c r="E61" s="6">
        <f t="shared" si="4"/>
        <v>0</v>
      </c>
      <c r="F61" s="63">
        <f t="shared" si="5"/>
        <v>0</v>
      </c>
      <c r="G61" s="16">
        <f t="shared" si="6"/>
        <v>0</v>
      </c>
      <c r="H61" s="6" t="str">
        <f t="shared" si="7"/>
        <v>无任务</v>
      </c>
      <c r="I61" s="8"/>
      <c r="J61" s="6" t="s">
        <v>422</v>
      </c>
    </row>
    <row r="62" ht="48" customHeight="1" spans="1:10">
      <c r="A62" s="6" t="s">
        <v>400</v>
      </c>
      <c r="B62" s="17">
        <v>46195</v>
      </c>
      <c r="C62" s="17">
        <v>46201</v>
      </c>
      <c r="D62" s="6" t="str">
        <f t="shared" si="3"/>
        <v>有</v>
      </c>
      <c r="E62" s="6">
        <f t="shared" si="4"/>
        <v>3</v>
      </c>
      <c r="F62" s="63">
        <f t="shared" si="5"/>
        <v>40</v>
      </c>
      <c r="G62" s="16">
        <f t="shared" si="6"/>
        <v>1</v>
      </c>
      <c r="H62" s="6" t="str">
        <f t="shared" si="7"/>
        <v>高负荷</v>
      </c>
      <c r="I62" s="8"/>
      <c r="J62" s="6" t="s">
        <v>412</v>
      </c>
    </row>
    <row r="63" ht="48" customHeight="1" spans="1:10">
      <c r="A63" s="6" t="s">
        <v>400</v>
      </c>
      <c r="B63" s="17">
        <v>46202</v>
      </c>
      <c r="C63" s="17">
        <v>46208</v>
      </c>
      <c r="D63" s="6" t="str">
        <f t="shared" si="3"/>
        <v>有</v>
      </c>
      <c r="E63" s="6">
        <f t="shared" si="4"/>
        <v>3</v>
      </c>
      <c r="F63" s="63">
        <f t="shared" si="5"/>
        <v>40</v>
      </c>
      <c r="G63" s="16">
        <f t="shared" si="6"/>
        <v>1</v>
      </c>
      <c r="H63" s="6" t="str">
        <f t="shared" si="7"/>
        <v>高负荷</v>
      </c>
      <c r="I63" s="8"/>
      <c r="J63" s="6" t="s">
        <v>412</v>
      </c>
    </row>
    <row r="64" ht="48" customHeight="1" spans="1:10">
      <c r="A64" s="6" t="s">
        <v>400</v>
      </c>
      <c r="B64" s="17">
        <v>46209</v>
      </c>
      <c r="C64" s="17">
        <v>46215</v>
      </c>
      <c r="D64" s="6" t="str">
        <f t="shared" si="3"/>
        <v>有</v>
      </c>
      <c r="E64" s="6">
        <f t="shared" si="4"/>
        <v>25</v>
      </c>
      <c r="F64" s="63">
        <f t="shared" si="5"/>
        <v>40</v>
      </c>
      <c r="G64" s="16">
        <f t="shared" si="6"/>
        <v>1</v>
      </c>
      <c r="H64" s="6" t="str">
        <f t="shared" si="7"/>
        <v>高负荷</v>
      </c>
      <c r="I64" s="8"/>
      <c r="J64" s="6" t="s">
        <v>427</v>
      </c>
    </row>
    <row r="65" ht="48" customHeight="1" spans="1:10">
      <c r="A65" s="6" t="s">
        <v>400</v>
      </c>
      <c r="B65" s="17">
        <v>46216</v>
      </c>
      <c r="C65" s="17">
        <v>46222</v>
      </c>
      <c r="D65" s="6" t="str">
        <f t="shared" si="3"/>
        <v>有</v>
      </c>
      <c r="E65" s="6">
        <f t="shared" si="4"/>
        <v>25</v>
      </c>
      <c r="F65" s="63">
        <f t="shared" si="5"/>
        <v>40</v>
      </c>
      <c r="G65" s="16">
        <f t="shared" si="6"/>
        <v>1</v>
      </c>
      <c r="H65" s="6" t="str">
        <f t="shared" si="7"/>
        <v>高负荷</v>
      </c>
      <c r="I65" s="8"/>
      <c r="J65" s="6" t="s">
        <v>427</v>
      </c>
    </row>
    <row r="66" ht="48" customHeight="1" spans="1:10">
      <c r="A66" s="6" t="s">
        <v>400</v>
      </c>
      <c r="B66" s="17">
        <v>46223</v>
      </c>
      <c r="C66" s="17">
        <v>46229</v>
      </c>
      <c r="D66" s="6" t="str">
        <f t="shared" si="3"/>
        <v>有</v>
      </c>
      <c r="E66" s="6">
        <f t="shared" si="4"/>
        <v>33</v>
      </c>
      <c r="F66" s="63">
        <f t="shared" si="5"/>
        <v>40</v>
      </c>
      <c r="G66" s="16">
        <f t="shared" si="6"/>
        <v>1</v>
      </c>
      <c r="H66" s="6" t="str">
        <f t="shared" si="7"/>
        <v>高负荷</v>
      </c>
      <c r="I66" s="8"/>
      <c r="J66" s="6" t="s">
        <v>428</v>
      </c>
    </row>
    <row r="67" ht="48" customHeight="1" spans="1:10">
      <c r="A67" s="6" t="s">
        <v>400</v>
      </c>
      <c r="B67" s="17">
        <v>46230</v>
      </c>
      <c r="C67" s="17">
        <v>46236</v>
      </c>
      <c r="D67" s="6" t="str">
        <f t="shared" si="3"/>
        <v>有</v>
      </c>
      <c r="E67" s="6">
        <f t="shared" si="4"/>
        <v>24</v>
      </c>
      <c r="F67" s="63">
        <f t="shared" si="5"/>
        <v>40</v>
      </c>
      <c r="G67" s="16">
        <f t="shared" si="6"/>
        <v>1</v>
      </c>
      <c r="H67" s="6" t="str">
        <f t="shared" si="7"/>
        <v>高负荷</v>
      </c>
      <c r="I67" s="8"/>
      <c r="J67" s="6" t="s">
        <v>415</v>
      </c>
    </row>
    <row r="68" ht="48" customHeight="1" spans="1:10">
      <c r="A68" s="6" t="s">
        <v>400</v>
      </c>
      <c r="B68" s="17">
        <v>46237</v>
      </c>
      <c r="C68" s="17">
        <v>46243</v>
      </c>
      <c r="D68" s="6" t="str">
        <f t="shared" si="3"/>
        <v>有</v>
      </c>
      <c r="E68" s="6">
        <f t="shared" si="4"/>
        <v>27</v>
      </c>
      <c r="F68" s="63">
        <f t="shared" si="5"/>
        <v>40</v>
      </c>
      <c r="G68" s="16">
        <f t="shared" si="6"/>
        <v>1</v>
      </c>
      <c r="H68" s="6" t="str">
        <f t="shared" si="7"/>
        <v>高负荷</v>
      </c>
      <c r="I68" s="8"/>
      <c r="J68" s="6" t="s">
        <v>416</v>
      </c>
    </row>
    <row r="69" ht="48" customHeight="1" spans="1:10">
      <c r="A69" s="6" t="s">
        <v>400</v>
      </c>
      <c r="B69" s="17">
        <v>46244</v>
      </c>
      <c r="C69" s="17">
        <v>46250</v>
      </c>
      <c r="D69" s="6" t="str">
        <f t="shared" si="3"/>
        <v>有</v>
      </c>
      <c r="E69" s="6">
        <f t="shared" si="4"/>
        <v>26</v>
      </c>
      <c r="F69" s="63">
        <f t="shared" si="5"/>
        <v>40</v>
      </c>
      <c r="G69" s="16">
        <f t="shared" si="6"/>
        <v>1</v>
      </c>
      <c r="H69" s="6" t="str">
        <f t="shared" si="7"/>
        <v>高负荷</v>
      </c>
      <c r="I69" s="8"/>
      <c r="J69" s="6" t="s">
        <v>417</v>
      </c>
    </row>
    <row r="70" ht="48" customHeight="1" spans="1:10">
      <c r="A70" s="6" t="s">
        <v>400</v>
      </c>
      <c r="B70" s="17">
        <v>46251</v>
      </c>
      <c r="C70" s="17">
        <v>46257</v>
      </c>
      <c r="D70" s="6" t="str">
        <f t="shared" si="3"/>
        <v>有</v>
      </c>
      <c r="E70" s="6">
        <f t="shared" si="4"/>
        <v>26</v>
      </c>
      <c r="F70" s="63">
        <f t="shared" si="5"/>
        <v>40</v>
      </c>
      <c r="G70" s="16">
        <f t="shared" si="6"/>
        <v>1</v>
      </c>
      <c r="H70" s="6" t="str">
        <f t="shared" si="7"/>
        <v>高负荷</v>
      </c>
      <c r="I70" s="8"/>
      <c r="J70" s="6" t="s">
        <v>417</v>
      </c>
    </row>
    <row r="71" ht="48" customHeight="1" spans="1:10">
      <c r="A71" s="6" t="s">
        <v>400</v>
      </c>
      <c r="B71" s="17">
        <v>46258</v>
      </c>
      <c r="C71" s="17">
        <v>46264</v>
      </c>
      <c r="D71" s="6" t="str">
        <f t="shared" si="3"/>
        <v>有</v>
      </c>
      <c r="E71" s="6">
        <f t="shared" si="4"/>
        <v>23</v>
      </c>
      <c r="F71" s="63">
        <f t="shared" si="5"/>
        <v>40</v>
      </c>
      <c r="G71" s="16">
        <f t="shared" si="6"/>
        <v>1</v>
      </c>
      <c r="H71" s="6" t="str">
        <f t="shared" si="7"/>
        <v>高负荷</v>
      </c>
      <c r="I71" s="8"/>
      <c r="J71" s="6" t="s">
        <v>418</v>
      </c>
    </row>
    <row r="72" ht="48" customHeight="1" spans="1:10">
      <c r="A72" s="6" t="s">
        <v>400</v>
      </c>
      <c r="B72" s="17">
        <v>46265</v>
      </c>
      <c r="C72" s="17">
        <v>46271</v>
      </c>
      <c r="D72" s="6" t="str">
        <f t="shared" si="3"/>
        <v>有</v>
      </c>
      <c r="E72" s="6">
        <f t="shared" si="4"/>
        <v>5</v>
      </c>
      <c r="F72" s="63">
        <f t="shared" si="5"/>
        <v>40</v>
      </c>
      <c r="G72" s="16">
        <f t="shared" si="6"/>
        <v>1</v>
      </c>
      <c r="H72" s="6" t="str">
        <f t="shared" si="7"/>
        <v>高负荷</v>
      </c>
      <c r="I72" s="8"/>
      <c r="J72" s="6" t="s">
        <v>419</v>
      </c>
    </row>
    <row r="73" ht="48" customHeight="1" spans="1:10">
      <c r="A73" s="6" t="s">
        <v>400</v>
      </c>
      <c r="B73" s="17">
        <v>46272</v>
      </c>
      <c r="C73" s="17">
        <v>46278</v>
      </c>
      <c r="D73" s="6" t="str">
        <f t="shared" si="3"/>
        <v>有</v>
      </c>
      <c r="E73" s="6">
        <f t="shared" si="4"/>
        <v>12</v>
      </c>
      <c r="F73" s="63">
        <f t="shared" si="5"/>
        <v>40</v>
      </c>
      <c r="G73" s="16">
        <f t="shared" si="6"/>
        <v>1</v>
      </c>
      <c r="H73" s="6" t="str">
        <f t="shared" si="7"/>
        <v>高负荷</v>
      </c>
      <c r="I73" s="8"/>
      <c r="J73" s="6" t="s">
        <v>420</v>
      </c>
    </row>
    <row r="74" ht="48" customHeight="1" spans="1:10">
      <c r="A74" s="6" t="s">
        <v>400</v>
      </c>
      <c r="B74" s="17">
        <v>46279</v>
      </c>
      <c r="C74" s="17">
        <v>46285</v>
      </c>
      <c r="D74" s="6" t="str">
        <f t="shared" si="3"/>
        <v>有</v>
      </c>
      <c r="E74" s="6">
        <f t="shared" si="4"/>
        <v>12</v>
      </c>
      <c r="F74" s="63">
        <f t="shared" si="5"/>
        <v>40</v>
      </c>
      <c r="G74" s="16">
        <f t="shared" si="6"/>
        <v>1</v>
      </c>
      <c r="H74" s="6" t="str">
        <f t="shared" si="7"/>
        <v>高负荷</v>
      </c>
      <c r="I74" s="8"/>
      <c r="J74" s="6" t="s">
        <v>420</v>
      </c>
    </row>
    <row r="75" ht="48" customHeight="1" spans="1:10">
      <c r="A75" s="6" t="s">
        <v>400</v>
      </c>
      <c r="B75" s="17">
        <v>46286</v>
      </c>
      <c r="C75" s="17">
        <v>46292</v>
      </c>
      <c r="D75" s="6" t="str">
        <f t="shared" si="3"/>
        <v>有</v>
      </c>
      <c r="E75" s="6">
        <f t="shared" si="4"/>
        <v>12</v>
      </c>
      <c r="F75" s="63">
        <f t="shared" si="5"/>
        <v>40</v>
      </c>
      <c r="G75" s="16">
        <f t="shared" si="6"/>
        <v>1</v>
      </c>
      <c r="H75" s="6" t="str">
        <f t="shared" si="7"/>
        <v>高负荷</v>
      </c>
      <c r="I75" s="8"/>
      <c r="J75" s="6" t="s">
        <v>420</v>
      </c>
    </row>
    <row r="76" ht="48" customHeight="1" spans="1:10">
      <c r="A76" s="6" t="s">
        <v>400</v>
      </c>
      <c r="B76" s="17">
        <v>46293</v>
      </c>
      <c r="C76" s="17">
        <v>46299</v>
      </c>
      <c r="D76" s="6" t="str">
        <f t="shared" si="3"/>
        <v>有</v>
      </c>
      <c r="E76" s="6">
        <f t="shared" si="4"/>
        <v>12</v>
      </c>
      <c r="F76" s="63">
        <f t="shared" si="5"/>
        <v>40</v>
      </c>
      <c r="G76" s="16">
        <f t="shared" si="6"/>
        <v>1</v>
      </c>
      <c r="H76" s="6" t="str">
        <f t="shared" si="7"/>
        <v>高负荷</v>
      </c>
      <c r="I76" s="8"/>
      <c r="J76" s="6" t="s">
        <v>420</v>
      </c>
    </row>
    <row r="77" ht="48" customHeight="1" spans="1:10">
      <c r="A77" s="6" t="s">
        <v>400</v>
      </c>
      <c r="B77" s="17">
        <v>46300</v>
      </c>
      <c r="C77" s="17">
        <v>46306</v>
      </c>
      <c r="D77" s="6" t="str">
        <f t="shared" si="3"/>
        <v>有</v>
      </c>
      <c r="E77" s="6">
        <f t="shared" si="4"/>
        <v>12</v>
      </c>
      <c r="F77" s="63">
        <f t="shared" si="5"/>
        <v>40</v>
      </c>
      <c r="G77" s="16">
        <f t="shared" si="6"/>
        <v>1</v>
      </c>
      <c r="H77" s="6" t="str">
        <f t="shared" si="7"/>
        <v>高负荷</v>
      </c>
      <c r="I77" s="8"/>
      <c r="J77" s="6" t="s">
        <v>420</v>
      </c>
    </row>
    <row r="78" ht="48" customHeight="1" spans="1:10">
      <c r="A78" s="6" t="s">
        <v>400</v>
      </c>
      <c r="B78" s="17">
        <v>46307</v>
      </c>
      <c r="C78" s="17">
        <v>46313</v>
      </c>
      <c r="D78" s="6" t="str">
        <f t="shared" si="3"/>
        <v>有</v>
      </c>
      <c r="E78" s="6">
        <f t="shared" si="4"/>
        <v>51</v>
      </c>
      <c r="F78" s="63">
        <f t="shared" si="5"/>
        <v>40</v>
      </c>
      <c r="G78" s="16">
        <f t="shared" si="6"/>
        <v>1</v>
      </c>
      <c r="H78" s="6" t="str">
        <f t="shared" si="7"/>
        <v>高负荷</v>
      </c>
      <c r="I78" s="8"/>
      <c r="J78" s="6" t="s">
        <v>421</v>
      </c>
    </row>
    <row r="79" ht="48" customHeight="1" spans="1:10">
      <c r="A79" s="6" t="s">
        <v>400</v>
      </c>
      <c r="B79" s="17">
        <v>46314</v>
      </c>
      <c r="C79" s="17">
        <v>46320</v>
      </c>
      <c r="D79" s="6" t="str">
        <f t="shared" si="3"/>
        <v>有</v>
      </c>
      <c r="E79" s="6">
        <f t="shared" si="4"/>
        <v>51</v>
      </c>
      <c r="F79" s="63">
        <f t="shared" si="5"/>
        <v>40</v>
      </c>
      <c r="G79" s="16">
        <f t="shared" si="6"/>
        <v>1</v>
      </c>
      <c r="H79" s="6" t="str">
        <f t="shared" si="7"/>
        <v>高负荷</v>
      </c>
      <c r="I79" s="8"/>
      <c r="J79" s="6" t="s">
        <v>421</v>
      </c>
    </row>
    <row r="80" ht="48" customHeight="1" spans="1:10">
      <c r="A80" s="6" t="s">
        <v>400</v>
      </c>
      <c r="B80" s="17">
        <v>46321</v>
      </c>
      <c r="C80" s="17">
        <v>46327</v>
      </c>
      <c r="D80" s="6" t="str">
        <f t="shared" ref="D80:D143" si="8">IF(E80=0,"无","有")</f>
        <v>有</v>
      </c>
      <c r="E80" s="6">
        <f t="shared" ref="E80:E143" si="9">COUNTIFS($L$158:$L$836,A80,$F$158:$F$836,"&lt;="&amp;C80,$G$158:$G$836,"&gt;="&amp;B80)</f>
        <v>51</v>
      </c>
      <c r="F80" s="63">
        <f t="shared" ref="F80:F143" si="10">IF(E80=0,0,40)</f>
        <v>40</v>
      </c>
      <c r="G80" s="16">
        <f t="shared" ref="G80:G143" si="11">F80/40</f>
        <v>1</v>
      </c>
      <c r="H80" s="6" t="str">
        <f t="shared" ref="H80:H143" si="12">IF(E80=0,"无任务",IF(G80&gt;1,"超负荷",IF(G80&gt;0.85,"高负荷",IF(G80&lt;0.4,"低负荷","正常"))))</f>
        <v>高负荷</v>
      </c>
      <c r="I80" s="8"/>
      <c r="J80" s="6" t="s">
        <v>421</v>
      </c>
    </row>
    <row r="81" ht="48" customHeight="1" spans="1:10">
      <c r="A81" s="6" t="s">
        <v>400</v>
      </c>
      <c r="B81" s="17">
        <v>46328</v>
      </c>
      <c r="C81" s="17">
        <v>46334</v>
      </c>
      <c r="D81" s="6" t="str">
        <f t="shared" si="8"/>
        <v>有</v>
      </c>
      <c r="E81" s="6">
        <f t="shared" si="9"/>
        <v>51</v>
      </c>
      <c r="F81" s="63">
        <f t="shared" si="10"/>
        <v>40</v>
      </c>
      <c r="G81" s="16">
        <f t="shared" si="11"/>
        <v>1</v>
      </c>
      <c r="H81" s="6" t="str">
        <f t="shared" si="12"/>
        <v>高负荷</v>
      </c>
      <c r="I81" s="8"/>
      <c r="J81" s="6" t="s">
        <v>421</v>
      </c>
    </row>
    <row r="82" ht="48" customHeight="1" spans="1:10">
      <c r="A82" s="6" t="s">
        <v>400</v>
      </c>
      <c r="B82" s="17">
        <v>46335</v>
      </c>
      <c r="C82" s="17">
        <v>46341</v>
      </c>
      <c r="D82" s="6" t="str">
        <f t="shared" si="8"/>
        <v>有</v>
      </c>
      <c r="E82" s="6">
        <f t="shared" si="9"/>
        <v>51</v>
      </c>
      <c r="F82" s="63">
        <f t="shared" si="10"/>
        <v>40</v>
      </c>
      <c r="G82" s="16">
        <f t="shared" si="11"/>
        <v>1</v>
      </c>
      <c r="H82" s="6" t="str">
        <f t="shared" si="12"/>
        <v>高负荷</v>
      </c>
      <c r="I82" s="8"/>
      <c r="J82" s="6" t="s">
        <v>421</v>
      </c>
    </row>
    <row r="83" ht="20" customHeight="1" spans="1:10">
      <c r="A83" s="6" t="s">
        <v>400</v>
      </c>
      <c r="B83" s="17">
        <v>46342</v>
      </c>
      <c r="C83" s="17">
        <v>46348</v>
      </c>
      <c r="D83" s="6" t="str">
        <f t="shared" si="8"/>
        <v>无</v>
      </c>
      <c r="E83" s="6">
        <f t="shared" si="9"/>
        <v>0</v>
      </c>
      <c r="F83" s="63">
        <f t="shared" si="10"/>
        <v>0</v>
      </c>
      <c r="G83" s="16">
        <f t="shared" si="11"/>
        <v>0</v>
      </c>
      <c r="H83" s="6" t="str">
        <f t="shared" si="12"/>
        <v>无任务</v>
      </c>
      <c r="I83" s="8"/>
      <c r="J83" s="6" t="s">
        <v>422</v>
      </c>
    </row>
    <row r="84" ht="20" customHeight="1" spans="1:10">
      <c r="A84" s="6" t="s">
        <v>400</v>
      </c>
      <c r="B84" s="17">
        <v>46349</v>
      </c>
      <c r="C84" s="17">
        <v>46355</v>
      </c>
      <c r="D84" s="6" t="str">
        <f t="shared" si="8"/>
        <v>无</v>
      </c>
      <c r="E84" s="6">
        <f t="shared" si="9"/>
        <v>0</v>
      </c>
      <c r="F84" s="63">
        <f t="shared" si="10"/>
        <v>0</v>
      </c>
      <c r="G84" s="16">
        <f t="shared" si="11"/>
        <v>0</v>
      </c>
      <c r="H84" s="6" t="str">
        <f t="shared" si="12"/>
        <v>无任务</v>
      </c>
      <c r="I84" s="8"/>
      <c r="J84" s="6" t="s">
        <v>422</v>
      </c>
    </row>
    <row r="85" ht="20" customHeight="1" spans="1:10">
      <c r="A85" s="6" t="s">
        <v>68</v>
      </c>
      <c r="B85" s="17">
        <v>46195</v>
      </c>
      <c r="C85" s="17">
        <v>46201</v>
      </c>
      <c r="D85" s="6" t="str">
        <f t="shared" si="8"/>
        <v>无</v>
      </c>
      <c r="E85" s="6">
        <f t="shared" si="9"/>
        <v>0</v>
      </c>
      <c r="F85" s="63">
        <f t="shared" si="10"/>
        <v>0</v>
      </c>
      <c r="G85" s="16">
        <f t="shared" si="11"/>
        <v>0</v>
      </c>
      <c r="H85" s="6" t="str">
        <f t="shared" si="12"/>
        <v>无任务</v>
      </c>
      <c r="I85" s="8"/>
      <c r="J85" s="6" t="s">
        <v>422</v>
      </c>
    </row>
    <row r="86" ht="48" customHeight="1" spans="1:10">
      <c r="A86" s="6" t="s">
        <v>68</v>
      </c>
      <c r="B86" s="17">
        <v>46202</v>
      </c>
      <c r="C86" s="17">
        <v>46208</v>
      </c>
      <c r="D86" s="6" t="str">
        <f t="shared" si="8"/>
        <v>有</v>
      </c>
      <c r="E86" s="6">
        <f t="shared" si="9"/>
        <v>3</v>
      </c>
      <c r="F86" s="63">
        <f t="shared" si="10"/>
        <v>40</v>
      </c>
      <c r="G86" s="16">
        <f t="shared" si="11"/>
        <v>1</v>
      </c>
      <c r="H86" s="6" t="str">
        <f t="shared" si="12"/>
        <v>高负荷</v>
      </c>
      <c r="I86" s="8"/>
      <c r="J86" s="6" t="s">
        <v>412</v>
      </c>
    </row>
    <row r="87" ht="48" customHeight="1" spans="1:10">
      <c r="A87" s="6" t="s">
        <v>68</v>
      </c>
      <c r="B87" s="17">
        <v>46209</v>
      </c>
      <c r="C87" s="17">
        <v>46215</v>
      </c>
      <c r="D87" s="6" t="str">
        <f t="shared" si="8"/>
        <v>有</v>
      </c>
      <c r="E87" s="6">
        <f t="shared" si="9"/>
        <v>3</v>
      </c>
      <c r="F87" s="63">
        <f t="shared" si="10"/>
        <v>40</v>
      </c>
      <c r="G87" s="16">
        <f t="shared" si="11"/>
        <v>1</v>
      </c>
      <c r="H87" s="6" t="str">
        <f t="shared" si="12"/>
        <v>高负荷</v>
      </c>
      <c r="I87" s="8"/>
      <c r="J87" s="6" t="s">
        <v>412</v>
      </c>
    </row>
    <row r="88" ht="48" customHeight="1" spans="1:10">
      <c r="A88" s="6" t="s">
        <v>68</v>
      </c>
      <c r="B88" s="17">
        <v>46216</v>
      </c>
      <c r="C88" s="17">
        <v>46222</v>
      </c>
      <c r="D88" s="6" t="str">
        <f t="shared" si="8"/>
        <v>有</v>
      </c>
      <c r="E88" s="6">
        <f t="shared" si="9"/>
        <v>35</v>
      </c>
      <c r="F88" s="63">
        <f t="shared" si="10"/>
        <v>40</v>
      </c>
      <c r="G88" s="16">
        <f t="shared" si="11"/>
        <v>1</v>
      </c>
      <c r="H88" s="6" t="str">
        <f t="shared" si="12"/>
        <v>高负荷</v>
      </c>
      <c r="I88" s="8"/>
      <c r="J88" s="6" t="s">
        <v>429</v>
      </c>
    </row>
    <row r="89" ht="48" customHeight="1" spans="1:10">
      <c r="A89" s="6" t="s">
        <v>68</v>
      </c>
      <c r="B89" s="17">
        <v>46223</v>
      </c>
      <c r="C89" s="17">
        <v>46229</v>
      </c>
      <c r="D89" s="6" t="str">
        <f t="shared" si="8"/>
        <v>有</v>
      </c>
      <c r="E89" s="6">
        <f t="shared" si="9"/>
        <v>35</v>
      </c>
      <c r="F89" s="63">
        <f t="shared" si="10"/>
        <v>40</v>
      </c>
      <c r="G89" s="16">
        <f t="shared" si="11"/>
        <v>1</v>
      </c>
      <c r="H89" s="6" t="str">
        <f t="shared" si="12"/>
        <v>高负荷</v>
      </c>
      <c r="I89" s="8"/>
      <c r="J89" s="6" t="s">
        <v>429</v>
      </c>
    </row>
    <row r="90" ht="48" customHeight="1" spans="1:10">
      <c r="A90" s="6" t="s">
        <v>68</v>
      </c>
      <c r="B90" s="17">
        <v>46230</v>
      </c>
      <c r="C90" s="17">
        <v>46236</v>
      </c>
      <c r="D90" s="6" t="str">
        <f t="shared" si="8"/>
        <v>有</v>
      </c>
      <c r="E90" s="6">
        <f t="shared" si="9"/>
        <v>35</v>
      </c>
      <c r="F90" s="63">
        <f t="shared" si="10"/>
        <v>40</v>
      </c>
      <c r="G90" s="16">
        <f t="shared" si="11"/>
        <v>1</v>
      </c>
      <c r="H90" s="6" t="str">
        <f t="shared" si="12"/>
        <v>高负荷</v>
      </c>
      <c r="I90" s="8"/>
      <c r="J90" s="6" t="s">
        <v>429</v>
      </c>
    </row>
    <row r="91" ht="20" customHeight="1" spans="1:10">
      <c r="A91" s="6" t="s">
        <v>68</v>
      </c>
      <c r="B91" s="17">
        <v>46237</v>
      </c>
      <c r="C91" s="17">
        <v>46243</v>
      </c>
      <c r="D91" s="6" t="str">
        <f t="shared" si="8"/>
        <v>无</v>
      </c>
      <c r="E91" s="6">
        <f t="shared" si="9"/>
        <v>0</v>
      </c>
      <c r="F91" s="63">
        <f t="shared" si="10"/>
        <v>0</v>
      </c>
      <c r="G91" s="16">
        <f t="shared" si="11"/>
        <v>0</v>
      </c>
      <c r="H91" s="6" t="str">
        <f t="shared" si="12"/>
        <v>无任务</v>
      </c>
      <c r="I91" s="8"/>
      <c r="J91" s="6" t="s">
        <v>422</v>
      </c>
    </row>
    <row r="92" ht="20" customHeight="1" spans="1:10">
      <c r="A92" s="6" t="s">
        <v>68</v>
      </c>
      <c r="B92" s="17">
        <v>46244</v>
      </c>
      <c r="C92" s="17">
        <v>46250</v>
      </c>
      <c r="D92" s="6" t="str">
        <f t="shared" si="8"/>
        <v>无</v>
      </c>
      <c r="E92" s="6">
        <f t="shared" si="9"/>
        <v>0</v>
      </c>
      <c r="F92" s="63">
        <f t="shared" si="10"/>
        <v>0</v>
      </c>
      <c r="G92" s="16">
        <f t="shared" si="11"/>
        <v>0</v>
      </c>
      <c r="H92" s="6" t="str">
        <f t="shared" si="12"/>
        <v>无任务</v>
      </c>
      <c r="I92" s="8"/>
      <c r="J92" s="6" t="s">
        <v>422</v>
      </c>
    </row>
    <row r="93" ht="48" customHeight="1" spans="1:10">
      <c r="A93" s="6" t="s">
        <v>68</v>
      </c>
      <c r="B93" s="17">
        <v>46251</v>
      </c>
      <c r="C93" s="17">
        <v>46257</v>
      </c>
      <c r="D93" s="6" t="str">
        <f t="shared" si="8"/>
        <v>有</v>
      </c>
      <c r="E93" s="6">
        <f t="shared" si="9"/>
        <v>27</v>
      </c>
      <c r="F93" s="63">
        <f t="shared" si="10"/>
        <v>40</v>
      </c>
      <c r="G93" s="16">
        <f t="shared" si="11"/>
        <v>1</v>
      </c>
      <c r="H93" s="6" t="str">
        <f t="shared" si="12"/>
        <v>高负荷</v>
      </c>
      <c r="I93" s="8"/>
      <c r="J93" s="6" t="s">
        <v>430</v>
      </c>
    </row>
    <row r="94" ht="48" customHeight="1" spans="1:10">
      <c r="A94" s="6" t="s">
        <v>68</v>
      </c>
      <c r="B94" s="17">
        <v>46258</v>
      </c>
      <c r="C94" s="17">
        <v>46264</v>
      </c>
      <c r="D94" s="6" t="str">
        <f t="shared" si="8"/>
        <v>有</v>
      </c>
      <c r="E94" s="6">
        <f t="shared" si="9"/>
        <v>27</v>
      </c>
      <c r="F94" s="63">
        <f t="shared" si="10"/>
        <v>40</v>
      </c>
      <c r="G94" s="16">
        <f t="shared" si="11"/>
        <v>1</v>
      </c>
      <c r="H94" s="6" t="str">
        <f t="shared" si="12"/>
        <v>高负荷</v>
      </c>
      <c r="I94" s="8"/>
      <c r="J94" s="6" t="s">
        <v>430</v>
      </c>
    </row>
    <row r="95" ht="48" customHeight="1" spans="1:10">
      <c r="A95" s="6" t="s">
        <v>68</v>
      </c>
      <c r="B95" s="17">
        <v>46265</v>
      </c>
      <c r="C95" s="17">
        <v>46271</v>
      </c>
      <c r="D95" s="6" t="str">
        <f t="shared" si="8"/>
        <v>有</v>
      </c>
      <c r="E95" s="6">
        <f t="shared" si="9"/>
        <v>27</v>
      </c>
      <c r="F95" s="63">
        <f t="shared" si="10"/>
        <v>40</v>
      </c>
      <c r="G95" s="16">
        <f t="shared" si="11"/>
        <v>1</v>
      </c>
      <c r="H95" s="6" t="str">
        <f t="shared" si="12"/>
        <v>高负荷</v>
      </c>
      <c r="I95" s="8"/>
      <c r="J95" s="6" t="s">
        <v>430</v>
      </c>
    </row>
    <row r="96" ht="48" customHeight="1" spans="1:10">
      <c r="A96" s="6" t="s">
        <v>68</v>
      </c>
      <c r="B96" s="17">
        <v>46272</v>
      </c>
      <c r="C96" s="17">
        <v>46278</v>
      </c>
      <c r="D96" s="6" t="str">
        <f t="shared" si="8"/>
        <v>有</v>
      </c>
      <c r="E96" s="6">
        <f t="shared" si="9"/>
        <v>5</v>
      </c>
      <c r="F96" s="63">
        <f t="shared" si="10"/>
        <v>40</v>
      </c>
      <c r="G96" s="16">
        <f t="shared" si="11"/>
        <v>1</v>
      </c>
      <c r="H96" s="6" t="str">
        <f t="shared" si="12"/>
        <v>高负荷</v>
      </c>
      <c r="I96" s="8"/>
      <c r="J96" s="6" t="s">
        <v>419</v>
      </c>
    </row>
    <row r="97" ht="20" customHeight="1" spans="1:10">
      <c r="A97" s="6" t="s">
        <v>68</v>
      </c>
      <c r="B97" s="17">
        <v>46279</v>
      </c>
      <c r="C97" s="17">
        <v>46285</v>
      </c>
      <c r="D97" s="6" t="str">
        <f t="shared" si="8"/>
        <v>无</v>
      </c>
      <c r="E97" s="6">
        <f t="shared" si="9"/>
        <v>0</v>
      </c>
      <c r="F97" s="63">
        <f t="shared" si="10"/>
        <v>0</v>
      </c>
      <c r="G97" s="16">
        <f t="shared" si="11"/>
        <v>0</v>
      </c>
      <c r="H97" s="6" t="str">
        <f t="shared" si="12"/>
        <v>无任务</v>
      </c>
      <c r="I97" s="8"/>
      <c r="J97" s="6" t="s">
        <v>422</v>
      </c>
    </row>
    <row r="98" ht="20" customHeight="1" spans="1:10">
      <c r="A98" s="6" t="s">
        <v>68</v>
      </c>
      <c r="B98" s="17">
        <v>46286</v>
      </c>
      <c r="C98" s="17">
        <v>46292</v>
      </c>
      <c r="D98" s="6" t="str">
        <f t="shared" si="8"/>
        <v>无</v>
      </c>
      <c r="E98" s="6">
        <f t="shared" si="9"/>
        <v>0</v>
      </c>
      <c r="F98" s="63">
        <f t="shared" si="10"/>
        <v>0</v>
      </c>
      <c r="G98" s="16">
        <f t="shared" si="11"/>
        <v>0</v>
      </c>
      <c r="H98" s="6" t="str">
        <f t="shared" si="12"/>
        <v>无任务</v>
      </c>
      <c r="I98" s="8"/>
      <c r="J98" s="6" t="s">
        <v>422</v>
      </c>
    </row>
    <row r="99" ht="20" customHeight="1" spans="1:10">
      <c r="A99" s="6" t="s">
        <v>68</v>
      </c>
      <c r="B99" s="17">
        <v>46293</v>
      </c>
      <c r="C99" s="17">
        <v>46299</v>
      </c>
      <c r="D99" s="6" t="str">
        <f t="shared" si="8"/>
        <v>无</v>
      </c>
      <c r="E99" s="6">
        <f t="shared" si="9"/>
        <v>0</v>
      </c>
      <c r="F99" s="63">
        <f t="shared" si="10"/>
        <v>0</v>
      </c>
      <c r="G99" s="16">
        <f t="shared" si="11"/>
        <v>0</v>
      </c>
      <c r="H99" s="6" t="str">
        <f t="shared" si="12"/>
        <v>无任务</v>
      </c>
      <c r="I99" s="8"/>
      <c r="J99" s="6" t="s">
        <v>422</v>
      </c>
    </row>
    <row r="100" ht="20" customHeight="1" spans="1:10">
      <c r="A100" s="6" t="s">
        <v>68</v>
      </c>
      <c r="B100" s="17">
        <v>46300</v>
      </c>
      <c r="C100" s="17">
        <v>46306</v>
      </c>
      <c r="D100" s="6" t="str">
        <f t="shared" si="8"/>
        <v>无</v>
      </c>
      <c r="E100" s="6">
        <f t="shared" si="9"/>
        <v>0</v>
      </c>
      <c r="F100" s="63">
        <f t="shared" si="10"/>
        <v>0</v>
      </c>
      <c r="G100" s="16">
        <f t="shared" si="11"/>
        <v>0</v>
      </c>
      <c r="H100" s="6" t="str">
        <f t="shared" si="12"/>
        <v>无任务</v>
      </c>
      <c r="I100" s="8"/>
      <c r="J100" s="6" t="s">
        <v>422</v>
      </c>
    </row>
    <row r="101" ht="48" customHeight="1" spans="1:10">
      <c r="A101" s="6" t="s">
        <v>68</v>
      </c>
      <c r="B101" s="17">
        <v>46307</v>
      </c>
      <c r="C101" s="17">
        <v>46313</v>
      </c>
      <c r="D101" s="6" t="str">
        <f t="shared" si="8"/>
        <v>有</v>
      </c>
      <c r="E101" s="6">
        <f t="shared" si="9"/>
        <v>16</v>
      </c>
      <c r="F101" s="63">
        <f t="shared" si="10"/>
        <v>40</v>
      </c>
      <c r="G101" s="16">
        <f t="shared" si="11"/>
        <v>1</v>
      </c>
      <c r="H101" s="6" t="str">
        <f t="shared" si="12"/>
        <v>高负荷</v>
      </c>
      <c r="I101" s="8"/>
      <c r="J101" s="6" t="s">
        <v>431</v>
      </c>
    </row>
    <row r="102" ht="48" customHeight="1" spans="1:10">
      <c r="A102" s="6" t="s">
        <v>68</v>
      </c>
      <c r="B102" s="17">
        <v>46314</v>
      </c>
      <c r="C102" s="17">
        <v>46320</v>
      </c>
      <c r="D102" s="6" t="str">
        <f t="shared" si="8"/>
        <v>有</v>
      </c>
      <c r="E102" s="6">
        <f t="shared" si="9"/>
        <v>16</v>
      </c>
      <c r="F102" s="63">
        <f t="shared" si="10"/>
        <v>40</v>
      </c>
      <c r="G102" s="16">
        <f t="shared" si="11"/>
        <v>1</v>
      </c>
      <c r="H102" s="6" t="str">
        <f t="shared" si="12"/>
        <v>高负荷</v>
      </c>
      <c r="I102" s="8"/>
      <c r="J102" s="6" t="s">
        <v>431</v>
      </c>
    </row>
    <row r="103" ht="20" customHeight="1" spans="1:10">
      <c r="A103" s="6" t="s">
        <v>68</v>
      </c>
      <c r="B103" s="17">
        <v>46321</v>
      </c>
      <c r="C103" s="17">
        <v>46327</v>
      </c>
      <c r="D103" s="6" t="str">
        <f t="shared" si="8"/>
        <v>无</v>
      </c>
      <c r="E103" s="6">
        <f t="shared" si="9"/>
        <v>0</v>
      </c>
      <c r="F103" s="63">
        <f t="shared" si="10"/>
        <v>0</v>
      </c>
      <c r="G103" s="16">
        <f t="shared" si="11"/>
        <v>0</v>
      </c>
      <c r="H103" s="6" t="str">
        <f t="shared" si="12"/>
        <v>无任务</v>
      </c>
      <c r="I103" s="8"/>
      <c r="J103" s="6" t="s">
        <v>422</v>
      </c>
    </row>
    <row r="104" ht="20" customHeight="1" spans="1:10">
      <c r="A104" s="6" t="s">
        <v>68</v>
      </c>
      <c r="B104" s="17">
        <v>46328</v>
      </c>
      <c r="C104" s="17">
        <v>46334</v>
      </c>
      <c r="D104" s="6" t="str">
        <f t="shared" si="8"/>
        <v>无</v>
      </c>
      <c r="E104" s="6">
        <f t="shared" si="9"/>
        <v>0</v>
      </c>
      <c r="F104" s="63">
        <f t="shared" si="10"/>
        <v>0</v>
      </c>
      <c r="G104" s="16">
        <f t="shared" si="11"/>
        <v>0</v>
      </c>
      <c r="H104" s="6" t="str">
        <f t="shared" si="12"/>
        <v>无任务</v>
      </c>
      <c r="I104" s="8"/>
      <c r="J104" s="6" t="s">
        <v>422</v>
      </c>
    </row>
    <row r="105" ht="20" customHeight="1" spans="1:10">
      <c r="A105" s="6" t="s">
        <v>68</v>
      </c>
      <c r="B105" s="17">
        <v>46335</v>
      </c>
      <c r="C105" s="17">
        <v>46341</v>
      </c>
      <c r="D105" s="6" t="str">
        <f t="shared" si="8"/>
        <v>无</v>
      </c>
      <c r="E105" s="6">
        <f t="shared" si="9"/>
        <v>0</v>
      </c>
      <c r="F105" s="63">
        <f t="shared" si="10"/>
        <v>0</v>
      </c>
      <c r="G105" s="16">
        <f t="shared" si="11"/>
        <v>0</v>
      </c>
      <c r="H105" s="6" t="str">
        <f t="shared" si="12"/>
        <v>无任务</v>
      </c>
      <c r="I105" s="8"/>
      <c r="J105" s="6" t="s">
        <v>422</v>
      </c>
    </row>
    <row r="106" ht="48" customHeight="1" spans="1:10">
      <c r="A106" s="6" t="s">
        <v>68</v>
      </c>
      <c r="B106" s="17">
        <v>46342</v>
      </c>
      <c r="C106" s="17">
        <v>46348</v>
      </c>
      <c r="D106" s="6" t="str">
        <f t="shared" si="8"/>
        <v>有</v>
      </c>
      <c r="E106" s="6">
        <f t="shared" si="9"/>
        <v>53</v>
      </c>
      <c r="F106" s="63">
        <f t="shared" si="10"/>
        <v>40</v>
      </c>
      <c r="G106" s="16">
        <f t="shared" si="11"/>
        <v>1</v>
      </c>
      <c r="H106" s="6" t="str">
        <f t="shared" si="12"/>
        <v>高负荷</v>
      </c>
      <c r="I106" s="8"/>
      <c r="J106" s="6" t="s">
        <v>432</v>
      </c>
    </row>
    <row r="107" ht="48" customHeight="1" spans="1:10">
      <c r="A107" s="6" t="s">
        <v>68</v>
      </c>
      <c r="B107" s="17">
        <v>46349</v>
      </c>
      <c r="C107" s="17">
        <v>46355</v>
      </c>
      <c r="D107" s="6" t="str">
        <f t="shared" si="8"/>
        <v>有</v>
      </c>
      <c r="E107" s="6">
        <f t="shared" si="9"/>
        <v>53</v>
      </c>
      <c r="F107" s="63">
        <f t="shared" si="10"/>
        <v>40</v>
      </c>
      <c r="G107" s="16">
        <f t="shared" si="11"/>
        <v>1</v>
      </c>
      <c r="H107" s="6" t="str">
        <f t="shared" si="12"/>
        <v>高负荷</v>
      </c>
      <c r="I107" s="8"/>
      <c r="J107" s="6" t="s">
        <v>432</v>
      </c>
    </row>
    <row r="108" ht="48" customHeight="1" spans="1:10">
      <c r="A108" s="6" t="s">
        <v>67</v>
      </c>
      <c r="B108" s="17">
        <v>46195</v>
      </c>
      <c r="C108" s="17">
        <v>46201</v>
      </c>
      <c r="D108" s="6" t="str">
        <f t="shared" si="8"/>
        <v>有</v>
      </c>
      <c r="E108" s="6">
        <f t="shared" si="9"/>
        <v>3</v>
      </c>
      <c r="F108" s="63">
        <f t="shared" si="10"/>
        <v>40</v>
      </c>
      <c r="G108" s="16">
        <f t="shared" si="11"/>
        <v>1</v>
      </c>
      <c r="H108" s="6" t="str">
        <f t="shared" si="12"/>
        <v>高负荷</v>
      </c>
      <c r="I108" s="8"/>
      <c r="J108" s="6" t="s">
        <v>412</v>
      </c>
    </row>
    <row r="109" ht="48" customHeight="1" spans="1:10">
      <c r="A109" s="6" t="s">
        <v>67</v>
      </c>
      <c r="B109" s="17">
        <v>46202</v>
      </c>
      <c r="C109" s="17">
        <v>46208</v>
      </c>
      <c r="D109" s="6" t="str">
        <f t="shared" si="8"/>
        <v>有</v>
      </c>
      <c r="E109" s="6">
        <f t="shared" si="9"/>
        <v>3</v>
      </c>
      <c r="F109" s="63">
        <f t="shared" si="10"/>
        <v>40</v>
      </c>
      <c r="G109" s="16">
        <f t="shared" si="11"/>
        <v>1</v>
      </c>
      <c r="H109" s="6" t="str">
        <f t="shared" si="12"/>
        <v>高负荷</v>
      </c>
      <c r="I109" s="8"/>
      <c r="J109" s="6" t="s">
        <v>412</v>
      </c>
    </row>
    <row r="110" ht="48" customHeight="1" spans="1:10">
      <c r="A110" s="6" t="s">
        <v>67</v>
      </c>
      <c r="B110" s="17">
        <v>46209</v>
      </c>
      <c r="C110" s="17">
        <v>46215</v>
      </c>
      <c r="D110" s="6" t="str">
        <f t="shared" si="8"/>
        <v>有</v>
      </c>
      <c r="E110" s="6">
        <f t="shared" si="9"/>
        <v>25</v>
      </c>
      <c r="F110" s="63">
        <f t="shared" si="10"/>
        <v>40</v>
      </c>
      <c r="G110" s="16">
        <f t="shared" si="11"/>
        <v>1</v>
      </c>
      <c r="H110" s="6" t="str">
        <f t="shared" si="12"/>
        <v>高负荷</v>
      </c>
      <c r="I110" s="8"/>
      <c r="J110" s="6" t="s">
        <v>427</v>
      </c>
    </row>
    <row r="111" ht="48" customHeight="1" spans="1:10">
      <c r="A111" s="6" t="s">
        <v>67</v>
      </c>
      <c r="B111" s="17">
        <v>46216</v>
      </c>
      <c r="C111" s="17">
        <v>46222</v>
      </c>
      <c r="D111" s="6" t="str">
        <f t="shared" si="8"/>
        <v>有</v>
      </c>
      <c r="E111" s="6">
        <f t="shared" si="9"/>
        <v>25</v>
      </c>
      <c r="F111" s="63">
        <f t="shared" si="10"/>
        <v>40</v>
      </c>
      <c r="G111" s="16">
        <f t="shared" si="11"/>
        <v>1</v>
      </c>
      <c r="H111" s="6" t="str">
        <f t="shared" si="12"/>
        <v>高负荷</v>
      </c>
      <c r="I111" s="8"/>
      <c r="J111" s="6" t="s">
        <v>427</v>
      </c>
    </row>
    <row r="112" ht="48" customHeight="1" spans="1:10">
      <c r="A112" s="6" t="s">
        <v>67</v>
      </c>
      <c r="B112" s="17">
        <v>46223</v>
      </c>
      <c r="C112" s="17">
        <v>46229</v>
      </c>
      <c r="D112" s="6" t="str">
        <f t="shared" si="8"/>
        <v>有</v>
      </c>
      <c r="E112" s="6">
        <f t="shared" si="9"/>
        <v>33</v>
      </c>
      <c r="F112" s="63">
        <f t="shared" si="10"/>
        <v>40</v>
      </c>
      <c r="G112" s="16">
        <f t="shared" si="11"/>
        <v>1</v>
      </c>
      <c r="H112" s="6" t="str">
        <f t="shared" si="12"/>
        <v>高负荷</v>
      </c>
      <c r="I112" s="8"/>
      <c r="J112" s="6" t="s">
        <v>428</v>
      </c>
    </row>
    <row r="113" ht="48" customHeight="1" spans="1:10">
      <c r="A113" s="6" t="s">
        <v>67</v>
      </c>
      <c r="B113" s="17">
        <v>46230</v>
      </c>
      <c r="C113" s="17">
        <v>46236</v>
      </c>
      <c r="D113" s="6" t="str">
        <f t="shared" si="8"/>
        <v>有</v>
      </c>
      <c r="E113" s="6">
        <f t="shared" si="9"/>
        <v>24</v>
      </c>
      <c r="F113" s="63">
        <f t="shared" si="10"/>
        <v>40</v>
      </c>
      <c r="G113" s="16">
        <f t="shared" si="11"/>
        <v>1</v>
      </c>
      <c r="H113" s="6" t="str">
        <f t="shared" si="12"/>
        <v>高负荷</v>
      </c>
      <c r="I113" s="8"/>
      <c r="J113" s="6" t="s">
        <v>415</v>
      </c>
    </row>
    <row r="114" ht="48" customHeight="1" spans="1:10">
      <c r="A114" s="6" t="s">
        <v>67</v>
      </c>
      <c r="B114" s="17">
        <v>46237</v>
      </c>
      <c r="C114" s="17">
        <v>46243</v>
      </c>
      <c r="D114" s="6" t="str">
        <f t="shared" si="8"/>
        <v>有</v>
      </c>
      <c r="E114" s="6">
        <f t="shared" si="9"/>
        <v>27</v>
      </c>
      <c r="F114" s="63">
        <f t="shared" si="10"/>
        <v>40</v>
      </c>
      <c r="G114" s="16">
        <f t="shared" si="11"/>
        <v>1</v>
      </c>
      <c r="H114" s="6" t="str">
        <f t="shared" si="12"/>
        <v>高负荷</v>
      </c>
      <c r="I114" s="8"/>
      <c r="J114" s="6" t="s">
        <v>416</v>
      </c>
    </row>
    <row r="115" ht="48" customHeight="1" spans="1:10">
      <c r="A115" s="6" t="s">
        <v>67</v>
      </c>
      <c r="B115" s="17">
        <v>46244</v>
      </c>
      <c r="C115" s="17">
        <v>46250</v>
      </c>
      <c r="D115" s="6" t="str">
        <f t="shared" si="8"/>
        <v>有</v>
      </c>
      <c r="E115" s="6">
        <f t="shared" si="9"/>
        <v>26</v>
      </c>
      <c r="F115" s="63">
        <f t="shared" si="10"/>
        <v>40</v>
      </c>
      <c r="G115" s="16">
        <f t="shared" si="11"/>
        <v>1</v>
      </c>
      <c r="H115" s="6" t="str">
        <f t="shared" si="12"/>
        <v>高负荷</v>
      </c>
      <c r="I115" s="8"/>
      <c r="J115" s="6" t="s">
        <v>417</v>
      </c>
    </row>
    <row r="116" ht="48" customHeight="1" spans="1:10">
      <c r="A116" s="6" t="s">
        <v>67</v>
      </c>
      <c r="B116" s="17">
        <v>46251</v>
      </c>
      <c r="C116" s="17">
        <v>46257</v>
      </c>
      <c r="D116" s="6" t="str">
        <f t="shared" si="8"/>
        <v>有</v>
      </c>
      <c r="E116" s="6">
        <f t="shared" si="9"/>
        <v>26</v>
      </c>
      <c r="F116" s="63">
        <f t="shared" si="10"/>
        <v>40</v>
      </c>
      <c r="G116" s="16">
        <f t="shared" si="11"/>
        <v>1</v>
      </c>
      <c r="H116" s="6" t="str">
        <f t="shared" si="12"/>
        <v>高负荷</v>
      </c>
      <c r="I116" s="8"/>
      <c r="J116" s="6" t="s">
        <v>417</v>
      </c>
    </row>
    <row r="117" ht="48" customHeight="1" spans="1:10">
      <c r="A117" s="6" t="s">
        <v>67</v>
      </c>
      <c r="B117" s="17">
        <v>46258</v>
      </c>
      <c r="C117" s="17">
        <v>46264</v>
      </c>
      <c r="D117" s="6" t="str">
        <f t="shared" si="8"/>
        <v>有</v>
      </c>
      <c r="E117" s="6">
        <f t="shared" si="9"/>
        <v>23</v>
      </c>
      <c r="F117" s="63">
        <f t="shared" si="10"/>
        <v>40</v>
      </c>
      <c r="G117" s="16">
        <f t="shared" si="11"/>
        <v>1</v>
      </c>
      <c r="H117" s="6" t="str">
        <f t="shared" si="12"/>
        <v>高负荷</v>
      </c>
      <c r="I117" s="8"/>
      <c r="J117" s="6" t="s">
        <v>418</v>
      </c>
    </row>
    <row r="118" ht="48" customHeight="1" spans="1:10">
      <c r="A118" s="6" t="s">
        <v>67</v>
      </c>
      <c r="B118" s="17">
        <v>46265</v>
      </c>
      <c r="C118" s="17">
        <v>46271</v>
      </c>
      <c r="D118" s="6" t="str">
        <f t="shared" si="8"/>
        <v>有</v>
      </c>
      <c r="E118" s="6">
        <f t="shared" si="9"/>
        <v>5</v>
      </c>
      <c r="F118" s="63">
        <f t="shared" si="10"/>
        <v>40</v>
      </c>
      <c r="G118" s="16">
        <f t="shared" si="11"/>
        <v>1</v>
      </c>
      <c r="H118" s="6" t="str">
        <f t="shared" si="12"/>
        <v>高负荷</v>
      </c>
      <c r="I118" s="8"/>
      <c r="J118" s="6" t="s">
        <v>419</v>
      </c>
    </row>
    <row r="119" ht="48" customHeight="1" spans="1:10">
      <c r="A119" s="6" t="s">
        <v>67</v>
      </c>
      <c r="B119" s="17">
        <v>46272</v>
      </c>
      <c r="C119" s="17">
        <v>46278</v>
      </c>
      <c r="D119" s="6" t="str">
        <f t="shared" si="8"/>
        <v>有</v>
      </c>
      <c r="E119" s="6">
        <f t="shared" si="9"/>
        <v>12</v>
      </c>
      <c r="F119" s="63">
        <f t="shared" si="10"/>
        <v>40</v>
      </c>
      <c r="G119" s="16">
        <f t="shared" si="11"/>
        <v>1</v>
      </c>
      <c r="H119" s="6" t="str">
        <f t="shared" si="12"/>
        <v>高负荷</v>
      </c>
      <c r="I119" s="8"/>
      <c r="J119" s="6" t="s">
        <v>420</v>
      </c>
    </row>
    <row r="120" ht="48" customHeight="1" spans="1:10">
      <c r="A120" s="6" t="s">
        <v>67</v>
      </c>
      <c r="B120" s="17">
        <v>46279</v>
      </c>
      <c r="C120" s="17">
        <v>46285</v>
      </c>
      <c r="D120" s="6" t="str">
        <f t="shared" si="8"/>
        <v>有</v>
      </c>
      <c r="E120" s="6">
        <f t="shared" si="9"/>
        <v>12</v>
      </c>
      <c r="F120" s="63">
        <f t="shared" si="10"/>
        <v>40</v>
      </c>
      <c r="G120" s="16">
        <f t="shared" si="11"/>
        <v>1</v>
      </c>
      <c r="H120" s="6" t="str">
        <f t="shared" si="12"/>
        <v>高负荷</v>
      </c>
      <c r="I120" s="8"/>
      <c r="J120" s="6" t="s">
        <v>420</v>
      </c>
    </row>
    <row r="121" ht="48" customHeight="1" spans="1:10">
      <c r="A121" s="6" t="s">
        <v>67</v>
      </c>
      <c r="B121" s="17">
        <v>46286</v>
      </c>
      <c r="C121" s="17">
        <v>46292</v>
      </c>
      <c r="D121" s="6" t="str">
        <f t="shared" si="8"/>
        <v>有</v>
      </c>
      <c r="E121" s="6">
        <f t="shared" si="9"/>
        <v>12</v>
      </c>
      <c r="F121" s="63">
        <f t="shared" si="10"/>
        <v>40</v>
      </c>
      <c r="G121" s="16">
        <f t="shared" si="11"/>
        <v>1</v>
      </c>
      <c r="H121" s="6" t="str">
        <f t="shared" si="12"/>
        <v>高负荷</v>
      </c>
      <c r="I121" s="8"/>
      <c r="J121" s="6" t="s">
        <v>420</v>
      </c>
    </row>
    <row r="122" ht="48" customHeight="1" spans="1:10">
      <c r="A122" s="6" t="s">
        <v>67</v>
      </c>
      <c r="B122" s="17">
        <v>46293</v>
      </c>
      <c r="C122" s="17">
        <v>46299</v>
      </c>
      <c r="D122" s="6" t="str">
        <f t="shared" si="8"/>
        <v>有</v>
      </c>
      <c r="E122" s="6">
        <f t="shared" si="9"/>
        <v>12</v>
      </c>
      <c r="F122" s="63">
        <f t="shared" si="10"/>
        <v>40</v>
      </c>
      <c r="G122" s="16">
        <f t="shared" si="11"/>
        <v>1</v>
      </c>
      <c r="H122" s="6" t="str">
        <f t="shared" si="12"/>
        <v>高负荷</v>
      </c>
      <c r="I122" s="8"/>
      <c r="J122" s="6" t="s">
        <v>420</v>
      </c>
    </row>
    <row r="123" ht="48" customHeight="1" spans="1:10">
      <c r="A123" s="6" t="s">
        <v>67</v>
      </c>
      <c r="B123" s="17">
        <v>46300</v>
      </c>
      <c r="C123" s="17">
        <v>46306</v>
      </c>
      <c r="D123" s="6" t="str">
        <f t="shared" si="8"/>
        <v>有</v>
      </c>
      <c r="E123" s="6">
        <f t="shared" si="9"/>
        <v>12</v>
      </c>
      <c r="F123" s="63">
        <f t="shared" si="10"/>
        <v>40</v>
      </c>
      <c r="G123" s="16">
        <f t="shared" si="11"/>
        <v>1</v>
      </c>
      <c r="H123" s="6" t="str">
        <f t="shared" si="12"/>
        <v>高负荷</v>
      </c>
      <c r="I123" s="8"/>
      <c r="J123" s="6" t="s">
        <v>420</v>
      </c>
    </row>
    <row r="124" ht="48" customHeight="1" spans="1:10">
      <c r="A124" s="6" t="s">
        <v>67</v>
      </c>
      <c r="B124" s="17">
        <v>46307</v>
      </c>
      <c r="C124" s="17">
        <v>46313</v>
      </c>
      <c r="D124" s="6" t="str">
        <f t="shared" si="8"/>
        <v>有</v>
      </c>
      <c r="E124" s="6">
        <f t="shared" si="9"/>
        <v>51</v>
      </c>
      <c r="F124" s="63">
        <f t="shared" si="10"/>
        <v>40</v>
      </c>
      <c r="G124" s="16">
        <f t="shared" si="11"/>
        <v>1</v>
      </c>
      <c r="H124" s="6" t="str">
        <f t="shared" si="12"/>
        <v>高负荷</v>
      </c>
      <c r="I124" s="8"/>
      <c r="J124" s="6" t="s">
        <v>421</v>
      </c>
    </row>
    <row r="125" ht="48" customHeight="1" spans="1:10">
      <c r="A125" s="6" t="s">
        <v>67</v>
      </c>
      <c r="B125" s="17">
        <v>46314</v>
      </c>
      <c r="C125" s="17">
        <v>46320</v>
      </c>
      <c r="D125" s="6" t="str">
        <f t="shared" si="8"/>
        <v>有</v>
      </c>
      <c r="E125" s="6">
        <f t="shared" si="9"/>
        <v>51</v>
      </c>
      <c r="F125" s="63">
        <f t="shared" si="10"/>
        <v>40</v>
      </c>
      <c r="G125" s="16">
        <f t="shared" si="11"/>
        <v>1</v>
      </c>
      <c r="H125" s="6" t="str">
        <f t="shared" si="12"/>
        <v>高负荷</v>
      </c>
      <c r="I125" s="8"/>
      <c r="J125" s="6" t="s">
        <v>421</v>
      </c>
    </row>
    <row r="126" ht="48" customHeight="1" spans="1:10">
      <c r="A126" s="6" t="s">
        <v>67</v>
      </c>
      <c r="B126" s="17">
        <v>46321</v>
      </c>
      <c r="C126" s="17">
        <v>46327</v>
      </c>
      <c r="D126" s="6" t="str">
        <f t="shared" si="8"/>
        <v>有</v>
      </c>
      <c r="E126" s="6">
        <f t="shared" si="9"/>
        <v>51</v>
      </c>
      <c r="F126" s="63">
        <f t="shared" si="10"/>
        <v>40</v>
      </c>
      <c r="G126" s="16">
        <f t="shared" si="11"/>
        <v>1</v>
      </c>
      <c r="H126" s="6" t="str">
        <f t="shared" si="12"/>
        <v>高负荷</v>
      </c>
      <c r="I126" s="8"/>
      <c r="J126" s="6" t="s">
        <v>421</v>
      </c>
    </row>
    <row r="127" ht="48" customHeight="1" spans="1:10">
      <c r="A127" s="6" t="s">
        <v>67</v>
      </c>
      <c r="B127" s="17">
        <v>46328</v>
      </c>
      <c r="C127" s="17">
        <v>46334</v>
      </c>
      <c r="D127" s="6" t="str">
        <f t="shared" si="8"/>
        <v>有</v>
      </c>
      <c r="E127" s="6">
        <f t="shared" si="9"/>
        <v>51</v>
      </c>
      <c r="F127" s="63">
        <f t="shared" si="10"/>
        <v>40</v>
      </c>
      <c r="G127" s="16">
        <f t="shared" si="11"/>
        <v>1</v>
      </c>
      <c r="H127" s="6" t="str">
        <f t="shared" si="12"/>
        <v>高负荷</v>
      </c>
      <c r="I127" s="8"/>
      <c r="J127" s="6" t="s">
        <v>421</v>
      </c>
    </row>
    <row r="128" ht="48" customHeight="1" spans="1:10">
      <c r="A128" s="6" t="s">
        <v>67</v>
      </c>
      <c r="B128" s="17">
        <v>46335</v>
      </c>
      <c r="C128" s="17">
        <v>46341</v>
      </c>
      <c r="D128" s="6" t="str">
        <f t="shared" si="8"/>
        <v>有</v>
      </c>
      <c r="E128" s="6">
        <f t="shared" si="9"/>
        <v>51</v>
      </c>
      <c r="F128" s="63">
        <f t="shared" si="10"/>
        <v>40</v>
      </c>
      <c r="G128" s="16">
        <f t="shared" si="11"/>
        <v>1</v>
      </c>
      <c r="H128" s="6" t="str">
        <f t="shared" si="12"/>
        <v>高负荷</v>
      </c>
      <c r="I128" s="8"/>
      <c r="J128" s="6" t="s">
        <v>421</v>
      </c>
    </row>
    <row r="129" ht="20" customHeight="1" spans="1:10">
      <c r="A129" s="6" t="s">
        <v>67</v>
      </c>
      <c r="B129" s="17">
        <v>46342</v>
      </c>
      <c r="C129" s="17">
        <v>46348</v>
      </c>
      <c r="D129" s="6" t="str">
        <f t="shared" si="8"/>
        <v>无</v>
      </c>
      <c r="E129" s="6">
        <f t="shared" si="9"/>
        <v>0</v>
      </c>
      <c r="F129" s="63">
        <f t="shared" si="10"/>
        <v>0</v>
      </c>
      <c r="G129" s="16">
        <f t="shared" si="11"/>
        <v>0</v>
      </c>
      <c r="H129" s="6" t="str">
        <f t="shared" si="12"/>
        <v>无任务</v>
      </c>
      <c r="I129" s="8"/>
      <c r="J129" s="6" t="s">
        <v>422</v>
      </c>
    </row>
    <row r="130" ht="20" customHeight="1" spans="1:10">
      <c r="A130" s="6" t="s">
        <v>67</v>
      </c>
      <c r="B130" s="17">
        <v>46349</v>
      </c>
      <c r="C130" s="17">
        <v>46355</v>
      </c>
      <c r="D130" s="6" t="str">
        <f t="shared" si="8"/>
        <v>无</v>
      </c>
      <c r="E130" s="6">
        <f t="shared" si="9"/>
        <v>0</v>
      </c>
      <c r="F130" s="63">
        <f t="shared" si="10"/>
        <v>0</v>
      </c>
      <c r="G130" s="16">
        <f t="shared" si="11"/>
        <v>0</v>
      </c>
      <c r="H130" s="6" t="str">
        <f t="shared" si="12"/>
        <v>无任务</v>
      </c>
      <c r="I130" s="8"/>
      <c r="J130" s="6" t="s">
        <v>422</v>
      </c>
    </row>
    <row r="131" ht="20" customHeight="1" spans="1:10">
      <c r="A131" s="6" t="s">
        <v>65</v>
      </c>
      <c r="B131" s="17">
        <v>46195</v>
      </c>
      <c r="C131" s="17">
        <v>46201</v>
      </c>
      <c r="D131" s="6" t="str">
        <f t="shared" si="8"/>
        <v>无</v>
      </c>
      <c r="E131" s="6">
        <f t="shared" si="9"/>
        <v>0</v>
      </c>
      <c r="F131" s="63">
        <f t="shared" si="10"/>
        <v>0</v>
      </c>
      <c r="G131" s="16">
        <f t="shared" si="11"/>
        <v>0</v>
      </c>
      <c r="H131" s="6" t="str">
        <f t="shared" si="12"/>
        <v>无任务</v>
      </c>
      <c r="I131" s="8"/>
      <c r="J131" s="6" t="s">
        <v>422</v>
      </c>
    </row>
    <row r="132" ht="48" customHeight="1" spans="1:10">
      <c r="A132" s="6" t="s">
        <v>65</v>
      </c>
      <c r="B132" s="17">
        <v>46202</v>
      </c>
      <c r="C132" s="17">
        <v>46208</v>
      </c>
      <c r="D132" s="6" t="str">
        <f t="shared" si="8"/>
        <v>有</v>
      </c>
      <c r="E132" s="6">
        <f t="shared" si="9"/>
        <v>34</v>
      </c>
      <c r="F132" s="63">
        <f t="shared" si="10"/>
        <v>40</v>
      </c>
      <c r="G132" s="16">
        <f t="shared" si="11"/>
        <v>1</v>
      </c>
      <c r="H132" s="6" t="str">
        <f t="shared" si="12"/>
        <v>高负荷</v>
      </c>
      <c r="I132" s="8"/>
      <c r="J132" s="6" t="s">
        <v>433</v>
      </c>
    </row>
    <row r="133" ht="48" customHeight="1" spans="1:10">
      <c r="A133" s="6" t="s">
        <v>65</v>
      </c>
      <c r="B133" s="17">
        <v>46209</v>
      </c>
      <c r="C133" s="17">
        <v>46215</v>
      </c>
      <c r="D133" s="6" t="str">
        <f t="shared" si="8"/>
        <v>有</v>
      </c>
      <c r="E133" s="6">
        <f t="shared" si="9"/>
        <v>26</v>
      </c>
      <c r="F133" s="63">
        <f t="shared" si="10"/>
        <v>40</v>
      </c>
      <c r="G133" s="16">
        <f t="shared" si="11"/>
        <v>1</v>
      </c>
      <c r="H133" s="6" t="str">
        <f t="shared" si="12"/>
        <v>高负荷</v>
      </c>
      <c r="I133" s="8"/>
      <c r="J133" s="6" t="s">
        <v>434</v>
      </c>
    </row>
    <row r="134" ht="48" customHeight="1" spans="1:10">
      <c r="A134" s="6" t="s">
        <v>65</v>
      </c>
      <c r="B134" s="17">
        <v>46216</v>
      </c>
      <c r="C134" s="17">
        <v>46222</v>
      </c>
      <c r="D134" s="6" t="str">
        <f t="shared" si="8"/>
        <v>有</v>
      </c>
      <c r="E134" s="6">
        <f t="shared" si="9"/>
        <v>5</v>
      </c>
      <c r="F134" s="63">
        <f t="shared" si="10"/>
        <v>40</v>
      </c>
      <c r="G134" s="16">
        <f t="shared" si="11"/>
        <v>1</v>
      </c>
      <c r="H134" s="6" t="str">
        <f t="shared" si="12"/>
        <v>高负荷</v>
      </c>
      <c r="I134" s="8"/>
      <c r="J134" s="6" t="s">
        <v>419</v>
      </c>
    </row>
    <row r="135" ht="48" customHeight="1" spans="1:10">
      <c r="A135" s="6" t="s">
        <v>65</v>
      </c>
      <c r="B135" s="17">
        <v>46223</v>
      </c>
      <c r="C135" s="17">
        <v>46229</v>
      </c>
      <c r="D135" s="6" t="str">
        <f t="shared" si="8"/>
        <v>有</v>
      </c>
      <c r="E135" s="6">
        <f t="shared" si="9"/>
        <v>15</v>
      </c>
      <c r="F135" s="63">
        <f t="shared" si="10"/>
        <v>40</v>
      </c>
      <c r="G135" s="16">
        <f t="shared" si="11"/>
        <v>1</v>
      </c>
      <c r="H135" s="6" t="str">
        <f t="shared" si="12"/>
        <v>高负荷</v>
      </c>
      <c r="I135" s="8"/>
      <c r="J135" s="6" t="s">
        <v>435</v>
      </c>
    </row>
    <row r="136" ht="48" customHeight="1" spans="1:10">
      <c r="A136" s="6" t="s">
        <v>65</v>
      </c>
      <c r="B136" s="17">
        <v>46230</v>
      </c>
      <c r="C136" s="17">
        <v>46236</v>
      </c>
      <c r="D136" s="6" t="str">
        <f t="shared" si="8"/>
        <v>有</v>
      </c>
      <c r="E136" s="6">
        <f t="shared" si="9"/>
        <v>51</v>
      </c>
      <c r="F136" s="63">
        <f t="shared" si="10"/>
        <v>40</v>
      </c>
      <c r="G136" s="16">
        <f t="shared" si="11"/>
        <v>1</v>
      </c>
      <c r="H136" s="6" t="str">
        <f t="shared" si="12"/>
        <v>高负荷</v>
      </c>
      <c r="I136" s="8"/>
      <c r="J136" s="6" t="s">
        <v>436</v>
      </c>
    </row>
    <row r="137" ht="48" customHeight="1" spans="1:10">
      <c r="A137" s="6" t="s">
        <v>65</v>
      </c>
      <c r="B137" s="17">
        <v>46237</v>
      </c>
      <c r="C137" s="17">
        <v>46243</v>
      </c>
      <c r="D137" s="6" t="str">
        <f t="shared" si="8"/>
        <v>有</v>
      </c>
      <c r="E137" s="6">
        <f t="shared" si="9"/>
        <v>51</v>
      </c>
      <c r="F137" s="63">
        <f t="shared" si="10"/>
        <v>40</v>
      </c>
      <c r="G137" s="16">
        <f t="shared" si="11"/>
        <v>1</v>
      </c>
      <c r="H137" s="6" t="str">
        <f t="shared" si="12"/>
        <v>高负荷</v>
      </c>
      <c r="I137" s="8"/>
      <c r="J137" s="6" t="s">
        <v>436</v>
      </c>
    </row>
    <row r="138" ht="20" customHeight="1" spans="1:10">
      <c r="A138" s="6" t="s">
        <v>65</v>
      </c>
      <c r="B138" s="17">
        <v>46244</v>
      </c>
      <c r="C138" s="17">
        <v>46250</v>
      </c>
      <c r="D138" s="6" t="str">
        <f t="shared" si="8"/>
        <v>无</v>
      </c>
      <c r="E138" s="6">
        <f t="shared" si="9"/>
        <v>0</v>
      </c>
      <c r="F138" s="63">
        <f t="shared" si="10"/>
        <v>0</v>
      </c>
      <c r="G138" s="16">
        <f t="shared" si="11"/>
        <v>0</v>
      </c>
      <c r="H138" s="6" t="str">
        <f t="shared" si="12"/>
        <v>无任务</v>
      </c>
      <c r="I138" s="8"/>
      <c r="J138" s="6" t="s">
        <v>422</v>
      </c>
    </row>
    <row r="139" ht="20" customHeight="1" spans="1:10">
      <c r="A139" s="6" t="s">
        <v>65</v>
      </c>
      <c r="B139" s="17">
        <v>46251</v>
      </c>
      <c r="C139" s="17">
        <v>46257</v>
      </c>
      <c r="D139" s="6" t="str">
        <f t="shared" si="8"/>
        <v>无</v>
      </c>
      <c r="E139" s="6">
        <f t="shared" si="9"/>
        <v>0</v>
      </c>
      <c r="F139" s="63">
        <f t="shared" si="10"/>
        <v>0</v>
      </c>
      <c r="G139" s="16">
        <f t="shared" si="11"/>
        <v>0</v>
      </c>
      <c r="H139" s="6" t="str">
        <f t="shared" si="12"/>
        <v>无任务</v>
      </c>
      <c r="I139" s="8"/>
      <c r="J139" s="6" t="s">
        <v>422</v>
      </c>
    </row>
    <row r="140" ht="20" customHeight="1" spans="1:10">
      <c r="A140" s="6" t="s">
        <v>65</v>
      </c>
      <c r="B140" s="17">
        <v>46258</v>
      </c>
      <c r="C140" s="17">
        <v>46264</v>
      </c>
      <c r="D140" s="6" t="str">
        <f t="shared" si="8"/>
        <v>无</v>
      </c>
      <c r="E140" s="6">
        <f t="shared" si="9"/>
        <v>0</v>
      </c>
      <c r="F140" s="63">
        <f t="shared" si="10"/>
        <v>0</v>
      </c>
      <c r="G140" s="16">
        <f t="shared" si="11"/>
        <v>0</v>
      </c>
      <c r="H140" s="6" t="str">
        <f t="shared" si="12"/>
        <v>无任务</v>
      </c>
      <c r="I140" s="8"/>
      <c r="J140" s="6" t="s">
        <v>422</v>
      </c>
    </row>
    <row r="141" ht="20" customHeight="1" spans="1:10">
      <c r="A141" s="6" t="s">
        <v>65</v>
      </c>
      <c r="B141" s="17">
        <v>46265</v>
      </c>
      <c r="C141" s="17">
        <v>46271</v>
      </c>
      <c r="D141" s="6" t="str">
        <f t="shared" si="8"/>
        <v>无</v>
      </c>
      <c r="E141" s="6">
        <f t="shared" si="9"/>
        <v>0</v>
      </c>
      <c r="F141" s="63">
        <f t="shared" si="10"/>
        <v>0</v>
      </c>
      <c r="G141" s="16">
        <f t="shared" si="11"/>
        <v>0</v>
      </c>
      <c r="H141" s="6" t="str">
        <f t="shared" si="12"/>
        <v>无任务</v>
      </c>
      <c r="I141" s="8"/>
      <c r="J141" s="6" t="s">
        <v>422</v>
      </c>
    </row>
    <row r="142" ht="20" customHeight="1" spans="1:10">
      <c r="A142" s="6" t="s">
        <v>65</v>
      </c>
      <c r="B142" s="17">
        <v>46272</v>
      </c>
      <c r="C142" s="17">
        <v>46278</v>
      </c>
      <c r="D142" s="6" t="str">
        <f t="shared" si="8"/>
        <v>无</v>
      </c>
      <c r="E142" s="6">
        <f t="shared" si="9"/>
        <v>0</v>
      </c>
      <c r="F142" s="63">
        <f t="shared" si="10"/>
        <v>0</v>
      </c>
      <c r="G142" s="16">
        <f t="shared" si="11"/>
        <v>0</v>
      </c>
      <c r="H142" s="6" t="str">
        <f t="shared" si="12"/>
        <v>无任务</v>
      </c>
      <c r="I142" s="8"/>
      <c r="J142" s="6" t="s">
        <v>422</v>
      </c>
    </row>
    <row r="143" ht="20" customHeight="1" spans="1:10">
      <c r="A143" s="6" t="s">
        <v>65</v>
      </c>
      <c r="B143" s="17">
        <v>46279</v>
      </c>
      <c r="C143" s="17">
        <v>46285</v>
      </c>
      <c r="D143" s="6" t="str">
        <f t="shared" si="8"/>
        <v>无</v>
      </c>
      <c r="E143" s="6">
        <f t="shared" si="9"/>
        <v>0</v>
      </c>
      <c r="F143" s="63">
        <f t="shared" si="10"/>
        <v>0</v>
      </c>
      <c r="G143" s="16">
        <f t="shared" si="11"/>
        <v>0</v>
      </c>
      <c r="H143" s="6" t="str">
        <f t="shared" si="12"/>
        <v>无任务</v>
      </c>
      <c r="I143" s="8"/>
      <c r="J143" s="6" t="s">
        <v>422</v>
      </c>
    </row>
    <row r="144" ht="20" customHeight="1" spans="1:10">
      <c r="A144" s="6" t="s">
        <v>65</v>
      </c>
      <c r="B144" s="17">
        <v>46286</v>
      </c>
      <c r="C144" s="17">
        <v>46292</v>
      </c>
      <c r="D144" s="6" t="str">
        <f t="shared" ref="D144:D153" si="13">IF(E144=0,"无","有")</f>
        <v>无</v>
      </c>
      <c r="E144" s="6">
        <f t="shared" ref="E144:E153" si="14">COUNTIFS($L$158:$L$836,A144,$F$158:$F$836,"&lt;="&amp;C144,$G$158:$G$836,"&gt;="&amp;B144)</f>
        <v>0</v>
      </c>
      <c r="F144" s="63">
        <f t="shared" ref="F144:F153" si="15">IF(E144=0,0,40)</f>
        <v>0</v>
      </c>
      <c r="G144" s="16">
        <f t="shared" ref="G144:G153" si="16">F144/40</f>
        <v>0</v>
      </c>
      <c r="H144" s="6" t="str">
        <f t="shared" ref="H144:H153" si="17">IF(E144=0,"无任务",IF(G144&gt;1,"超负荷",IF(G144&gt;0.85,"高负荷",IF(G144&lt;0.4,"低负荷","正常"))))</f>
        <v>无任务</v>
      </c>
      <c r="I144" s="8"/>
      <c r="J144" s="6" t="s">
        <v>422</v>
      </c>
    </row>
    <row r="145" ht="20" customHeight="1" spans="1:12">
      <c r="A145" s="6" t="s">
        <v>65</v>
      </c>
      <c r="B145" s="17">
        <v>46293</v>
      </c>
      <c r="C145" s="17">
        <v>46299</v>
      </c>
      <c r="D145" s="6" t="str">
        <f t="shared" si="13"/>
        <v>无</v>
      </c>
      <c r="E145" s="6">
        <f t="shared" si="14"/>
        <v>0</v>
      </c>
      <c r="F145" s="63">
        <f t="shared" si="15"/>
        <v>0</v>
      </c>
      <c r="G145" s="16">
        <f t="shared" si="16"/>
        <v>0</v>
      </c>
      <c r="H145" s="6" t="str">
        <f t="shared" si="17"/>
        <v>无任务</v>
      </c>
      <c r="I145" s="8"/>
      <c r="J145" s="6" t="s">
        <v>422</v>
      </c>
    </row>
    <row r="146" ht="20" customHeight="1" spans="1:12">
      <c r="A146" s="6" t="s">
        <v>65</v>
      </c>
      <c r="B146" s="17">
        <v>46300</v>
      </c>
      <c r="C146" s="17">
        <v>46306</v>
      </c>
      <c r="D146" s="6" t="str">
        <f t="shared" si="13"/>
        <v>无</v>
      </c>
      <c r="E146" s="6">
        <f t="shared" si="14"/>
        <v>0</v>
      </c>
      <c r="F146" s="63">
        <f t="shared" si="15"/>
        <v>0</v>
      </c>
      <c r="G146" s="16">
        <f t="shared" si="16"/>
        <v>0</v>
      </c>
      <c r="H146" s="6" t="str">
        <f t="shared" si="17"/>
        <v>无任务</v>
      </c>
      <c r="I146" s="8"/>
      <c r="J146" s="6" t="s">
        <v>422</v>
      </c>
    </row>
    <row r="147" ht="20" customHeight="1" spans="1:12">
      <c r="A147" s="6" t="s">
        <v>65</v>
      </c>
      <c r="B147" s="17">
        <v>46307</v>
      </c>
      <c r="C147" s="17">
        <v>46313</v>
      </c>
      <c r="D147" s="6" t="str">
        <f t="shared" si="13"/>
        <v>无</v>
      </c>
      <c r="E147" s="6">
        <f t="shared" si="14"/>
        <v>0</v>
      </c>
      <c r="F147" s="63">
        <f t="shared" si="15"/>
        <v>0</v>
      </c>
      <c r="G147" s="16">
        <f t="shared" si="16"/>
        <v>0</v>
      </c>
      <c r="H147" s="6" t="str">
        <f t="shared" si="17"/>
        <v>无任务</v>
      </c>
      <c r="I147" s="8"/>
      <c r="J147" s="6" t="s">
        <v>422</v>
      </c>
    </row>
    <row r="148" ht="20" customHeight="1" spans="1:12">
      <c r="A148" s="6" t="s">
        <v>65</v>
      </c>
      <c r="B148" s="17">
        <v>46314</v>
      </c>
      <c r="C148" s="17">
        <v>46320</v>
      </c>
      <c r="D148" s="6" t="str">
        <f t="shared" si="13"/>
        <v>无</v>
      </c>
      <c r="E148" s="6">
        <f t="shared" si="14"/>
        <v>0</v>
      </c>
      <c r="F148" s="63">
        <f t="shared" si="15"/>
        <v>0</v>
      </c>
      <c r="G148" s="16">
        <f t="shared" si="16"/>
        <v>0</v>
      </c>
      <c r="H148" s="6" t="str">
        <f t="shared" si="17"/>
        <v>无任务</v>
      </c>
      <c r="I148" s="8"/>
      <c r="J148" s="6" t="s">
        <v>422</v>
      </c>
    </row>
    <row r="149" ht="20" customHeight="1" spans="1:12">
      <c r="A149" s="6" t="s">
        <v>65</v>
      </c>
      <c r="B149" s="17">
        <v>46321</v>
      </c>
      <c r="C149" s="17">
        <v>46327</v>
      </c>
      <c r="D149" s="6" t="str">
        <f t="shared" si="13"/>
        <v>无</v>
      </c>
      <c r="E149" s="6">
        <f t="shared" si="14"/>
        <v>0</v>
      </c>
      <c r="F149" s="63">
        <f t="shared" si="15"/>
        <v>0</v>
      </c>
      <c r="G149" s="16">
        <f t="shared" si="16"/>
        <v>0</v>
      </c>
      <c r="H149" s="6" t="str">
        <f t="shared" si="17"/>
        <v>无任务</v>
      </c>
      <c r="I149" s="8"/>
      <c r="J149" s="6" t="s">
        <v>422</v>
      </c>
    </row>
    <row r="150" ht="20" customHeight="1" spans="1:12">
      <c r="A150" s="6" t="s">
        <v>65</v>
      </c>
      <c r="B150" s="17">
        <v>46328</v>
      </c>
      <c r="C150" s="17">
        <v>46334</v>
      </c>
      <c r="D150" s="6" t="str">
        <f t="shared" si="13"/>
        <v>无</v>
      </c>
      <c r="E150" s="6">
        <f t="shared" si="14"/>
        <v>0</v>
      </c>
      <c r="F150" s="63">
        <f t="shared" si="15"/>
        <v>0</v>
      </c>
      <c r="G150" s="16">
        <f t="shared" si="16"/>
        <v>0</v>
      </c>
      <c r="H150" s="6" t="str">
        <f t="shared" si="17"/>
        <v>无任务</v>
      </c>
      <c r="I150" s="8"/>
      <c r="J150" s="6" t="s">
        <v>422</v>
      </c>
    </row>
    <row r="151" ht="20" customHeight="1" spans="1:12">
      <c r="A151" s="6" t="s">
        <v>65</v>
      </c>
      <c r="B151" s="17">
        <v>46335</v>
      </c>
      <c r="C151" s="17">
        <v>46341</v>
      </c>
      <c r="D151" s="6" t="str">
        <f t="shared" si="13"/>
        <v>无</v>
      </c>
      <c r="E151" s="6">
        <f t="shared" si="14"/>
        <v>0</v>
      </c>
      <c r="F151" s="63">
        <f t="shared" si="15"/>
        <v>0</v>
      </c>
      <c r="G151" s="16">
        <f t="shared" si="16"/>
        <v>0</v>
      </c>
      <c r="H151" s="6" t="str">
        <f t="shared" si="17"/>
        <v>无任务</v>
      </c>
      <c r="I151" s="8"/>
      <c r="J151" s="6" t="s">
        <v>422</v>
      </c>
    </row>
    <row r="152" ht="20" customHeight="1" spans="1:12">
      <c r="A152" s="6" t="s">
        <v>65</v>
      </c>
      <c r="B152" s="17">
        <v>46342</v>
      </c>
      <c r="C152" s="17">
        <v>46348</v>
      </c>
      <c r="D152" s="6" t="str">
        <f t="shared" si="13"/>
        <v>无</v>
      </c>
      <c r="E152" s="6">
        <f t="shared" si="14"/>
        <v>0</v>
      </c>
      <c r="F152" s="63">
        <f t="shared" si="15"/>
        <v>0</v>
      </c>
      <c r="G152" s="16">
        <f t="shared" si="16"/>
        <v>0</v>
      </c>
      <c r="H152" s="6" t="str">
        <f t="shared" si="17"/>
        <v>无任务</v>
      </c>
      <c r="I152" s="8"/>
      <c r="J152" s="6" t="s">
        <v>422</v>
      </c>
    </row>
    <row r="153" ht="20" customHeight="1" spans="1:12">
      <c r="A153" s="6" t="s">
        <v>65</v>
      </c>
      <c r="B153" s="17">
        <v>46349</v>
      </c>
      <c r="C153" s="17">
        <v>46355</v>
      </c>
      <c r="D153" s="6" t="str">
        <f t="shared" si="13"/>
        <v>无</v>
      </c>
      <c r="E153" s="6">
        <f t="shared" si="14"/>
        <v>0</v>
      </c>
      <c r="F153" s="63">
        <f t="shared" si="15"/>
        <v>0</v>
      </c>
      <c r="G153" s="16">
        <f t="shared" si="16"/>
        <v>0</v>
      </c>
      <c r="H153" s="6" t="str">
        <f t="shared" si="17"/>
        <v>无任务</v>
      </c>
      <c r="I153" s="8"/>
      <c r="J153" s="6" t="s">
        <v>422</v>
      </c>
    </row>
    <row r="155" ht="17.6" spans="1:12">
      <c r="A155" s="15" t="s">
        <v>437</v>
      </c>
    </row>
    <row r="157" ht="28" customHeight="1" spans="1:12">
      <c r="A157" s="5" t="s">
        <v>387</v>
      </c>
      <c r="B157" s="5" t="s">
        <v>31</v>
      </c>
      <c r="C157" s="5" t="s">
        <v>438</v>
      </c>
      <c r="D157" s="5" t="s">
        <v>23</v>
      </c>
      <c r="E157" s="5" t="s">
        <v>36</v>
      </c>
      <c r="F157" s="5" t="s">
        <v>38</v>
      </c>
      <c r="G157" s="5" t="s">
        <v>439</v>
      </c>
      <c r="H157" s="5" t="s">
        <v>393</v>
      </c>
      <c r="I157" s="5" t="s">
        <v>440</v>
      </c>
      <c r="J157" s="5" t="s">
        <v>441</v>
      </c>
      <c r="K157" s="5" t="s">
        <v>410</v>
      </c>
    </row>
    <row r="158" spans="1:12">
      <c r="A158" s="65" t="s">
        <v>397</v>
      </c>
      <c r="B158" s="66" t="str">
        <f>项目总控台账!A61</f>
        <v>T058</v>
      </c>
      <c r="C158" s="66" t="str">
        <f>IF(AND(项目总控台账!E61&lt;&gt;"",项目总控台账!E61&lt;&gt;"/"),项目总控台账!E61,IF(AND(项目总控台账!D61&lt;&gt;"",项目总控台账!D61&lt;&gt;"/"),项目总控台账!D61,项目总控台账!C61))</f>
        <v>OCR识别及编辑</v>
      </c>
      <c r="D158" s="66" t="str">
        <f>项目总控台账!F61</f>
        <v>第一批次</v>
      </c>
      <c r="E158" s="66" t="str">
        <f>项目总控台账!G61</f>
        <v>已完成</v>
      </c>
      <c r="F158" s="67">
        <f>项目总控台账!R61</f>
        <v>46195</v>
      </c>
      <c r="G158" s="67">
        <f>项目总控台账!S61</f>
        <v>46206</v>
      </c>
      <c r="H158" s="68">
        <v>27</v>
      </c>
      <c r="I158" s="66" t="str">
        <f>IF(H158="","待估算",IF(E158="已完成","已结束",IF(AND(ISNUMBER(F158),ISNUMBER(G158),F158&lt;=项目驾驶舱!$B$3,G158&gt;=项目驾驶舱!$B$3),"进行中","计划中")))</f>
        <v>已结束</v>
      </c>
      <c r="J158" s="66" t="str">
        <f>IF(I158="待估算",IF(OR(F158="/",G158="/",F158="",G158=""),"补充计划日期","补充投入工时"),IF(AND(G158&lt;项目驾驶舱!$B$3,E158&lt;&gt;"已完成"),"确认延期和后续安排","按计划跟踪"))</f>
        <v>按计划跟踪</v>
      </c>
      <c r="K158" s="69"/>
      <c r="L158" t="s">
        <v>397</v>
      </c>
    </row>
    <row r="159" spans="1:12">
      <c r="B159" s="6" t="str">
        <f>项目总控台账!A73</f>
        <v>T070</v>
      </c>
      <c r="C159" s="6" t="str">
        <f>IF(AND(项目总控台账!E73&lt;&gt;"",项目总控台账!E73&lt;&gt;"/"),项目总控台账!E73,IF(AND(项目总控台账!D73&lt;&gt;"",项目总控台账!D73&lt;&gt;"/"),项目总控台账!D73,项目总控台账!C73))</f>
        <v>生成报告</v>
      </c>
      <c r="D159" s="6" t="str">
        <f>项目总控台账!F73</f>
        <v>第一批次</v>
      </c>
      <c r="E159" s="6" t="str">
        <f>项目总控台账!G73</f>
        <v>已完成</v>
      </c>
      <c r="F159" s="17">
        <f>项目总控台账!R73</f>
        <v>46195</v>
      </c>
      <c r="G159" s="17">
        <f>项目总控台账!S73</f>
        <v>46206</v>
      </c>
      <c r="H159" s="70">
        <v>27</v>
      </c>
      <c r="I159" s="6" t="str">
        <f>IF(H159="","待估算",IF(E159="已完成","已结束",IF(AND(ISNUMBER(F159),ISNUMBER(G159),F159&lt;=项目驾驶舱!$B$3,G159&gt;=项目驾驶舱!$B$3),"进行中","计划中")))</f>
        <v>已结束</v>
      </c>
      <c r="J159" s="6" t="str">
        <f>IF(I159="待估算",IF(OR(F159="/",G159="/",F159="",G159=""),"补充计划日期","补充投入工时"),IF(AND(G159&lt;项目驾驶舱!$B$3,E159&lt;&gt;"已完成"),"确认延期和后续安排","按计划跟踪"))</f>
        <v>按计划跟踪</v>
      </c>
      <c r="K159" s="8"/>
      <c r="L159" t="s">
        <v>397</v>
      </c>
    </row>
    <row r="160" spans="1:12">
      <c r="B160" s="6" t="str">
        <f>项目总控台账!A74</f>
        <v>T071</v>
      </c>
      <c r="C160" s="6" t="str">
        <f>IF(AND(项目总控台账!E74&lt;&gt;"",项目总控台账!E74&lt;&gt;"/"),项目总控台账!E74,IF(AND(项目总控台账!D74&lt;&gt;"",项目总控台账!D74&lt;&gt;"/"),项目总控台账!D74,项目总控台账!C74))</f>
        <v>装船作业信息录入优化（太仓）</v>
      </c>
      <c r="D160" s="6" t="str">
        <f>项目总控台账!F74</f>
        <v>第一批次</v>
      </c>
      <c r="E160" s="6" t="str">
        <f>项目总控台账!G74</f>
        <v>已完成</v>
      </c>
      <c r="F160" s="17">
        <f>项目总控台账!R74</f>
        <v>46195</v>
      </c>
      <c r="G160" s="17">
        <f>项目总控台账!S74</f>
        <v>46206</v>
      </c>
      <c r="H160" s="70">
        <v>26</v>
      </c>
      <c r="I160" s="6" t="str">
        <f>IF(H160="","待估算",IF(E160="已完成","已结束",IF(AND(ISNUMBER(F160),ISNUMBER(G160),F160&lt;=项目驾驶舱!$B$3,G160&gt;=项目驾驶舱!$B$3),"进行中","计划中")))</f>
        <v>已结束</v>
      </c>
      <c r="J160" s="6" t="str">
        <f>IF(I160="待估算",IF(OR(F160="/",G160="/",F160="",G160=""),"补充计划日期","补充投入工时"),IF(AND(G160&lt;项目驾驶舱!$B$3,E160&lt;&gt;"已完成"),"确认延期和后续安排","按计划跟踪"))</f>
        <v>按计划跟踪</v>
      </c>
      <c r="K160" s="8"/>
      <c r="L160" t="s">
        <v>397</v>
      </c>
    </row>
    <row r="161" spans="1:12">
      <c r="B161" s="6" t="str">
        <f>项目总控台账!A4</f>
        <v>T001</v>
      </c>
      <c r="C161" s="6" t="str">
        <f>IF(AND(项目总控台账!E4&lt;&gt;"",项目总控台账!E4&lt;&gt;"/"),项目总控台账!E4,IF(AND(项目总控台账!D4&lt;&gt;"",项目总控台账!D4&lt;&gt;"/"),项目总控台账!D4,项目总控台账!C4))</f>
        <v>新增车辆信息</v>
      </c>
      <c r="D161" s="6" t="str">
        <f>项目总控台账!F4</f>
        <v>第一批次</v>
      </c>
      <c r="E161" s="6" t="str">
        <f>项目总控台账!G4</f>
        <v>已完成</v>
      </c>
      <c r="F161" s="17">
        <f>项目总控台账!R4</f>
        <v>46209</v>
      </c>
      <c r="G161" s="17">
        <f>项目总控台账!S4</f>
        <v>46225</v>
      </c>
      <c r="H161" s="70">
        <v>5.5</v>
      </c>
      <c r="I161" s="6" t="str">
        <f>IF(H161="","待估算",IF(E161="已完成","已结束",IF(AND(ISNUMBER(F161),ISNUMBER(G161),F161&lt;=项目驾驶舱!$B$3,G161&gt;=项目驾驶舱!$B$3),"进行中","计划中")))</f>
        <v>已结束</v>
      </c>
      <c r="J161" s="6" t="str">
        <f>IF(I161="待估算",IF(OR(F161="/",G161="/",F161="",G161=""),"补充计划日期","补充投入工时"),IF(AND(G161&lt;项目驾驶舱!$B$3,E161&lt;&gt;"已完成"),"确认延期和后续安排","按计划跟踪"))</f>
        <v>按计划跟踪</v>
      </c>
      <c r="K161" s="8"/>
      <c r="L161" t="s">
        <v>397</v>
      </c>
    </row>
    <row r="162" spans="1:12">
      <c r="B162" s="6" t="str">
        <f>项目总控台账!A5</f>
        <v>T002</v>
      </c>
      <c r="C162" s="6" t="str">
        <f>IF(AND(项目总控台账!E5&lt;&gt;"",项目总控台账!E5&lt;&gt;"/"),项目总控台账!E5,IF(AND(项目总控台账!D5&lt;&gt;"",项目总控台账!D5&lt;&gt;"/"),项目总控台账!D5,项目总控台账!C5))</f>
        <v>修改车辆信息</v>
      </c>
      <c r="D162" s="6" t="str">
        <f>项目总控台账!F5</f>
        <v>第一批次</v>
      </c>
      <c r="E162" s="6" t="str">
        <f>项目总控台账!G5</f>
        <v>已完成</v>
      </c>
      <c r="F162" s="17">
        <f>项目总控台账!R5</f>
        <v>46209</v>
      </c>
      <c r="G162" s="17">
        <f>项目总控台账!S5</f>
        <v>46225</v>
      </c>
      <c r="H162" s="70">
        <v>5.5</v>
      </c>
      <c r="I162" s="6" t="str">
        <f>IF(H162="","待估算",IF(E162="已完成","已结束",IF(AND(ISNUMBER(F162),ISNUMBER(G162),F162&lt;=项目驾驶舱!$B$3,G162&gt;=项目驾驶舱!$B$3),"进行中","计划中")))</f>
        <v>已结束</v>
      </c>
      <c r="J162" s="6" t="str">
        <f>IF(I162="待估算",IF(OR(F162="/",G162="/",F162="",G162=""),"补充计划日期","补充投入工时"),IF(AND(G162&lt;项目驾驶舱!$B$3,E162&lt;&gt;"已完成"),"确认延期和后续安排","按计划跟踪"))</f>
        <v>按计划跟踪</v>
      </c>
      <c r="K162" s="8"/>
      <c r="L162" t="s">
        <v>397</v>
      </c>
    </row>
    <row r="163" spans="1:12">
      <c r="B163" s="6" t="str">
        <f>项目总控台账!A6</f>
        <v>T003</v>
      </c>
      <c r="C163" s="6" t="str">
        <f>IF(AND(项目总控台账!E6&lt;&gt;"",项目总控台账!E6&lt;&gt;"/"),项目总控台账!E6,IF(AND(项目总控台账!D6&lt;&gt;"",项目总控台账!D6&lt;&gt;"/"),项目总控台账!D6,项目总控台账!C6))</f>
        <v>删除车辆信息</v>
      </c>
      <c r="D163" s="6" t="str">
        <f>项目总控台账!F6</f>
        <v>第一批次</v>
      </c>
      <c r="E163" s="6" t="str">
        <f>项目总控台账!G6</f>
        <v>已完成</v>
      </c>
      <c r="F163" s="17">
        <f>项目总控台账!R6</f>
        <v>46209</v>
      </c>
      <c r="G163" s="17">
        <f>项目总控台账!S6</f>
        <v>46225</v>
      </c>
      <c r="H163" s="70">
        <v>5.5</v>
      </c>
      <c r="I163" s="6" t="str">
        <f>IF(H163="","待估算",IF(E163="已完成","已结束",IF(AND(ISNUMBER(F163),ISNUMBER(G163),F163&lt;=项目驾驶舱!$B$3,G163&gt;=项目驾驶舱!$B$3),"进行中","计划中")))</f>
        <v>已结束</v>
      </c>
      <c r="J163" s="6" t="str">
        <f>IF(I163="待估算",IF(OR(F163="/",G163="/",F163="",G163=""),"补充计划日期","补充投入工时"),IF(AND(G163&lt;项目驾驶舱!$B$3,E163&lt;&gt;"已完成"),"确认延期和后续安排","按计划跟踪"))</f>
        <v>按计划跟踪</v>
      </c>
      <c r="K163" s="8"/>
      <c r="L163" t="s">
        <v>397</v>
      </c>
    </row>
    <row r="164" spans="1:12">
      <c r="B164" s="6" t="str">
        <f>项目总控台账!A7</f>
        <v>T004</v>
      </c>
      <c r="C164" s="6" t="str">
        <f>IF(AND(项目总控台账!E7&lt;&gt;"",项目总控台账!E7&lt;&gt;"/"),项目总控台账!E7,IF(AND(项目总控台账!D7&lt;&gt;"",项目总控台账!D7&lt;&gt;"/"),项目总控台账!D7,项目总控台账!C7))</f>
        <v>查询展示车辆信息</v>
      </c>
      <c r="D164" s="6" t="str">
        <f>项目总控台账!F7</f>
        <v>第一批次</v>
      </c>
      <c r="E164" s="6" t="str">
        <f>项目总控台账!G7</f>
        <v>已完成</v>
      </c>
      <c r="F164" s="17">
        <f>项目总控台账!R7</f>
        <v>46209</v>
      </c>
      <c r="G164" s="17">
        <f>项目总控台账!S7</f>
        <v>46225</v>
      </c>
      <c r="H164" s="70">
        <v>5.5</v>
      </c>
      <c r="I164" s="6" t="str">
        <f>IF(H164="","待估算",IF(E164="已完成","已结束",IF(AND(ISNUMBER(F164),ISNUMBER(G164),F164&lt;=项目驾驶舱!$B$3,G164&gt;=项目驾驶舱!$B$3),"进行中","计划中")))</f>
        <v>已结束</v>
      </c>
      <c r="J164" s="6" t="str">
        <f>IF(I164="待估算",IF(OR(F164="/",G164="/",F164="",G164=""),"补充计划日期","补充投入工时"),IF(AND(G164&lt;项目驾驶舱!$B$3,E164&lt;&gt;"已完成"),"确认延期和后续安排","按计划跟踪"))</f>
        <v>按计划跟踪</v>
      </c>
      <c r="K164" s="8"/>
      <c r="L164" t="s">
        <v>397</v>
      </c>
    </row>
    <row r="165" spans="1:12">
      <c r="B165" s="6" t="str">
        <f>项目总控台账!A9</f>
        <v>T006</v>
      </c>
      <c r="C165" s="6" t="str">
        <f>IF(AND(项目总控台账!E9&lt;&gt;"",项目总控台账!E9&lt;&gt;"/"),项目总控台账!E9,IF(AND(项目总控台账!D9&lt;&gt;"",项目总控台账!D9&lt;&gt;"/"),项目总控台账!D9,项目总控台账!C9))</f>
        <v>优化收费标准（装卸费）新增</v>
      </c>
      <c r="D165" s="6" t="str">
        <f>项目总控台账!F9</f>
        <v>第一批次</v>
      </c>
      <c r="E165" s="6" t="str">
        <f>项目总控台账!G9</f>
        <v>已完成</v>
      </c>
      <c r="F165" s="17">
        <f>项目总控台账!R9</f>
        <v>46209</v>
      </c>
      <c r="G165" s="17">
        <f>项目总控台账!S9</f>
        <v>46227</v>
      </c>
      <c r="H165" s="70">
        <v>5.5</v>
      </c>
      <c r="I165" s="6" t="str">
        <f>IF(H165="","待估算",IF(E165="已完成","已结束",IF(AND(ISNUMBER(F165),ISNUMBER(G165),F165&lt;=项目驾驶舱!$B$3,G165&gt;=项目驾驶舱!$B$3),"进行中","计划中")))</f>
        <v>已结束</v>
      </c>
      <c r="J165" s="6" t="str">
        <f>IF(I165="待估算",IF(OR(F165="/",G165="/",F165="",G165=""),"补充计划日期","补充投入工时"),IF(AND(G165&lt;项目驾驶舱!$B$3,E165&lt;&gt;"已完成"),"确认延期和后续安排","按计划跟踪"))</f>
        <v>按计划跟踪</v>
      </c>
      <c r="K165" s="8"/>
      <c r="L165" t="s">
        <v>397</v>
      </c>
    </row>
    <row r="166" spans="1:12">
      <c r="B166" s="6" t="str">
        <f>项目总控台账!A10</f>
        <v>T007</v>
      </c>
      <c r="C166" s="6" t="str">
        <f>IF(AND(项目总控台账!E10&lt;&gt;"",项目总控台账!E10&lt;&gt;"/"),项目总控台账!E10,IF(AND(项目总控台账!D10&lt;&gt;"",项目总控台账!D10&lt;&gt;"/"),项目总控台账!D10,项目总控台账!C10))</f>
        <v>优化收费标准（装卸费）编辑</v>
      </c>
      <c r="D166" s="6" t="str">
        <f>项目总控台账!F10</f>
        <v>第一批次</v>
      </c>
      <c r="E166" s="6" t="str">
        <f>项目总控台账!G10</f>
        <v>已完成</v>
      </c>
      <c r="F166" s="17">
        <f>项目总控台账!R10</f>
        <v>46209</v>
      </c>
      <c r="G166" s="17">
        <f>项目总控台账!S10</f>
        <v>46227</v>
      </c>
      <c r="H166" s="70">
        <v>5.5</v>
      </c>
      <c r="I166" s="6" t="str">
        <f>IF(H166="","待估算",IF(E166="已完成","已结束",IF(AND(ISNUMBER(F166),ISNUMBER(G166),F166&lt;=项目驾驶舱!$B$3,G166&gt;=项目驾驶舱!$B$3),"进行中","计划中")))</f>
        <v>已结束</v>
      </c>
      <c r="J166" s="6" t="str">
        <f>IF(I166="待估算",IF(OR(F166="/",G166="/",F166="",G166=""),"补充计划日期","补充投入工时"),IF(AND(G166&lt;项目驾驶舱!$B$3,E166&lt;&gt;"已完成"),"确认延期和后续安排","按计划跟踪"))</f>
        <v>按计划跟踪</v>
      </c>
      <c r="K166" s="8"/>
      <c r="L166" t="s">
        <v>397</v>
      </c>
    </row>
    <row r="167" spans="1:12">
      <c r="B167" s="6" t="str">
        <f>项目总控台账!A11</f>
        <v>T008</v>
      </c>
      <c r="C167" s="6" t="str">
        <f>IF(AND(项目总控台账!E11&lt;&gt;"",项目总控台账!E11&lt;&gt;"/"),项目总控台账!E11,IF(AND(项目总控台账!D11&lt;&gt;"",项目总控台账!D11&lt;&gt;"/"),项目总控台账!D11,项目总控台账!C11))</f>
        <v>优化收费标准（装卸费）详情</v>
      </c>
      <c r="D167" s="6" t="str">
        <f>项目总控台账!F11</f>
        <v>第一批次</v>
      </c>
      <c r="E167" s="6" t="str">
        <f>项目总控台账!G11</f>
        <v>已完成</v>
      </c>
      <c r="F167" s="17">
        <f>项目总控台账!R11</f>
        <v>46209</v>
      </c>
      <c r="G167" s="17">
        <f>项目总控台账!S11</f>
        <v>46227</v>
      </c>
      <c r="H167" s="70">
        <v>5.5</v>
      </c>
      <c r="I167" s="6" t="str">
        <f>IF(H167="","待估算",IF(E167="已完成","已结束",IF(AND(ISNUMBER(F167),ISNUMBER(G167),F167&lt;=项目驾驶舱!$B$3,G167&gt;=项目驾驶舱!$B$3),"进行中","计划中")))</f>
        <v>已结束</v>
      </c>
      <c r="J167" s="6" t="str">
        <f>IF(I167="待估算",IF(OR(F167="/",G167="/",F167="",G167=""),"补充计划日期","补充投入工时"),IF(AND(G167&lt;项目驾驶舱!$B$3,E167&lt;&gt;"已完成"),"确认延期和后续安排","按计划跟踪"))</f>
        <v>按计划跟踪</v>
      </c>
      <c r="K167" s="8"/>
      <c r="L167" t="s">
        <v>397</v>
      </c>
    </row>
    <row r="168" spans="1:12">
      <c r="B168" s="6" t="str">
        <f>项目总控台账!A12</f>
        <v>T009</v>
      </c>
      <c r="C168" s="6" t="str">
        <f>IF(AND(项目总控台账!E12&lt;&gt;"",项目总控台账!E12&lt;&gt;"/"),项目总控台账!E12,IF(AND(项目总控台账!D12&lt;&gt;"",项目总控台账!D12&lt;&gt;"/"),项目总控台账!D12,项目总控台账!C12))</f>
        <v>优化采样方式新增</v>
      </c>
      <c r="D168" s="6" t="str">
        <f>项目总控台账!F12</f>
        <v>第一批次</v>
      </c>
      <c r="E168" s="6" t="str">
        <f>项目总控台账!G12</f>
        <v>已完成</v>
      </c>
      <c r="F168" s="17">
        <f>项目总控台账!R12</f>
        <v>46209</v>
      </c>
      <c r="G168" s="17">
        <f>项目总控台账!S12</f>
        <v>46227</v>
      </c>
      <c r="H168" s="70">
        <v>5.5</v>
      </c>
      <c r="I168" s="6" t="str">
        <f>IF(H168="","待估算",IF(E168="已完成","已结束",IF(AND(ISNUMBER(F168),ISNUMBER(G168),F168&lt;=项目驾驶舱!$B$3,G168&gt;=项目驾驶舱!$B$3),"进行中","计划中")))</f>
        <v>已结束</v>
      </c>
      <c r="J168" s="6" t="str">
        <f>IF(I168="待估算",IF(OR(F168="/",G168="/",F168="",G168=""),"补充计划日期","补充投入工时"),IF(AND(G168&lt;项目驾驶舱!$B$3,E168&lt;&gt;"已完成"),"确认延期和后续安排","按计划跟踪"))</f>
        <v>按计划跟踪</v>
      </c>
      <c r="K168" s="8"/>
      <c r="L168" t="s">
        <v>397</v>
      </c>
    </row>
    <row r="169" spans="1:12">
      <c r="A169" s="71"/>
      <c r="B169" s="6" t="str">
        <f>项目总控台账!A13</f>
        <v>T010</v>
      </c>
      <c r="C169" s="6" t="str">
        <f>IF(AND(项目总控台账!E13&lt;&gt;"",项目总控台账!E13&lt;&gt;"/"),项目总控台账!E13,IF(AND(项目总控台账!D13&lt;&gt;"",项目总控台账!D13&lt;&gt;"/"),项目总控台账!D13,项目总控台账!C13))</f>
        <v>优化采样方式编辑</v>
      </c>
      <c r="D169" s="6" t="str">
        <f>项目总控台账!F13</f>
        <v>第一批次</v>
      </c>
      <c r="E169" s="6" t="str">
        <f>项目总控台账!G13</f>
        <v>已完成</v>
      </c>
      <c r="F169" s="17">
        <f>项目总控台账!R13</f>
        <v>46209</v>
      </c>
      <c r="G169" s="17">
        <f>项目总控台账!S13</f>
        <v>46227</v>
      </c>
      <c r="H169" s="70">
        <v>5.5</v>
      </c>
      <c r="I169" s="6" t="str">
        <f>IF(H169="","待估算",IF(E169="已完成","已结束",IF(AND(ISNUMBER(F169),ISNUMBER(G169),F169&lt;=项目驾驶舱!$B$3,G169&gt;=项目驾驶舱!$B$3),"进行中","计划中")))</f>
        <v>已结束</v>
      </c>
      <c r="J169" s="6" t="str">
        <f>IF(I169="待估算",IF(OR(F169="/",G169="/",F169="",G169=""),"补充计划日期","补充投入工时"),IF(AND(G169&lt;项目驾驶舱!$B$3,E169&lt;&gt;"已完成"),"确认延期和后续安排","按计划跟踪"))</f>
        <v>按计划跟踪</v>
      </c>
      <c r="K169" s="8"/>
      <c r="L169" t="s">
        <v>397</v>
      </c>
    </row>
    <row r="170" spans="1:12">
      <c r="A170" s="72" t="s">
        <v>397</v>
      </c>
      <c r="B170" s="6" t="str">
        <f>项目总控台账!A14</f>
        <v>T011</v>
      </c>
      <c r="C170" s="6" t="str">
        <f>IF(AND(项目总控台账!E14&lt;&gt;"",项目总控台账!E14&lt;&gt;"/"),项目总控台账!E14,IF(AND(项目总控台账!D14&lt;&gt;"",项目总控台账!D14&lt;&gt;"/"),项目总控台账!D14,项目总控台账!C14))</f>
        <v>获取报单数据及展示</v>
      </c>
      <c r="D170" s="6" t="str">
        <f>项目总控台账!F14</f>
        <v>第一批次</v>
      </c>
      <c r="E170" s="6" t="str">
        <f>项目总控台账!G14</f>
        <v>已完成</v>
      </c>
      <c r="F170" s="17">
        <f>项目总控台账!R14</f>
        <v>46209</v>
      </c>
      <c r="G170" s="17">
        <f>项目总控台账!S14</f>
        <v>46227</v>
      </c>
      <c r="H170" s="70">
        <v>5.5</v>
      </c>
      <c r="I170" s="6" t="str">
        <f>IF(H170="","待估算",IF(E170="已完成","已结束",IF(AND(ISNUMBER(F170),ISNUMBER(G170),F170&lt;=项目驾驶舱!$B$3,G170&gt;=项目驾驶舱!$B$3),"进行中","计划中")))</f>
        <v>已结束</v>
      </c>
      <c r="J170" s="6" t="str">
        <f>IF(I170="待估算",IF(OR(F170="/",G170="/",F170="",G170=""),"补充计划日期","补充投入工时"),IF(AND(G170&lt;项目驾驶舱!$B$3,E170&lt;&gt;"已完成"),"确认延期和后续安排","按计划跟踪"))</f>
        <v>按计划跟踪</v>
      </c>
      <c r="K170" s="8"/>
      <c r="L170" t="s">
        <v>397</v>
      </c>
    </row>
    <row r="171" spans="1:12">
      <c r="B171" s="6" t="str">
        <f>项目总控台账!A15</f>
        <v>T012</v>
      </c>
      <c r="C171" s="6" t="str">
        <f>IF(AND(项目总控台账!E15&lt;&gt;"",项目总控台账!E15&lt;&gt;"/"),项目总控台账!E15,IF(AND(项目总控台账!D15&lt;&gt;"",项目总控台账!D15&lt;&gt;"/"),项目总控台账!D15,项目总控台账!C15))</f>
        <v>应单入口</v>
      </c>
      <c r="D171" s="6" t="str">
        <f>项目总控台账!F15</f>
        <v>第一批次</v>
      </c>
      <c r="E171" s="6" t="str">
        <f>项目总控台账!G15</f>
        <v>已完成</v>
      </c>
      <c r="F171" s="17">
        <f>项目总控台账!R15</f>
        <v>46209</v>
      </c>
      <c r="G171" s="17">
        <f>项目总控台账!S15</f>
        <v>46227</v>
      </c>
      <c r="H171" s="70">
        <v>5.5</v>
      </c>
      <c r="I171" s="6" t="str">
        <f>IF(H171="","待估算",IF(E171="已完成","已结束",IF(AND(ISNUMBER(F171),ISNUMBER(G171),F171&lt;=项目驾驶舱!$B$3,G171&gt;=项目驾驶舱!$B$3),"进行中","计划中")))</f>
        <v>已结束</v>
      </c>
      <c r="J171" s="6" t="str">
        <f>IF(I171="待估算",IF(OR(F171="/",G171="/",F171="",G171=""),"补充计划日期","补充投入工时"),IF(AND(G171&lt;项目驾驶舱!$B$3,E171&lt;&gt;"已完成"),"确认延期和后续安排","按计划跟踪"))</f>
        <v>按计划跟踪</v>
      </c>
      <c r="K171" s="8"/>
      <c r="L171" t="s">
        <v>397</v>
      </c>
    </row>
    <row r="172" spans="1:12">
      <c r="B172" s="6" t="str">
        <f>项目总控台账!A63</f>
        <v>T060</v>
      </c>
      <c r="C172" s="6" t="str">
        <f>IF(AND(项目总控台账!E63&lt;&gt;"",项目总控台账!E63&lt;&gt;"/"),项目总控台账!E63,IF(AND(项目总控台账!D63&lt;&gt;"",项目总控台账!D63&lt;&gt;"/"),项目总控台账!D63,项目总控台账!C63))</f>
        <v>货权录入</v>
      </c>
      <c r="D172" s="6" t="str">
        <f>项目总控台账!F63</f>
        <v>第一批次</v>
      </c>
      <c r="E172" s="6" t="str">
        <f>项目总控台账!G63</f>
        <v>已完成</v>
      </c>
      <c r="F172" s="17">
        <f>项目总控台账!R63</f>
        <v>46209</v>
      </c>
      <c r="G172" s="17">
        <f>项目总控台账!S63</f>
        <v>46227</v>
      </c>
      <c r="H172" s="70">
        <v>5.5</v>
      </c>
      <c r="I172" s="6" t="str">
        <f>IF(H172="","待估算",IF(E172="已完成","已结束",IF(AND(ISNUMBER(F172),ISNUMBER(G172),F172&lt;=项目驾驶舱!$B$3,G172&gt;=项目驾驶舱!$B$3),"进行中","计划中")))</f>
        <v>已结束</v>
      </c>
      <c r="J172" s="6" t="str">
        <f>IF(I172="待估算",IF(OR(F172="/",G172="/",F172="",G172=""),"补充计划日期","补充投入工时"),IF(AND(G172&lt;项目驾驶舱!$B$3,E172&lt;&gt;"已完成"),"确认延期和后续安排","按计划跟踪"))</f>
        <v>按计划跟踪</v>
      </c>
      <c r="K172" s="8"/>
      <c r="L172" t="s">
        <v>397</v>
      </c>
    </row>
    <row r="173" spans="1:12">
      <c r="B173" s="6" t="str">
        <f>项目总控台账!A64</f>
        <v>T061</v>
      </c>
      <c r="C173" s="6" t="str">
        <f>IF(AND(项目总控台账!E64&lt;&gt;"",项目总控台账!E64&lt;&gt;"/"),项目总控台账!E64,IF(AND(项目总控台账!D64&lt;&gt;"",项目总控台账!D64&lt;&gt;"/"),项目总控台账!D64,项目总控台账!C64))</f>
        <v>货权修改</v>
      </c>
      <c r="D173" s="6" t="str">
        <f>项目总控台账!F64</f>
        <v>第一批次</v>
      </c>
      <c r="E173" s="6" t="str">
        <f>项目总控台账!G64</f>
        <v>已完成</v>
      </c>
      <c r="F173" s="17">
        <f>项目总控台账!R64</f>
        <v>46209</v>
      </c>
      <c r="G173" s="17">
        <f>项目总控台账!S64</f>
        <v>46227</v>
      </c>
      <c r="H173" s="70">
        <v>5.5</v>
      </c>
      <c r="I173" s="6" t="str">
        <f>IF(H173="","待估算",IF(E173="已完成","已结束",IF(AND(ISNUMBER(F173),ISNUMBER(G173),F173&lt;=项目驾驶舱!$B$3,G173&gt;=项目驾驶舱!$B$3),"进行中","计划中")))</f>
        <v>已结束</v>
      </c>
      <c r="J173" s="6" t="str">
        <f>IF(I173="待估算",IF(OR(F173="/",G173="/",F173="",G173=""),"补充计划日期","补充投入工时"),IF(AND(G173&lt;项目驾驶舱!$B$3,E173&lt;&gt;"已完成"),"确认延期和后续安排","按计划跟踪"))</f>
        <v>按计划跟踪</v>
      </c>
      <c r="K173" s="8"/>
      <c r="L173" t="s">
        <v>397</v>
      </c>
    </row>
    <row r="174" spans="1:12">
      <c r="B174" s="6" t="str">
        <f>项目总控台账!A65</f>
        <v>T062</v>
      </c>
      <c r="C174" s="6" t="str">
        <f>IF(AND(项目总控台账!E65&lt;&gt;"",项目总控台账!E65&lt;&gt;"/"),项目总控台账!E65,IF(AND(项目总控台账!D65&lt;&gt;"",项目总控台账!D65&lt;&gt;"/"),项目总控台账!D65,项目总控台账!C65))</f>
        <v>获取查询</v>
      </c>
      <c r="D174" s="6" t="str">
        <f>项目总控台账!F65</f>
        <v>第一批次</v>
      </c>
      <c r="E174" s="6" t="str">
        <f>项目总控台账!G65</f>
        <v>已完成</v>
      </c>
      <c r="F174" s="17">
        <f>项目总控台账!R65</f>
        <v>46209</v>
      </c>
      <c r="G174" s="17">
        <f>项目总控台账!S65</f>
        <v>46227</v>
      </c>
      <c r="H174" s="70">
        <v>5.5</v>
      </c>
      <c r="I174" s="6" t="str">
        <f>IF(H174="","待估算",IF(E174="已完成","已结束",IF(AND(ISNUMBER(F174),ISNUMBER(G174),F174&lt;=项目驾驶舱!$B$3,G174&gt;=项目驾驶舱!$B$3),"进行中","计划中")))</f>
        <v>已结束</v>
      </c>
      <c r="J174" s="6" t="str">
        <f>IF(I174="待估算",IF(OR(F174="/",G174="/",F174="",G174=""),"补充计划日期","补充投入工时"),IF(AND(G174&lt;项目驾驶舱!$B$3,E174&lt;&gt;"已完成"),"确认延期和后续安排","按计划跟踪"))</f>
        <v>按计划跟踪</v>
      </c>
      <c r="K174" s="8"/>
      <c r="L174" t="s">
        <v>397</v>
      </c>
    </row>
    <row r="175" spans="1:12">
      <c r="B175" s="6" t="str">
        <f>项目总控台账!A66</f>
        <v>T063</v>
      </c>
      <c r="C175" s="6" t="str">
        <f>IF(AND(项目总控台账!E66&lt;&gt;"",项目总控台账!E66&lt;&gt;"/"),项目总控台账!E66,IF(AND(项目总控台账!D66&lt;&gt;"",项目总控台账!D66&lt;&gt;"/"),项目总控台账!D66,项目总控台账!C66))</f>
        <v>卸船作业货权跟踪</v>
      </c>
      <c r="D175" s="6" t="str">
        <f>项目总控台账!F66</f>
        <v>第一批次</v>
      </c>
      <c r="E175" s="6" t="str">
        <f>项目总控台账!G66</f>
        <v>已完成</v>
      </c>
      <c r="F175" s="17">
        <f>项目总控台账!R66</f>
        <v>46209</v>
      </c>
      <c r="G175" s="17">
        <f>项目总控台账!S66</f>
        <v>46227</v>
      </c>
      <c r="H175" s="70">
        <v>4.5</v>
      </c>
      <c r="I175" s="6" t="str">
        <f>IF(H175="","待估算",IF(E175="已完成","已结束",IF(AND(ISNUMBER(F175),ISNUMBER(G175),F175&lt;=项目驾驶舱!$B$3,G175&gt;=项目驾驶舱!$B$3),"进行中","计划中")))</f>
        <v>已结束</v>
      </c>
      <c r="J175" s="6" t="str">
        <f>IF(I175="待估算",IF(OR(F175="/",G175="/",F175="",G175=""),"补充计划日期","补充投入工时"),IF(AND(G175&lt;项目驾驶舱!$B$3,E175&lt;&gt;"已完成"),"确认延期和后续安排","按计划跟踪"))</f>
        <v>按计划跟踪</v>
      </c>
      <c r="K175" s="8"/>
      <c r="L175" t="s">
        <v>397</v>
      </c>
    </row>
    <row r="176" spans="1:12">
      <c r="B176" s="6" t="str">
        <f>项目总控台账!A67</f>
        <v>T064</v>
      </c>
      <c r="C176" s="6" t="str">
        <f>IF(AND(项目总控台账!E67&lt;&gt;"",项目总控台账!E67&lt;&gt;"/"),项目总控台账!E67,IF(AND(项目总控台账!D67&lt;&gt;"",项目总控台账!D67&lt;&gt;"/"),项目总控台账!D67,项目总控台账!C67))</f>
        <v>卸船作业货权跟踪</v>
      </c>
      <c r="D176" s="6" t="str">
        <f>项目总控台账!F67</f>
        <v>第一批次</v>
      </c>
      <c r="E176" s="6" t="str">
        <f>项目总控台账!G67</f>
        <v>已完成</v>
      </c>
      <c r="F176" s="17">
        <f>项目总控台账!R67</f>
        <v>46209</v>
      </c>
      <c r="G176" s="17">
        <f>项目总控台账!S67</f>
        <v>46227</v>
      </c>
      <c r="H176" s="70">
        <v>4.5</v>
      </c>
      <c r="I176" s="6" t="str">
        <f>IF(H176="","待估算",IF(E176="已完成","已结束",IF(AND(ISNUMBER(F176),ISNUMBER(G176),F176&lt;=项目驾驶舱!$B$3,G176&gt;=项目驾驶舱!$B$3),"进行中","计划中")))</f>
        <v>已结束</v>
      </c>
      <c r="J176" s="6" t="str">
        <f>IF(I176="待估算",IF(OR(F176="/",G176="/",F176="",G176=""),"补充计划日期","补充投入工时"),IF(AND(G176&lt;项目驾驶舱!$B$3,E176&lt;&gt;"已完成"),"确认延期和后续安排","按计划跟踪"))</f>
        <v>按计划跟踪</v>
      </c>
      <c r="K176" s="8"/>
      <c r="L176" t="s">
        <v>397</v>
      </c>
    </row>
    <row r="177" spans="1:12">
      <c r="B177" s="6" t="str">
        <f>项目总控台账!A68</f>
        <v>T065</v>
      </c>
      <c r="C177" s="6" t="str">
        <f>IF(AND(项目总控台账!E68&lt;&gt;"",项目总控台账!E68&lt;&gt;"/"),项目总控台账!E68,IF(AND(项目总控台账!D68&lt;&gt;"",项目总控台账!D68&lt;&gt;"/"),项目总控台账!D68,项目总控台账!C68))</f>
        <v>装船作业货权跟踪</v>
      </c>
      <c r="D177" s="6" t="str">
        <f>项目总控台账!F68</f>
        <v>第一批次</v>
      </c>
      <c r="E177" s="6" t="str">
        <f>项目总控台账!G68</f>
        <v>已完成</v>
      </c>
      <c r="F177" s="17">
        <f>项目总控台账!R68</f>
        <v>46209</v>
      </c>
      <c r="G177" s="17">
        <f>项目总控台账!S68</f>
        <v>46227</v>
      </c>
      <c r="H177" s="70">
        <v>4.5</v>
      </c>
      <c r="I177" s="6" t="str">
        <f>IF(H177="","待估算",IF(E177="已完成","已结束",IF(AND(ISNUMBER(F177),ISNUMBER(G177),F177&lt;=项目驾驶舱!$B$3,G177&gt;=项目驾驶舱!$B$3),"进行中","计划中")))</f>
        <v>已结束</v>
      </c>
      <c r="J177" s="6" t="str">
        <f>IF(I177="待估算",IF(OR(F177="/",G177="/",F177="",G177=""),"补充计划日期","补充投入工时"),IF(AND(G177&lt;项目驾驶舱!$B$3,E177&lt;&gt;"已完成"),"确认延期和后续安排","按计划跟踪"))</f>
        <v>按计划跟踪</v>
      </c>
      <c r="K177" s="8"/>
      <c r="L177" t="s">
        <v>397</v>
      </c>
    </row>
    <row r="178" spans="1:12">
      <c r="B178" s="6" t="str">
        <f>项目总控台账!A69</f>
        <v>T066</v>
      </c>
      <c r="C178" s="6" t="str">
        <f>IF(AND(项目总控台账!E69&lt;&gt;"",项目总控台账!E69&lt;&gt;"/"),项目总控台账!E69,IF(AND(项目总控台账!D69&lt;&gt;"",项目总控台账!D69&lt;&gt;"/"),项目总控台账!D69,项目总控台账!C69))</f>
        <v>装船作业货权跟踪</v>
      </c>
      <c r="D178" s="6" t="str">
        <f>项目总控台账!F69</f>
        <v>第一批次</v>
      </c>
      <c r="E178" s="6" t="str">
        <f>项目总控台账!G69</f>
        <v>已完成</v>
      </c>
      <c r="F178" s="17">
        <f>项目总控台账!R69</f>
        <v>46209</v>
      </c>
      <c r="G178" s="17">
        <f>项目总控台账!S69</f>
        <v>46227</v>
      </c>
      <c r="H178" s="70">
        <v>4.5</v>
      </c>
      <c r="I178" s="6" t="str">
        <f>IF(H178="","待估算",IF(E178="已完成","已结束",IF(AND(ISNUMBER(F178),ISNUMBER(G178),F178&lt;=项目驾驶舱!$B$3,G178&gt;=项目驾驶舱!$B$3),"进行中","计划中")))</f>
        <v>已结束</v>
      </c>
      <c r="J178" s="6" t="str">
        <f>IF(I178="待估算",IF(OR(F178="/",G178="/",F178="",G178=""),"补充计划日期","补充投入工时"),IF(AND(G178&lt;项目驾驶舱!$B$3,E178&lt;&gt;"已完成"),"确认延期和后续安排","按计划跟踪"))</f>
        <v>按计划跟踪</v>
      </c>
      <c r="K178" s="8"/>
      <c r="L178" t="s">
        <v>397</v>
      </c>
    </row>
    <row r="179" spans="1:12">
      <c r="B179" s="6" t="str">
        <f>项目总控台账!A70</f>
        <v>T067</v>
      </c>
      <c r="C179" s="6" t="str">
        <f>IF(AND(项目总控台账!E70&lt;&gt;"",项目总控台账!E70&lt;&gt;"/"),项目总控台账!E70,IF(AND(项目总控台账!D70&lt;&gt;"",项目总控台账!D70&lt;&gt;"/"),项目总控台账!D70,项目总控台账!C70))</f>
        <v>装船作业货权跟踪</v>
      </c>
      <c r="D179" s="6" t="str">
        <f>项目总控台账!F70</f>
        <v>第一批次</v>
      </c>
      <c r="E179" s="6" t="str">
        <f>项目总控台账!G70</f>
        <v>已完成</v>
      </c>
      <c r="F179" s="17">
        <f>项目总控台账!R70</f>
        <v>46209</v>
      </c>
      <c r="G179" s="17">
        <f>项目总控台账!S70</f>
        <v>46227</v>
      </c>
      <c r="H179" s="70">
        <v>4.5</v>
      </c>
      <c r="I179" s="6" t="str">
        <f>IF(H179="","待估算",IF(E179="已完成","已结束",IF(AND(ISNUMBER(F179),ISNUMBER(G179),F179&lt;=项目驾驶舱!$B$3,G179&gt;=项目驾驶舱!$B$3),"进行中","计划中")))</f>
        <v>已结束</v>
      </c>
      <c r="J179" s="6" t="str">
        <f>IF(I179="待估算",IF(OR(F179="/",G179="/",F179="",G179=""),"补充计划日期","补充投入工时"),IF(AND(G179&lt;项目驾驶舱!$B$3,E179&lt;&gt;"已完成"),"确认延期和后续安排","按计划跟踪"))</f>
        <v>按计划跟踪</v>
      </c>
      <c r="K179" s="8"/>
      <c r="L179" t="s">
        <v>397</v>
      </c>
    </row>
    <row r="180" spans="1:12">
      <c r="B180" s="6" t="str">
        <f>项目总控台账!A71</f>
        <v>T068</v>
      </c>
      <c r="C180" s="6" t="str">
        <f>IF(AND(项目总控台账!E71&lt;&gt;"",项目总控台账!E71&lt;&gt;"/"),项目总控台账!E71,IF(AND(项目总控台账!D71&lt;&gt;"",项目总控台账!D71&lt;&gt;"/"),项目总控台账!D71,项目总控台账!C71))</f>
        <v>装船作业货权跟踪</v>
      </c>
      <c r="D180" s="6" t="str">
        <f>项目总控台账!F71</f>
        <v>第一批次</v>
      </c>
      <c r="E180" s="6" t="str">
        <f>项目总控台账!G71</f>
        <v>已完成</v>
      </c>
      <c r="F180" s="17">
        <f>项目总控台账!R71</f>
        <v>46209</v>
      </c>
      <c r="G180" s="17">
        <f>项目总控台账!S71</f>
        <v>46227</v>
      </c>
      <c r="H180" s="70">
        <v>4.5</v>
      </c>
      <c r="I180" s="6" t="str">
        <f>IF(H180="","待估算",IF(E180="已完成","已结束",IF(AND(ISNUMBER(F180),ISNUMBER(G180),F180&lt;=项目驾驶舱!$B$3,G180&gt;=项目驾驶舱!$B$3),"进行中","计划中")))</f>
        <v>已结束</v>
      </c>
      <c r="J180" s="6" t="str">
        <f>IF(I180="待估算",IF(OR(F180="/",G180="/",F180="",G180=""),"补充计划日期","补充投入工时"),IF(AND(G180&lt;项目驾驶舱!$B$3,E180&lt;&gt;"已完成"),"确认延期和后续安排","按计划跟踪"))</f>
        <v>按计划跟踪</v>
      </c>
      <c r="K180" s="8"/>
      <c r="L180" t="s">
        <v>397</v>
      </c>
    </row>
    <row r="181" spans="1:12">
      <c r="A181" s="71"/>
      <c r="B181" s="6" t="str">
        <f>项目总控台账!A75</f>
        <v>T072</v>
      </c>
      <c r="C181" s="6" t="str">
        <f>IF(AND(项目总控台账!E75&lt;&gt;"",项目总控台账!E75&lt;&gt;"/"),项目总控台账!E75,IF(AND(项目总控台账!D75&lt;&gt;"",项目总控台账!D75&lt;&gt;"/"),项目总控台账!D75,项目总控台账!C75))</f>
        <v>OCR识别</v>
      </c>
      <c r="D181" s="6" t="str">
        <f>项目总控台账!F75</f>
        <v>第一批次</v>
      </c>
      <c r="E181" s="6" t="str">
        <f>项目总控台账!G75</f>
        <v>已完成</v>
      </c>
      <c r="F181" s="17">
        <f>项目总控台账!R75</f>
        <v>46209</v>
      </c>
      <c r="G181" s="17">
        <f>项目总控台账!S75</f>
        <v>46225</v>
      </c>
      <c r="H181" s="70">
        <v>4</v>
      </c>
      <c r="I181" s="6" t="str">
        <f>IF(H181="","待估算",IF(E181="已完成","已结束",IF(AND(ISNUMBER(F181),ISNUMBER(G181),F181&lt;=项目驾驶舱!$B$3,G181&gt;=项目驾驶舱!$B$3),"进行中","计划中")))</f>
        <v>已结束</v>
      </c>
      <c r="J181" s="6" t="str">
        <f>IF(I181="待估算",IF(OR(F181="/",G181="/",F181="",G181=""),"补充计划日期","补充投入工时"),IF(AND(G181&lt;项目驾驶舱!$B$3,E181&lt;&gt;"已完成"),"确认延期和后续安排","按计划跟踪"))</f>
        <v>按计划跟踪</v>
      </c>
      <c r="K181" s="8"/>
      <c r="L181" t="s">
        <v>397</v>
      </c>
    </row>
    <row r="182" spans="1:12">
      <c r="A182" s="72" t="s">
        <v>397</v>
      </c>
      <c r="B182" s="6" t="str">
        <f>项目总控台账!A99</f>
        <v>T096</v>
      </c>
      <c r="C182" s="6" t="str">
        <f>IF(AND(项目总控台账!E99&lt;&gt;"",项目总控台账!E99&lt;&gt;"/"),项目总控台账!E99,IF(AND(项目总控台账!D99&lt;&gt;"",项目总控台账!D99&lt;&gt;"/"),项目总控台账!D99,项目总控台账!C99))</f>
        <v>自动生成装船港杂费</v>
      </c>
      <c r="D182" s="6" t="str">
        <f>项目总控台账!F99</f>
        <v>第一批次</v>
      </c>
      <c r="E182" s="6" t="str">
        <f>项目总控台账!G99</f>
        <v>已完成</v>
      </c>
      <c r="F182" s="17">
        <f>项目总控台账!R99</f>
        <v>46209</v>
      </c>
      <c r="G182" s="17">
        <f>项目总控台账!S99</f>
        <v>46225</v>
      </c>
      <c r="H182" s="70">
        <v>4</v>
      </c>
      <c r="I182" s="6" t="str">
        <f>IF(H182="","待估算",IF(E182="已完成","已结束",IF(AND(ISNUMBER(F182),ISNUMBER(G182),F182&lt;=项目驾驶舱!$B$3,G182&gt;=项目驾驶舱!$B$3),"进行中","计划中")))</f>
        <v>已结束</v>
      </c>
      <c r="J182" s="6" t="str">
        <f>IF(I182="待估算",IF(OR(F182="/",G182="/",F182="",G182=""),"补充计划日期","补充投入工时"),IF(AND(G182&lt;项目驾驶舱!$B$3,E182&lt;&gt;"已完成"),"确认延期和后续安排","按计划跟踪"))</f>
        <v>按计划跟踪</v>
      </c>
      <c r="K182" s="8"/>
      <c r="L182" t="s">
        <v>397</v>
      </c>
    </row>
    <row r="183" spans="1:12">
      <c r="B183" s="6" t="str">
        <f>项目总控台账!A76</f>
        <v>T073</v>
      </c>
      <c r="C183" s="6" t="str">
        <f>IF(AND(项目总控台账!E76&lt;&gt;"",项目总控台账!E76&lt;&gt;"/"),项目总控台账!E76,IF(AND(项目总控台账!D76&lt;&gt;"",项目总控台账!D76&lt;&gt;"/"),项目总控台账!D76,项目总控台账!C76))</f>
        <v>采样作业信息录入新增</v>
      </c>
      <c r="D183" s="6" t="str">
        <f>项目总控台账!F76</f>
        <v>第一批次</v>
      </c>
      <c r="E183" s="6" t="str">
        <f>项目总控台账!G76</f>
        <v>已完成</v>
      </c>
      <c r="F183" s="17">
        <f>项目总控台账!R76</f>
        <v>46227</v>
      </c>
      <c r="G183" s="17">
        <f>项目总控台账!S76</f>
        <v>46227</v>
      </c>
      <c r="H183" s="70">
        <v>1</v>
      </c>
      <c r="I183" s="6" t="str">
        <f>IF(H183="","待估算",IF(E183="已完成","已结束",IF(AND(ISNUMBER(F183),ISNUMBER(G183),F183&lt;=项目驾驶舱!$B$3,G183&gt;=项目驾驶舱!$B$3),"进行中","计划中")))</f>
        <v>已结束</v>
      </c>
      <c r="J183" s="6" t="str">
        <f>IF(I183="待估算",IF(OR(F183="/",G183="/",F183="",G183=""),"补充计划日期","补充投入工时"),IF(AND(G183&lt;项目驾驶舱!$B$3,E183&lt;&gt;"已完成"),"确认延期和后续安排","按计划跟踪"))</f>
        <v>按计划跟踪</v>
      </c>
      <c r="K183" s="8"/>
      <c r="L183" t="s">
        <v>397</v>
      </c>
    </row>
    <row r="184" spans="1:12">
      <c r="B184" s="6" t="str">
        <f>项目总控台账!A77</f>
        <v>T074</v>
      </c>
      <c r="C184" s="6" t="str">
        <f>IF(AND(项目总控台账!E77&lt;&gt;"",项目总控台账!E77&lt;&gt;"/"),项目总控台账!E77,IF(AND(项目总控台账!D77&lt;&gt;"",项目总控台账!D77&lt;&gt;"/"),项目总控台账!D77,项目总控台账!C77))</f>
        <v>采样作业信息录入编辑</v>
      </c>
      <c r="D184" s="6" t="str">
        <f>项目总控台账!F77</f>
        <v>第一批次</v>
      </c>
      <c r="E184" s="6" t="str">
        <f>项目总控台账!G77</f>
        <v>已完成</v>
      </c>
      <c r="F184" s="17">
        <f>项目总控台账!R77</f>
        <v>46227</v>
      </c>
      <c r="G184" s="17">
        <f>项目总控台账!S77</f>
        <v>46227</v>
      </c>
      <c r="H184" s="70">
        <v>1</v>
      </c>
      <c r="I184" s="6" t="str">
        <f>IF(H184="","待估算",IF(E184="已完成","已结束",IF(AND(ISNUMBER(F184),ISNUMBER(G184),F184&lt;=项目驾驶舱!$B$3,G184&gt;=项目驾驶舱!$B$3),"进行中","计划中")))</f>
        <v>已结束</v>
      </c>
      <c r="J184" s="6" t="str">
        <f>IF(I184="待估算",IF(OR(F184="/",G184="/",F184="",G184=""),"补充计划日期","补充投入工时"),IF(AND(G184&lt;项目驾驶舱!$B$3,E184&lt;&gt;"已完成"),"确认延期和后续安排","按计划跟踪"))</f>
        <v>按计划跟踪</v>
      </c>
      <c r="K184" s="8"/>
      <c r="L184" t="s">
        <v>397</v>
      </c>
    </row>
    <row r="185" spans="1:12">
      <c r="B185" s="6" t="str">
        <f>项目总控台账!A78</f>
        <v>T075</v>
      </c>
      <c r="C185" s="6" t="str">
        <f>IF(AND(项目总控台账!E78&lt;&gt;"",项目总控台账!E78&lt;&gt;"/"),项目总控台账!E78,IF(AND(项目总控台账!D78&lt;&gt;"",项目总控台账!D78&lt;&gt;"/"),项目总控台账!D78,项目总控台账!C78))</f>
        <v>采样作业信息录入详情</v>
      </c>
      <c r="D185" s="6" t="str">
        <f>项目总控台账!F78</f>
        <v>第一批次</v>
      </c>
      <c r="E185" s="6" t="str">
        <f>项目总控台账!G78</f>
        <v>已完成</v>
      </c>
      <c r="F185" s="17">
        <f>项目总控台账!R78</f>
        <v>46227</v>
      </c>
      <c r="G185" s="17">
        <f>项目总控台账!S78</f>
        <v>46227</v>
      </c>
      <c r="H185" s="70">
        <v>1</v>
      </c>
      <c r="I185" s="6" t="str">
        <f>IF(H185="","待估算",IF(E185="已完成","已结束",IF(AND(ISNUMBER(F185),ISNUMBER(G185),F185&lt;=项目驾驶舱!$B$3,G185&gt;=项目驾驶舱!$B$3),"进行中","计划中")))</f>
        <v>已结束</v>
      </c>
      <c r="J185" s="6" t="str">
        <f>IF(I185="待估算",IF(OR(F185="/",G185="/",F185="",G185=""),"补充计划日期","补充投入工时"),IF(AND(G185&lt;项目驾驶舱!$B$3,E185&lt;&gt;"已完成"),"确认延期和后续安排","按计划跟踪"))</f>
        <v>按计划跟踪</v>
      </c>
      <c r="K185" s="8"/>
      <c r="L185" t="s">
        <v>397</v>
      </c>
    </row>
    <row r="186" spans="1:12">
      <c r="B186" s="6" t="str">
        <f>项目总控台账!A79</f>
        <v>T076</v>
      </c>
      <c r="C186" s="6" t="str">
        <f>IF(AND(项目总控台账!E79&lt;&gt;"",项目总控台账!E79&lt;&gt;"/"),项目总控台账!E79,IF(AND(项目总控台账!D79&lt;&gt;"",项目总控台账!D79&lt;&gt;"/"),项目总控台账!D79,项目总控台账!C79))</f>
        <v>采样作业信息录入删除</v>
      </c>
      <c r="D186" s="6" t="str">
        <f>项目总控台账!F79</f>
        <v>第一批次</v>
      </c>
      <c r="E186" s="6" t="str">
        <f>项目总控台账!G79</f>
        <v>已完成</v>
      </c>
      <c r="F186" s="17">
        <f>项目总控台账!R79</f>
        <v>46227</v>
      </c>
      <c r="G186" s="17">
        <f>项目总控台账!S79</f>
        <v>46227</v>
      </c>
      <c r="H186" s="70">
        <v>1</v>
      </c>
      <c r="I186" s="6" t="str">
        <f>IF(H186="","待估算",IF(E186="已完成","已结束",IF(AND(ISNUMBER(F186),ISNUMBER(G186),F186&lt;=项目驾驶舱!$B$3,G186&gt;=项目驾驶舱!$B$3),"进行中","计划中")))</f>
        <v>已结束</v>
      </c>
      <c r="J186" s="6" t="str">
        <f>IF(I186="待估算",IF(OR(F186="/",G186="/",F186="",G186=""),"补充计划日期","补充投入工时"),IF(AND(G186&lt;项目驾驶舱!$B$3,E186&lt;&gt;"已完成"),"确认延期和后续安排","按计划跟踪"))</f>
        <v>按计划跟踪</v>
      </c>
      <c r="K186" s="8"/>
      <c r="L186" t="s">
        <v>397</v>
      </c>
    </row>
    <row r="187" spans="1:12">
      <c r="B187" s="6" t="str">
        <f>项目总控台账!A80</f>
        <v>T077</v>
      </c>
      <c r="C187" s="6" t="str">
        <f>IF(AND(项目总控台账!E80&lt;&gt;"",项目总控台账!E80&lt;&gt;"/"),项目总控台账!E80,IF(AND(项目总控台账!D80&lt;&gt;"",项目总控台账!D80&lt;&gt;"/"),项目总控台账!D80,项目总控台账!C80))</f>
        <v>采样作业信息录入列表</v>
      </c>
      <c r="D187" s="6" t="str">
        <f>项目总控台账!F80</f>
        <v>第一批次</v>
      </c>
      <c r="E187" s="6" t="str">
        <f>项目总控台账!G80</f>
        <v>已完成</v>
      </c>
      <c r="F187" s="17">
        <f>项目总控台账!R80</f>
        <v>46227</v>
      </c>
      <c r="G187" s="17">
        <f>项目总控台账!S80</f>
        <v>46227</v>
      </c>
      <c r="H187" s="70">
        <v>1</v>
      </c>
      <c r="I187" s="6" t="str">
        <f>IF(H187="","待估算",IF(E187="已完成","已结束",IF(AND(ISNUMBER(F187),ISNUMBER(G187),F187&lt;=项目驾驶舱!$B$3,G187&gt;=项目驾驶舱!$B$3),"进行中","计划中")))</f>
        <v>已结束</v>
      </c>
      <c r="J187" s="6" t="str">
        <f>IF(I187="待估算",IF(OR(F187="/",G187="/",F187="",G187=""),"补充计划日期","补充投入工时"),IF(AND(G187&lt;项目驾驶舱!$B$3,E187&lt;&gt;"已完成"),"确认延期和后续安排","按计划跟踪"))</f>
        <v>按计划跟踪</v>
      </c>
      <c r="K187" s="8"/>
      <c r="L187" t="s">
        <v>397</v>
      </c>
    </row>
    <row r="188" spans="1:12">
      <c r="B188" s="6" t="str">
        <f>项目总控台账!A100</f>
        <v>T097</v>
      </c>
      <c r="C188" s="6" t="str">
        <f>IF(AND(项目总控台账!E100&lt;&gt;"",项目总控台账!E100&lt;&gt;"/"),项目总控台账!E100,IF(AND(项目总控台账!D100&lt;&gt;"",项目总控台账!D100&lt;&gt;"/"),项目总控台账!D100,项目总控台账!C100))</f>
        <v>自动生成租赁费</v>
      </c>
      <c r="D188" s="6" t="str">
        <f>项目总控台账!F100</f>
        <v>第一批次</v>
      </c>
      <c r="E188" s="6" t="str">
        <f>项目总控台账!G100</f>
        <v>已完成</v>
      </c>
      <c r="F188" s="17">
        <f>项目总控台账!R100</f>
        <v>46227</v>
      </c>
      <c r="G188" s="17">
        <f>项目总控台账!S100</f>
        <v>46227</v>
      </c>
      <c r="H188" s="70">
        <v>1</v>
      </c>
      <c r="I188" s="6" t="str">
        <f>IF(H188="","待估算",IF(E188="已完成","已结束",IF(AND(ISNUMBER(F188),ISNUMBER(G188),F188&lt;=项目驾驶舱!$B$3,G188&gt;=项目驾驶舱!$B$3),"进行中","计划中")))</f>
        <v>已结束</v>
      </c>
      <c r="J188" s="6" t="str">
        <f>IF(I188="待估算",IF(OR(F188="/",G188="/",F188="",G188=""),"补充计划日期","补充投入工时"),IF(AND(G188&lt;项目驾驶舱!$B$3,E188&lt;&gt;"已完成"),"确认延期和后续安排","按计划跟踪"))</f>
        <v>按计划跟踪</v>
      </c>
      <c r="K188" s="8"/>
      <c r="L188" t="s">
        <v>397</v>
      </c>
    </row>
    <row r="189" spans="1:12">
      <c r="B189" s="6" t="str">
        <f>项目总控台账!A101</f>
        <v>T098</v>
      </c>
      <c r="C189" s="6" t="str">
        <f>IF(AND(项目总控台账!E101&lt;&gt;"",项目总控台账!E101&lt;&gt;"/"),项目总控台账!E101,IF(AND(项目总控台账!D101&lt;&gt;"",项目总控台账!D101&lt;&gt;"/"),项目总控台账!D101,项目总控台账!C101))</f>
        <v>优化装卸费新增</v>
      </c>
      <c r="D189" s="6" t="str">
        <f>项目总控台账!F101</f>
        <v>第一批次</v>
      </c>
      <c r="E189" s="6" t="str">
        <f>项目总控台账!G101</f>
        <v>已完成</v>
      </c>
      <c r="F189" s="17">
        <f>项目总控台账!R101</f>
        <v>46227</v>
      </c>
      <c r="G189" s="17">
        <f>项目总控台账!S101</f>
        <v>46227</v>
      </c>
      <c r="H189" s="70">
        <v>1</v>
      </c>
      <c r="I189" s="6" t="str">
        <f>IF(H189="","待估算",IF(E189="已完成","已结束",IF(AND(ISNUMBER(F189),ISNUMBER(G189),F189&lt;=项目驾驶舱!$B$3,G189&gt;=项目驾驶舱!$B$3),"进行中","计划中")))</f>
        <v>已结束</v>
      </c>
      <c r="J189" s="6" t="str">
        <f>IF(I189="待估算",IF(OR(F189="/",G189="/",F189="",G189=""),"补充计划日期","补充投入工时"),IF(AND(G189&lt;项目驾驶舱!$B$3,E189&lt;&gt;"已完成"),"确认延期和后续安排","按计划跟踪"))</f>
        <v>按计划跟踪</v>
      </c>
      <c r="K189" s="8"/>
      <c r="L189" t="s">
        <v>397</v>
      </c>
    </row>
    <row r="190" spans="1:12">
      <c r="B190" s="6" t="str">
        <f>项目总控台账!A102</f>
        <v>T099</v>
      </c>
      <c r="C190" s="6" t="str">
        <f>IF(AND(项目总控台账!E102&lt;&gt;"",项目总控台账!E102&lt;&gt;"/"),项目总控台账!E102,IF(AND(项目总控台账!D102&lt;&gt;"",项目总控台账!D102&lt;&gt;"/"),项目总控台账!D102,项目总控台账!C102))</f>
        <v>优化装卸费编辑</v>
      </c>
      <c r="D190" s="6" t="str">
        <f>项目总控台账!F102</f>
        <v>第一批次</v>
      </c>
      <c r="E190" s="6" t="str">
        <f>项目总控台账!G102</f>
        <v>已完成</v>
      </c>
      <c r="F190" s="17">
        <f>项目总控台账!R102</f>
        <v>46227</v>
      </c>
      <c r="G190" s="17">
        <f>项目总控台账!S102</f>
        <v>46227</v>
      </c>
      <c r="H190" s="70">
        <v>1</v>
      </c>
      <c r="I190" s="6" t="str">
        <f>IF(H190="","待估算",IF(E190="已完成","已结束",IF(AND(ISNUMBER(F190),ISNUMBER(G190),F190&lt;=项目驾驶舱!$B$3,G190&gt;=项目驾驶舱!$B$3),"进行中","计划中")))</f>
        <v>已结束</v>
      </c>
      <c r="J190" s="6" t="str">
        <f>IF(I190="待估算",IF(OR(F190="/",G190="/",F190="",G190=""),"补充计划日期","补充投入工时"),IF(AND(G190&lt;项目驾驶舱!$B$3,E190&lt;&gt;"已完成"),"确认延期和后续安排","按计划跟踪"))</f>
        <v>按计划跟踪</v>
      </c>
      <c r="K190" s="8"/>
      <c r="L190" t="s">
        <v>397</v>
      </c>
    </row>
    <row r="191" spans="1:12">
      <c r="B191" s="6" t="str">
        <f>项目总控台账!A40</f>
        <v>T037</v>
      </c>
      <c r="C191" s="6" t="str">
        <f>IF(AND(项目总控台账!E40&lt;&gt;"",项目总控台账!E40&lt;&gt;"/"),项目总控台账!E40,IF(AND(项目总控台账!D40&lt;&gt;"",项目总控台账!D40&lt;&gt;"/"),项目总控台账!D40,项目总控台账!C40))</f>
        <v>创建卸车流程</v>
      </c>
      <c r="D191" s="6" t="str">
        <f>项目总控台账!F40</f>
        <v>第一批次</v>
      </c>
      <c r="E191" s="6" t="str">
        <f>项目总控台账!G40</f>
        <v>已完成</v>
      </c>
      <c r="F191" s="17">
        <f>项目总控台账!R40</f>
        <v>46230</v>
      </c>
      <c r="G191" s="17">
        <f>项目总控台账!S40</f>
        <v>46262</v>
      </c>
      <c r="H191" s="70">
        <v>9.5</v>
      </c>
      <c r="I191" s="6" t="str">
        <f>IF(H191="","待估算",IF(E191="已完成","已结束",IF(AND(ISNUMBER(F191),ISNUMBER(G191),F191&lt;=项目驾驶舱!$B$3,G191&gt;=项目驾驶舱!$B$3),"进行中","计划中")))</f>
        <v>已结束</v>
      </c>
      <c r="J191" s="6" t="str">
        <f>IF(I191="待估算",IF(OR(F191="/",G191="/",F191="",G191=""),"补充计划日期","补充投入工时"),IF(AND(G191&lt;项目驾驶舱!$B$3,E191&lt;&gt;"已完成"),"确认延期和后续安排","按计划跟踪"))</f>
        <v>按计划跟踪</v>
      </c>
      <c r="K191" s="8"/>
      <c r="L191" t="s">
        <v>397</v>
      </c>
    </row>
    <row r="192" spans="1:12">
      <c r="B192" s="6" t="str">
        <f>项目总控台账!A41</f>
        <v>T038</v>
      </c>
      <c r="C192" s="6" t="str">
        <f>IF(AND(项目总控台账!E41&lt;&gt;"",项目总控台账!E41&lt;&gt;"/"),项目总控台账!E41,IF(AND(项目总控台账!D41&lt;&gt;"",项目总控台账!D41&lt;&gt;"/"),项目总控台账!D41,项目总控台账!C41))</f>
        <v>查询卸车流程</v>
      </c>
      <c r="D192" s="6" t="str">
        <f>项目总控台账!F41</f>
        <v>第一批次</v>
      </c>
      <c r="E192" s="6" t="str">
        <f>项目总控台账!G41</f>
        <v>已完成</v>
      </c>
      <c r="F192" s="17">
        <f>项目总控台账!R41</f>
        <v>46230</v>
      </c>
      <c r="G192" s="17">
        <f>项目总控台账!S41</f>
        <v>46262</v>
      </c>
      <c r="H192" s="70">
        <v>9.5</v>
      </c>
      <c r="I192" s="6" t="str">
        <f>IF(H192="","待估算",IF(E192="已完成","已结束",IF(AND(ISNUMBER(F192),ISNUMBER(G192),F192&lt;=项目驾驶舱!$B$3,G192&gt;=项目驾驶舱!$B$3),"进行中","计划中")))</f>
        <v>已结束</v>
      </c>
      <c r="J192" s="6" t="str">
        <f>IF(I192="待估算",IF(OR(F192="/",G192="/",F192="",G192=""),"补充计划日期","补充投入工时"),IF(AND(G192&lt;项目驾驶舱!$B$3,E192&lt;&gt;"已完成"),"确认延期和后续安排","按计划跟踪"))</f>
        <v>按计划跟踪</v>
      </c>
      <c r="K192" s="8"/>
      <c r="L192" t="s">
        <v>397</v>
      </c>
    </row>
    <row r="193" spans="1:12">
      <c r="A193" s="71"/>
      <c r="B193" s="6" t="str">
        <f>项目总控台账!A42</f>
        <v>T039</v>
      </c>
      <c r="C193" s="6" t="str">
        <f>IF(AND(项目总控台账!E42&lt;&gt;"",项目总控台账!E42&lt;&gt;"/"),项目总控台账!E42,IF(AND(项目总控台账!D42&lt;&gt;"",项目总控台账!D42&lt;&gt;"/"),项目总控台账!D42,项目总控台账!C42))</f>
        <v>修改卸车流程</v>
      </c>
      <c r="D193" s="6" t="str">
        <f>项目总控台账!F42</f>
        <v>第一批次</v>
      </c>
      <c r="E193" s="6" t="str">
        <f>项目总控台账!G42</f>
        <v>已完成</v>
      </c>
      <c r="F193" s="17">
        <f>项目总控台账!R42</f>
        <v>46230</v>
      </c>
      <c r="G193" s="17">
        <f>项目总控台账!S42</f>
        <v>46262</v>
      </c>
      <c r="H193" s="70">
        <v>8.5</v>
      </c>
      <c r="I193" s="6" t="str">
        <f>IF(H193="","待估算",IF(E193="已完成","已结束",IF(AND(ISNUMBER(F193),ISNUMBER(G193),F193&lt;=项目驾驶舱!$B$3,G193&gt;=项目驾驶舱!$B$3),"进行中","计划中")))</f>
        <v>已结束</v>
      </c>
      <c r="J193" s="6" t="str">
        <f>IF(I193="待估算",IF(OR(F193="/",G193="/",F193="",G193=""),"补充计划日期","补充投入工时"),IF(AND(G193&lt;项目驾驶舱!$B$3,E193&lt;&gt;"已完成"),"确认延期和后续安排","按计划跟踪"))</f>
        <v>按计划跟踪</v>
      </c>
      <c r="K193" s="8"/>
      <c r="L193" t="s">
        <v>397</v>
      </c>
    </row>
    <row r="194" spans="1:12">
      <c r="A194" s="72" t="s">
        <v>397</v>
      </c>
      <c r="B194" s="6" t="str">
        <f>项目总控台账!A43</f>
        <v>T040</v>
      </c>
      <c r="C194" s="6" t="str">
        <f>IF(AND(项目总控台账!E43&lt;&gt;"",项目总控台账!E43&lt;&gt;"/"),项目总控台账!E43,IF(AND(项目总控台账!D43&lt;&gt;"",项目总控台账!D43&lt;&gt;"/"),项目总控台账!D43,项目总控台账!C43))</f>
        <v>创建装船流程</v>
      </c>
      <c r="D194" s="6" t="str">
        <f>项目总控台账!F43</f>
        <v>第一批次</v>
      </c>
      <c r="E194" s="6" t="str">
        <f>项目总控台账!G43</f>
        <v>已完成</v>
      </c>
      <c r="F194" s="17">
        <f>项目总控台账!R43</f>
        <v>46230</v>
      </c>
      <c r="G194" s="17">
        <f>项目总控台账!S43</f>
        <v>46262</v>
      </c>
      <c r="H194" s="70">
        <v>8.5</v>
      </c>
      <c r="I194" s="6" t="str">
        <f>IF(H194="","待估算",IF(E194="已完成","已结束",IF(AND(ISNUMBER(F194),ISNUMBER(G194),F194&lt;=项目驾驶舱!$B$3,G194&gt;=项目驾驶舱!$B$3),"进行中","计划中")))</f>
        <v>已结束</v>
      </c>
      <c r="J194" s="6" t="str">
        <f>IF(I194="待估算",IF(OR(F194="/",G194="/",F194="",G194=""),"补充计划日期","补充投入工时"),IF(AND(G194&lt;项目驾驶舱!$B$3,E194&lt;&gt;"已完成"),"确认延期和后续安排","按计划跟踪"))</f>
        <v>按计划跟踪</v>
      </c>
      <c r="K194" s="8"/>
      <c r="L194" t="s">
        <v>397</v>
      </c>
    </row>
    <row r="195" spans="1:12">
      <c r="B195" s="6" t="str">
        <f>项目总控台账!A44</f>
        <v>T041</v>
      </c>
      <c r="C195" s="6" t="str">
        <f>IF(AND(项目总控台账!E44&lt;&gt;"",项目总控台账!E44&lt;&gt;"/"),项目总控台账!E44,IF(AND(项目总控台账!D44&lt;&gt;"",项目总控台账!D44&lt;&gt;"/"),项目总控台账!D44,项目总控台账!C44))</f>
        <v>查询装船流程</v>
      </c>
      <c r="D195" s="6" t="str">
        <f>项目总控台账!F44</f>
        <v>第一批次</v>
      </c>
      <c r="E195" s="6" t="str">
        <f>项目总控台账!G44</f>
        <v>已完成</v>
      </c>
      <c r="F195" s="17">
        <f>项目总控台账!R44</f>
        <v>46230</v>
      </c>
      <c r="G195" s="17">
        <f>项目总控台账!S44</f>
        <v>46262</v>
      </c>
      <c r="H195" s="70">
        <v>8.5</v>
      </c>
      <c r="I195" s="6" t="str">
        <f>IF(H195="","待估算",IF(E195="已完成","已结束",IF(AND(ISNUMBER(F195),ISNUMBER(G195),F195&lt;=项目驾驶舱!$B$3,G195&gt;=项目驾驶舱!$B$3),"进行中","计划中")))</f>
        <v>已结束</v>
      </c>
      <c r="J195" s="6" t="str">
        <f>IF(I195="待估算",IF(OR(F195="/",G195="/",F195="",G195=""),"补充计划日期","补充投入工时"),IF(AND(G195&lt;项目驾驶舱!$B$3,E195&lt;&gt;"已完成"),"确认延期和后续安排","按计划跟踪"))</f>
        <v>按计划跟踪</v>
      </c>
      <c r="K195" s="8"/>
      <c r="L195" t="s">
        <v>397</v>
      </c>
    </row>
    <row r="196" spans="1:12">
      <c r="B196" s="6" t="str">
        <f>项目总控台账!A45</f>
        <v>T042</v>
      </c>
      <c r="C196" s="6" t="str">
        <f>IF(AND(项目总控台账!E45&lt;&gt;"",项目总控台账!E45&lt;&gt;"/"),项目总控台账!E45,IF(AND(项目总控台账!D45&lt;&gt;"",项目总控台账!D45&lt;&gt;"/"),项目总控台账!D45,项目总控台账!C45))</f>
        <v>修改装船流程</v>
      </c>
      <c r="D196" s="6" t="str">
        <f>项目总控台账!F45</f>
        <v>第一批次</v>
      </c>
      <c r="E196" s="6" t="str">
        <f>项目总控台账!G45</f>
        <v>已完成</v>
      </c>
      <c r="F196" s="17">
        <f>项目总控台账!R45</f>
        <v>46230</v>
      </c>
      <c r="G196" s="17">
        <f>项目总控台账!S45</f>
        <v>46262</v>
      </c>
      <c r="H196" s="70">
        <v>8.5</v>
      </c>
      <c r="I196" s="6" t="str">
        <f>IF(H196="","待估算",IF(E196="已完成","已结束",IF(AND(ISNUMBER(F196),ISNUMBER(G196),F196&lt;=项目驾驶舱!$B$3,G196&gt;=项目驾驶舱!$B$3),"进行中","计划中")))</f>
        <v>已结束</v>
      </c>
      <c r="J196" s="6" t="str">
        <f>IF(I196="待估算",IF(OR(F196="/",G196="/",F196="",G196=""),"补充计划日期","补充投入工时"),IF(AND(G196&lt;项目驾驶舱!$B$3,E196&lt;&gt;"已完成"),"确认延期和后续安排","按计划跟踪"))</f>
        <v>按计划跟踪</v>
      </c>
      <c r="K196" s="8"/>
      <c r="L196" t="s">
        <v>397</v>
      </c>
    </row>
    <row r="197" spans="1:12">
      <c r="B197" s="6" t="str">
        <f>项目总控台账!A46</f>
        <v>T043</v>
      </c>
      <c r="C197" s="6" t="str">
        <f>IF(AND(项目总控台账!E46&lt;&gt;"",项目总控台账!E46&lt;&gt;"/"),项目总控台账!E46,IF(AND(项目总控台账!D46&lt;&gt;"",项目总控台账!D46&lt;&gt;"/"),项目总控台账!D46,项目总控台账!C46))</f>
        <v>创建卸船流程</v>
      </c>
      <c r="D197" s="6" t="str">
        <f>项目总控台账!F46</f>
        <v>第二批次</v>
      </c>
      <c r="E197" s="6" t="str">
        <f>项目总控台账!G46</f>
        <v>已完成</v>
      </c>
      <c r="F197" s="17">
        <f>项目总控台账!R46</f>
        <v>46230</v>
      </c>
      <c r="G197" s="17">
        <f>项目总控台账!S46</f>
        <v>46262</v>
      </c>
      <c r="H197" s="70">
        <v>8.5</v>
      </c>
      <c r="I197" s="6" t="str">
        <f>IF(H197="","待估算",IF(E197="已完成","已结束",IF(AND(ISNUMBER(F197),ISNUMBER(G197),F197&lt;=项目驾驶舱!$B$3,G197&gt;=项目驾驶舱!$B$3),"进行中","计划中")))</f>
        <v>已结束</v>
      </c>
      <c r="J197" s="6" t="str">
        <f>IF(I197="待估算",IF(OR(F197="/",G197="/",F197="",G197=""),"补充计划日期","补充投入工时"),IF(AND(G197&lt;项目驾驶舱!$B$3,E197&lt;&gt;"已完成"),"确认延期和后续安排","按计划跟踪"))</f>
        <v>按计划跟踪</v>
      </c>
      <c r="K197" s="8"/>
      <c r="L197" t="s">
        <v>397</v>
      </c>
    </row>
    <row r="198" spans="1:12">
      <c r="B198" s="6" t="str">
        <f>项目总控台账!A47</f>
        <v>T044</v>
      </c>
      <c r="C198" s="6" t="str">
        <f>IF(AND(项目总控台账!E47&lt;&gt;"",项目总控台账!E47&lt;&gt;"/"),项目总控台账!E47,IF(AND(项目总控台账!D47&lt;&gt;"",项目总控台账!D47&lt;&gt;"/"),项目总控台账!D47,项目总控台账!C47))</f>
        <v>查询卸船流程</v>
      </c>
      <c r="D198" s="6" t="str">
        <f>项目总控台账!F47</f>
        <v>第二批次</v>
      </c>
      <c r="E198" s="6" t="str">
        <f>项目总控台账!G47</f>
        <v>已完成</v>
      </c>
      <c r="F198" s="17">
        <f>项目总控台账!R47</f>
        <v>46230</v>
      </c>
      <c r="G198" s="17">
        <f>项目总控台账!S47</f>
        <v>46262</v>
      </c>
      <c r="H198" s="70">
        <v>8.5</v>
      </c>
      <c r="I198" s="6" t="str">
        <f>IF(H198="","待估算",IF(E198="已完成","已结束",IF(AND(ISNUMBER(F198),ISNUMBER(G198),F198&lt;=项目驾驶舱!$B$3,G198&gt;=项目驾驶舱!$B$3),"进行中","计划中")))</f>
        <v>已结束</v>
      </c>
      <c r="J198" s="6" t="str">
        <f>IF(I198="待估算",IF(OR(F198="/",G198="/",F198="",G198=""),"补充计划日期","补充投入工时"),IF(AND(G198&lt;项目驾驶舱!$B$3,E198&lt;&gt;"已完成"),"确认延期和后续安排","按计划跟踪"))</f>
        <v>按计划跟踪</v>
      </c>
      <c r="K198" s="8"/>
      <c r="L198" t="s">
        <v>397</v>
      </c>
    </row>
    <row r="199" spans="1:12">
      <c r="B199" s="6" t="str">
        <f>项目总控台账!A48</f>
        <v>T045</v>
      </c>
      <c r="C199" s="6" t="str">
        <f>IF(AND(项目总控台账!E48&lt;&gt;"",项目总控台账!E48&lt;&gt;"/"),项目总控台账!E48,IF(AND(项目总控台账!D48&lt;&gt;"",项目总控台账!D48&lt;&gt;"/"),项目总控台账!D48,项目总控台账!C48))</f>
        <v>修改卸船流程</v>
      </c>
      <c r="D199" s="6" t="str">
        <f>项目总控台账!F48</f>
        <v>第二批次</v>
      </c>
      <c r="E199" s="6" t="str">
        <f>项目总控台账!G48</f>
        <v>已完成</v>
      </c>
      <c r="F199" s="17">
        <f>项目总控台账!R48</f>
        <v>46230</v>
      </c>
      <c r="G199" s="17">
        <f>项目总控台账!S48</f>
        <v>46262</v>
      </c>
      <c r="H199" s="70">
        <v>8</v>
      </c>
      <c r="I199" s="6" t="str">
        <f>IF(H199="","待估算",IF(E199="已完成","已结束",IF(AND(ISNUMBER(F199),ISNUMBER(G199),F199&lt;=项目驾驶舱!$B$3,G199&gt;=项目驾驶舱!$B$3),"进行中","计划中")))</f>
        <v>已结束</v>
      </c>
      <c r="J199" s="6" t="str">
        <f>IF(I199="待估算",IF(OR(F199="/",G199="/",F199="",G199=""),"补充计划日期","补充投入工时"),IF(AND(G199&lt;项目驾驶舱!$B$3,E199&lt;&gt;"已完成"),"确认延期和后续安排","按计划跟踪"))</f>
        <v>按计划跟踪</v>
      </c>
      <c r="K199" s="8"/>
      <c r="L199" t="s">
        <v>397</v>
      </c>
    </row>
    <row r="200" spans="1:12">
      <c r="B200" s="6" t="str">
        <f>项目总控台账!A62</f>
        <v>T059</v>
      </c>
      <c r="C200" s="6" t="str">
        <f>IF(AND(项目总控台账!E62&lt;&gt;"",项目总控台账!E62&lt;&gt;"/"),项目总控台账!E62,IF(AND(项目总控台账!D62&lt;&gt;"",项目总控台账!D62&lt;&gt;"/"),项目总控台账!D62,项目总控台账!C62))</f>
        <v>优化新增装车作业信息</v>
      </c>
      <c r="D200" s="6" t="str">
        <f>项目总控台账!F62</f>
        <v>第一批次</v>
      </c>
      <c r="E200" s="6" t="str">
        <f>项目总控台账!G62</f>
        <v>已完成</v>
      </c>
      <c r="F200" s="17">
        <f>项目总控台账!R62</f>
        <v>46230</v>
      </c>
      <c r="G200" s="17">
        <f>项目总控台账!S62</f>
        <v>46241</v>
      </c>
      <c r="H200" s="70">
        <v>3</v>
      </c>
      <c r="I200" s="6" t="str">
        <f>IF(H200="","待估算",IF(E200="已完成","已结束",IF(AND(ISNUMBER(F200),ISNUMBER(G200),F200&lt;=项目驾驶舱!$B$3,G200&gt;=项目驾驶舱!$B$3),"进行中","计划中")))</f>
        <v>已结束</v>
      </c>
      <c r="J200" s="6" t="str">
        <f>IF(I200="待估算",IF(OR(F200="/",G200="/",F200="",G200=""),"补充计划日期","补充投入工时"),IF(AND(G200&lt;项目驾驶舱!$B$3,E200&lt;&gt;"已完成"),"确认延期和后续安排","按计划跟踪"))</f>
        <v>按计划跟踪</v>
      </c>
      <c r="K200" s="8"/>
      <c r="L200" t="s">
        <v>397</v>
      </c>
    </row>
    <row r="201" spans="1:12">
      <c r="B201" s="6" t="str">
        <f>项目总控台账!A107</f>
        <v>T104</v>
      </c>
      <c r="C201" s="6" t="str">
        <f>IF(AND(项目总控台账!E107&lt;&gt;"",项目总控台账!E107&lt;&gt;"/"),项目总控台账!E107,IF(AND(项目总控台账!D107&lt;&gt;"",项目总控台账!D107&lt;&gt;"/"),项目总控台账!D107,项目总控台账!C107))</f>
        <v>吞吐量统计（曹妃甸）</v>
      </c>
      <c r="D201" s="6" t="str">
        <f>项目总控台账!F107</f>
        <v>第一批次</v>
      </c>
      <c r="E201" s="6" t="str">
        <f>项目总控台账!G107</f>
        <v>已完成</v>
      </c>
      <c r="F201" s="17">
        <f>项目总控台账!R107</f>
        <v>46230</v>
      </c>
      <c r="G201" s="17">
        <f>项目总控台账!S107</f>
        <v>46262</v>
      </c>
      <c r="H201" s="70">
        <v>8</v>
      </c>
      <c r="I201" s="6" t="str">
        <f>IF(H201="","待估算",IF(E201="已完成","已结束",IF(AND(ISNUMBER(F201),ISNUMBER(G201),F201&lt;=项目驾驶舱!$B$3,G201&gt;=项目驾驶舱!$B$3),"进行中","计划中")))</f>
        <v>已结束</v>
      </c>
      <c r="J201" s="6" t="str">
        <f>IF(I201="待估算",IF(OR(F201="/",G201="/",F201="",G201=""),"补充计划日期","补充投入工时"),IF(AND(G201&lt;项目驾驶舱!$B$3,E201&lt;&gt;"已完成"),"确认延期和后续安排","按计划跟踪"))</f>
        <v>按计划跟踪</v>
      </c>
      <c r="K201" s="8"/>
      <c r="L201" t="s">
        <v>397</v>
      </c>
    </row>
    <row r="202" spans="1:12">
      <c r="B202" s="6" t="str">
        <f>项目总控台账!A108</f>
        <v>T105</v>
      </c>
      <c r="C202" s="6" t="str">
        <f>IF(AND(项目总控台账!E108&lt;&gt;"",项目总控台账!E108&lt;&gt;"/"),项目总控台账!E108,IF(AND(项目总控台账!D108&lt;&gt;"",项目总控台账!D108&lt;&gt;"/"),项目总控台账!D108,项目总控台账!C108))</f>
        <v>泊位占用率分析（曹妃甸）</v>
      </c>
      <c r="D202" s="6" t="str">
        <f>项目总控台账!F108</f>
        <v>第一批次</v>
      </c>
      <c r="E202" s="6" t="str">
        <f>项目总控台账!G108</f>
        <v>已完成</v>
      </c>
      <c r="F202" s="17">
        <f>项目总控台账!R108</f>
        <v>46230</v>
      </c>
      <c r="G202" s="17">
        <f>项目总控台账!S108</f>
        <v>46262</v>
      </c>
      <c r="H202" s="70">
        <v>8</v>
      </c>
      <c r="I202" s="6" t="str">
        <f>IF(H202="","待估算",IF(E202="已完成","已结束",IF(AND(ISNUMBER(F202),ISNUMBER(G202),F202&lt;=项目驾驶舱!$B$3,G202&gt;=项目驾驶舱!$B$3),"进行中","计划中")))</f>
        <v>已结束</v>
      </c>
      <c r="J202" s="6" t="str">
        <f>IF(I202="待估算",IF(OR(F202="/",G202="/",F202="",G202=""),"补充计划日期","补充投入工时"),IF(AND(G202&lt;项目驾驶舱!$B$3,E202&lt;&gt;"已完成"),"确认延期和后续安排","按计划跟踪"))</f>
        <v>按计划跟踪</v>
      </c>
      <c r="K202" s="8"/>
      <c r="L202" t="s">
        <v>397</v>
      </c>
    </row>
    <row r="203" spans="1:12">
      <c r="B203" s="6" t="str">
        <f>项目总控台账!A109</f>
        <v>T106</v>
      </c>
      <c r="C203" s="6" t="str">
        <f>IF(AND(项目总控台账!E109&lt;&gt;"",项目总控台账!E109&lt;&gt;"/"),项目总控台账!E109,IF(AND(项目总控台账!D109&lt;&gt;"",项目总控台账!D109&lt;&gt;"/"),项目总控台账!D109,项目总控台账!C109))</f>
        <v>堆存库存统计（曹妃甸）</v>
      </c>
      <c r="D203" s="6" t="str">
        <f>项目总控台账!F109</f>
        <v>第一批次</v>
      </c>
      <c r="E203" s="6" t="str">
        <f>项目总控台账!G109</f>
        <v>已完成</v>
      </c>
      <c r="F203" s="17">
        <f>项目总控台账!R109</f>
        <v>46230</v>
      </c>
      <c r="G203" s="17">
        <f>项目总控台账!S109</f>
        <v>46262</v>
      </c>
      <c r="H203" s="70">
        <v>7.5</v>
      </c>
      <c r="I203" s="6" t="str">
        <f>IF(H203="","待估算",IF(E203="已完成","已结束",IF(AND(ISNUMBER(F203),ISNUMBER(G203),F203&lt;=项目驾驶舱!$B$3,G203&gt;=项目驾驶舱!$B$3),"进行中","计划中")))</f>
        <v>已结束</v>
      </c>
      <c r="J203" s="6" t="str">
        <f>IF(I203="待估算",IF(OR(F203="/",G203="/",F203="",G203=""),"补充计划日期","补充投入工时"),IF(AND(G203&lt;项目驾驶舱!$B$3,E203&lt;&gt;"已完成"),"确认延期和后续安排","按计划跟踪"))</f>
        <v>按计划跟踪</v>
      </c>
      <c r="K203" s="8"/>
      <c r="L203" t="s">
        <v>397</v>
      </c>
    </row>
    <row r="204" spans="1:12">
      <c r="B204" s="6" t="str">
        <f>项目总控台账!A110</f>
        <v>T107</v>
      </c>
      <c r="C204" s="6" t="str">
        <f>IF(AND(项目总控台账!E110&lt;&gt;"",项目总控台账!E110&lt;&gt;"/"),项目总控台账!E110,IF(AND(项目总控台账!D110&lt;&gt;"",项目总控台账!D110&lt;&gt;"/"),项目总控台账!D110,项目总控台账!C110))</f>
        <v>分货主实时统计表（曹妃甸）</v>
      </c>
      <c r="D204" s="6" t="str">
        <f>项目总控台账!F110</f>
        <v>第一批次</v>
      </c>
      <c r="E204" s="6" t="str">
        <f>项目总控台账!G110</f>
        <v>已完成</v>
      </c>
      <c r="F204" s="17">
        <f>项目总控台账!R110</f>
        <v>46230</v>
      </c>
      <c r="G204" s="17">
        <f>项目总控台账!S110</f>
        <v>46262</v>
      </c>
      <c r="H204" s="70">
        <v>7.5</v>
      </c>
      <c r="I204" s="6" t="str">
        <f>IF(H204="","待估算",IF(E204="已完成","已结束",IF(AND(ISNUMBER(F204),ISNUMBER(G204),F204&lt;=项目驾驶舱!$B$3,G204&gt;=项目驾驶舱!$B$3),"进行中","计划中")))</f>
        <v>已结束</v>
      </c>
      <c r="J204" s="6" t="str">
        <f>IF(I204="待估算",IF(OR(F204="/",G204="/",F204="",G204=""),"补充计划日期","补充投入工时"),IF(AND(G204&lt;项目驾驶舱!$B$3,E204&lt;&gt;"已完成"),"确认延期和后续安排","按计划跟踪"))</f>
        <v>按计划跟踪</v>
      </c>
      <c r="K204" s="8"/>
      <c r="L204" t="s">
        <v>397</v>
      </c>
    </row>
    <row r="205" spans="1:12">
      <c r="A205" s="71"/>
      <c r="B205" s="6" t="str">
        <f>项目总控台账!A111</f>
        <v>T108</v>
      </c>
      <c r="C205" s="6" t="str">
        <f>IF(AND(项目总控台账!E111&lt;&gt;"",项目总控台账!E111&lt;&gt;"/"),项目总控台账!E111,IF(AND(项目总控台账!D111&lt;&gt;"",项目总控台账!D111&lt;&gt;"/"),项目总控台账!D111,项目总控台账!C111))</f>
        <v>综合装船效率分析（曹妃甸）</v>
      </c>
      <c r="D205" s="6" t="str">
        <f>项目总控台账!F111</f>
        <v>第一批次</v>
      </c>
      <c r="E205" s="6" t="str">
        <f>项目总控台账!G111</f>
        <v>已完成</v>
      </c>
      <c r="F205" s="17">
        <f>项目总控台账!R111</f>
        <v>46230</v>
      </c>
      <c r="G205" s="17">
        <f>项目总控台账!S111</f>
        <v>46262</v>
      </c>
      <c r="H205" s="70">
        <v>7.5</v>
      </c>
      <c r="I205" s="6" t="str">
        <f>IF(H205="","待估算",IF(E205="已完成","已结束",IF(AND(ISNUMBER(F205),ISNUMBER(G205),F205&lt;=项目驾驶舱!$B$3,G205&gt;=项目驾驶舱!$B$3),"进行中","计划中")))</f>
        <v>已结束</v>
      </c>
      <c r="J205" s="6" t="str">
        <f>IF(I205="待估算",IF(OR(F205="/",G205="/",F205="",G205=""),"补充计划日期","补充投入工时"),IF(AND(G205&lt;项目驾驶舱!$B$3,E205&lt;&gt;"已完成"),"确认延期和后续安排","按计划跟踪"))</f>
        <v>按计划跟踪</v>
      </c>
      <c r="K205" s="8"/>
      <c r="L205" t="s">
        <v>397</v>
      </c>
    </row>
    <row r="206" spans="1:12">
      <c r="A206" s="72" t="s">
        <v>397</v>
      </c>
      <c r="B206" s="6" t="str">
        <f>项目总控台账!A112</f>
        <v>T109</v>
      </c>
      <c r="C206" s="6" t="str">
        <f>IF(AND(项目总控台账!E112&lt;&gt;"",项目总控台账!E112&lt;&gt;"/"),项目总控台账!E112,IF(AND(项目总控台账!D112&lt;&gt;"",项目总控台账!D112&lt;&gt;"/"),项目总控台账!D112,项目总控台账!C112))</f>
        <v>综合卸车效率分析（曹妃甸）</v>
      </c>
      <c r="D206" s="6" t="str">
        <f>项目总控台账!F112</f>
        <v>第一批次</v>
      </c>
      <c r="E206" s="6" t="str">
        <f>项目总控台账!G112</f>
        <v>已完成</v>
      </c>
      <c r="F206" s="17">
        <f>项目总控台账!R112</f>
        <v>46230</v>
      </c>
      <c r="G206" s="17">
        <f>项目总控台账!S112</f>
        <v>46262</v>
      </c>
      <c r="H206" s="70">
        <v>7.5</v>
      </c>
      <c r="I206" s="6" t="str">
        <f>IF(H206="","待估算",IF(E206="已完成","已结束",IF(AND(ISNUMBER(F206),ISNUMBER(G206),F206&lt;=项目驾驶舱!$B$3,G206&gt;=项目驾驶舱!$B$3),"进行中","计划中")))</f>
        <v>已结束</v>
      </c>
      <c r="J206" s="6" t="str">
        <f>IF(I206="待估算",IF(OR(F206="/",G206="/",F206="",G206=""),"补充计划日期","补充投入工时"),IF(AND(G206&lt;项目驾驶舱!$B$3,E206&lt;&gt;"已完成"),"确认延期和后续安排","按计划跟踪"))</f>
        <v>按计划跟踪</v>
      </c>
      <c r="K206" s="8"/>
      <c r="L206" t="s">
        <v>397</v>
      </c>
    </row>
    <row r="207" spans="1:12">
      <c r="B207" s="6" t="str">
        <f>项目总控台账!A113</f>
        <v>T110</v>
      </c>
      <c r="C207" s="6" t="str">
        <f>IF(AND(项目总控台账!E113&lt;&gt;"",项目总控台账!E113&lt;&gt;"/"),项目总控台账!E113,IF(AND(项目总控台账!D113&lt;&gt;"",项目总控台账!D113&lt;&gt;"/"),项目总控台账!D113,项目总控台账!C113))</f>
        <v>综合卸船效率分析（曹妃甸）</v>
      </c>
      <c r="D207" s="6" t="str">
        <f>项目总控台账!F113</f>
        <v>第二批次</v>
      </c>
      <c r="E207" s="6" t="str">
        <f>项目总控台账!G113</f>
        <v>已完成</v>
      </c>
      <c r="F207" s="17">
        <f>项目总控台账!R113</f>
        <v>46230</v>
      </c>
      <c r="G207" s="17">
        <f>项目总控台账!S113</f>
        <v>46262</v>
      </c>
      <c r="H207" s="70">
        <v>7.5</v>
      </c>
      <c r="I207" s="6" t="str">
        <f>IF(H207="","待估算",IF(E207="已完成","已结束",IF(AND(ISNUMBER(F207),ISNUMBER(G207),F207&lt;=项目驾驶舱!$B$3,G207&gt;=项目驾驶舱!$B$3),"进行中","计划中")))</f>
        <v>已结束</v>
      </c>
      <c r="J207" s="6" t="str">
        <f>IF(I207="待估算",IF(OR(F207="/",G207="/",F207="",G207=""),"补充计划日期","补充投入工时"),IF(AND(G207&lt;项目驾驶舱!$B$3,E207&lt;&gt;"已完成"),"确认延期和后续安排","按计划跟踪"))</f>
        <v>按计划跟踪</v>
      </c>
      <c r="K207" s="8"/>
      <c r="L207" t="s">
        <v>397</v>
      </c>
    </row>
    <row r="208" spans="1:12">
      <c r="B208" s="6" t="str">
        <f>项目总控台账!A120</f>
        <v>T117</v>
      </c>
      <c r="C208" s="6" t="str">
        <f>IF(AND(项目总控台账!E120&lt;&gt;"",项目总控台账!E120&lt;&gt;"/"),项目总控台账!E120,IF(AND(项目总控台账!D120&lt;&gt;"",项目总控台账!D120&lt;&gt;"/"),项目总控台账!D120,项目总控台账!C120))</f>
        <v>经营任务情况分析报告</v>
      </c>
      <c r="D208" s="6" t="str">
        <f>项目总控台账!F120</f>
        <v>第一批次</v>
      </c>
      <c r="E208" s="6" t="str">
        <f>项目总控台账!G120</f>
        <v>已完成</v>
      </c>
      <c r="F208" s="17">
        <f>项目总控台账!R120</f>
        <v>46230</v>
      </c>
      <c r="G208" s="17">
        <f>项目总控台账!S120</f>
        <v>46262</v>
      </c>
      <c r="H208" s="70">
        <v>7.5</v>
      </c>
      <c r="I208" s="6" t="str">
        <f>IF(H208="","待估算",IF(E208="已完成","已结束",IF(AND(ISNUMBER(F208),ISNUMBER(G208),F208&lt;=项目驾驶舱!$B$3,G208&gt;=项目驾驶舱!$B$3),"进行中","计划中")))</f>
        <v>已结束</v>
      </c>
      <c r="J208" s="6" t="str">
        <f>IF(I208="待估算",IF(OR(F208="/",G208="/",F208="",G208=""),"补充计划日期","补充投入工时"),IF(AND(G208&lt;项目驾驶舱!$B$3,E208&lt;&gt;"已完成"),"确认延期和后续安排","按计划跟踪"))</f>
        <v>按计划跟踪</v>
      </c>
      <c r="K208" s="8"/>
      <c r="L208" t="s">
        <v>397</v>
      </c>
    </row>
    <row r="209" spans="1:12">
      <c r="B209" s="6" t="str">
        <f>项目总控台账!A121</f>
        <v>T118</v>
      </c>
      <c r="C209" s="6" t="str">
        <f>IF(AND(项目总控台账!E121&lt;&gt;"",项目总控台账!E121&lt;&gt;"/"),项目总控台账!E121,IF(AND(项目总控台账!D121&lt;&gt;"",项目总控台账!D121&lt;&gt;"/"),项目总控台账!D121,项目总控台账!C121))</f>
        <v>客户月报报告</v>
      </c>
      <c r="D209" s="6" t="str">
        <f>项目总控台账!F121</f>
        <v>第一批次</v>
      </c>
      <c r="E209" s="6" t="str">
        <f>项目总控台账!G121</f>
        <v>已完成</v>
      </c>
      <c r="F209" s="17">
        <f>项目总控台账!R121</f>
        <v>46230</v>
      </c>
      <c r="G209" s="17">
        <f>项目总控台账!S121</f>
        <v>46262</v>
      </c>
      <c r="H209" s="70">
        <v>7.5</v>
      </c>
      <c r="I209" s="6" t="str">
        <f>IF(H209="","待估算",IF(E209="已完成","已结束",IF(AND(ISNUMBER(F209),ISNUMBER(G209),F209&lt;=项目驾驶舱!$B$3,G209&gt;=项目驾驶舱!$B$3),"进行中","计划中")))</f>
        <v>已结束</v>
      </c>
      <c r="J209" s="6" t="str">
        <f>IF(I209="待估算",IF(OR(F209="/",G209="/",F209="",G209=""),"补充计划日期","补充投入工时"),IF(AND(G209&lt;项目驾驶舱!$B$3,E209&lt;&gt;"已完成"),"确认延期和后续安排","按计划跟踪"))</f>
        <v>按计划跟踪</v>
      </c>
      <c r="K209" s="8"/>
      <c r="L209" t="s">
        <v>397</v>
      </c>
    </row>
    <row r="210" spans="1:12">
      <c r="B210" s="6" t="str">
        <f>项目总控台账!A122</f>
        <v>T119</v>
      </c>
      <c r="C210" s="6" t="str">
        <f>IF(AND(项目总控台账!E122&lt;&gt;"",项目总控台账!E122&lt;&gt;"/"),项目总控台账!E122,IF(AND(项目总控台账!D122&lt;&gt;"",项目总控台账!D122&lt;&gt;"/"),项目总控台账!D122,项目总控台账!C122))</f>
        <v>月度客户情况报告</v>
      </c>
      <c r="D210" s="6" t="str">
        <f>项目总控台账!F122</f>
        <v>第一批次</v>
      </c>
      <c r="E210" s="6" t="str">
        <f>项目总控台账!G122</f>
        <v>已完成</v>
      </c>
      <c r="F210" s="17">
        <f>项目总控台账!R122</f>
        <v>46230</v>
      </c>
      <c r="G210" s="17">
        <f>项目总控台账!S122</f>
        <v>46262</v>
      </c>
      <c r="H210" s="70">
        <v>7.5</v>
      </c>
      <c r="I210" s="6" t="str">
        <f>IF(H210="","待估算",IF(E210="已完成","已结束",IF(AND(ISNUMBER(F210),ISNUMBER(G210),F210&lt;=项目驾驶舱!$B$3,G210&gt;=项目驾驶舱!$B$3),"进行中","计划中")))</f>
        <v>已结束</v>
      </c>
      <c r="J210" s="6" t="str">
        <f>IF(I210="待估算",IF(OR(F210="/",G210="/",F210="",G210=""),"补充计划日期","补充投入工时"),IF(AND(G210&lt;项目驾驶舱!$B$3,E210&lt;&gt;"已完成"),"确认延期和后续安排","按计划跟踪"))</f>
        <v>按计划跟踪</v>
      </c>
      <c r="K210" s="8"/>
      <c r="L210" t="s">
        <v>397</v>
      </c>
    </row>
    <row r="211" spans="1:12">
      <c r="B211" s="6" t="str">
        <f>项目总控台账!A123</f>
        <v>T120</v>
      </c>
      <c r="C211" s="6" t="str">
        <f>IF(AND(项目总控台账!E123&lt;&gt;"",项目总控台账!E123&lt;&gt;"/"),项目总控台账!E123,IF(AND(项目总控台账!D123&lt;&gt;"",项目总控台账!D123&lt;&gt;"/"),项目总控台账!D123,项目总控台账!C123))</f>
        <v>商务计划周报</v>
      </c>
      <c r="D211" s="6" t="str">
        <f>项目总控台账!F123</f>
        <v>第一批次</v>
      </c>
      <c r="E211" s="6" t="str">
        <f>项目总控台账!G123</f>
        <v>已完成</v>
      </c>
      <c r="F211" s="17">
        <f>项目总控台账!R123</f>
        <v>46230</v>
      </c>
      <c r="G211" s="17">
        <f>项目总控台账!S123</f>
        <v>46262</v>
      </c>
      <c r="H211" s="70">
        <v>7.5</v>
      </c>
      <c r="I211" s="6" t="str">
        <f>IF(H211="","待估算",IF(E211="已完成","已结束",IF(AND(ISNUMBER(F211),ISNUMBER(G211),F211&lt;=项目驾驶舱!$B$3,G211&gt;=项目驾驶舱!$B$3),"进行中","计划中")))</f>
        <v>已结束</v>
      </c>
      <c r="J211" s="6" t="str">
        <f>IF(I211="待估算",IF(OR(F211="/",G211="/",F211="",G211=""),"补充计划日期","补充投入工时"),IF(AND(G211&lt;项目驾驶舱!$B$3,E211&lt;&gt;"已完成"),"确认延期和后续安排","按计划跟踪"))</f>
        <v>按计划跟踪</v>
      </c>
      <c r="K211" s="8"/>
      <c r="L211" t="s">
        <v>397</v>
      </c>
    </row>
    <row r="212" spans="1:12">
      <c r="B212" s="6" t="str">
        <f>项目总控台账!A141</f>
        <v>T138</v>
      </c>
      <c r="C212" s="6" t="str">
        <f>IF(AND(项目总控台账!E141&lt;&gt;"",项目总控台账!E141&lt;&gt;"/"),项目总控台账!E141,IF(AND(项目总控台账!D141&lt;&gt;"",项目总控台账!D141&lt;&gt;"/"),项目总控台账!D141,项目总控台账!C141))</f>
        <v>查询卸车流程</v>
      </c>
      <c r="D212" s="6" t="str">
        <f>项目总控台账!F141</f>
        <v>第二批次</v>
      </c>
      <c r="E212" s="6" t="str">
        <f>项目总控台账!G141</f>
        <v>已完成</v>
      </c>
      <c r="F212" s="17">
        <f>项目总控台账!R141</f>
        <v>46230</v>
      </c>
      <c r="G212" s="17">
        <f>项目总控台账!S141</f>
        <v>46262</v>
      </c>
      <c r="H212" s="70">
        <v>7.5</v>
      </c>
      <c r="I212" s="6" t="str">
        <f>IF(H212="","待估算",IF(E212="已完成","已结束",IF(AND(ISNUMBER(F212),ISNUMBER(G212),F212&lt;=项目驾驶舱!$B$3,G212&gt;=项目驾驶舱!$B$3),"进行中","计划中")))</f>
        <v>已结束</v>
      </c>
      <c r="J212" s="6" t="str">
        <f>IF(I212="待估算",IF(OR(F212="/",G212="/",F212="",G212=""),"补充计划日期","补充投入工时"),IF(AND(G212&lt;项目驾驶舱!$B$3,E212&lt;&gt;"已完成"),"确认延期和后续安排","按计划跟踪"))</f>
        <v>按计划跟踪</v>
      </c>
      <c r="K212" s="8"/>
      <c r="L212" t="s">
        <v>397</v>
      </c>
    </row>
    <row r="213" spans="1:12">
      <c r="B213" s="6" t="str">
        <f>项目总控台账!A142</f>
        <v>T139</v>
      </c>
      <c r="C213" s="6" t="str">
        <f>IF(AND(项目总控台账!E142&lt;&gt;"",项目总控台账!E142&lt;&gt;"/"),项目总控台账!E142,IF(AND(项目总控台账!D142&lt;&gt;"",项目总控台账!D142&lt;&gt;"/"),项目总控台账!D142,项目总控台账!C142))</f>
        <v>查询装船流程</v>
      </c>
      <c r="D213" s="6" t="str">
        <f>项目总控台账!F142</f>
        <v>第二批次</v>
      </c>
      <c r="E213" s="6" t="str">
        <f>项目总控台账!G142</f>
        <v>已完成</v>
      </c>
      <c r="F213" s="17">
        <f>项目总控台账!R142</f>
        <v>46230</v>
      </c>
      <c r="G213" s="17">
        <f>项目总控台账!S142</f>
        <v>46262</v>
      </c>
      <c r="H213" s="70">
        <v>7.5</v>
      </c>
      <c r="I213" s="6" t="str">
        <f>IF(H213="","待估算",IF(E213="已完成","已结束",IF(AND(ISNUMBER(F213),ISNUMBER(G213),F213&lt;=项目驾驶舱!$B$3,G213&gt;=项目驾驶舱!$B$3),"进行中","计划中")))</f>
        <v>已结束</v>
      </c>
      <c r="J213" s="6" t="str">
        <f>IF(I213="待估算",IF(OR(F213="/",G213="/",F213="",G213=""),"补充计划日期","补充投入工时"),IF(AND(G213&lt;项目驾驶舱!$B$3,E213&lt;&gt;"已完成"),"确认延期和后续安排","按计划跟踪"))</f>
        <v>按计划跟踪</v>
      </c>
      <c r="K213" s="8"/>
      <c r="L213" t="s">
        <v>397</v>
      </c>
    </row>
    <row r="214" spans="1:12">
      <c r="B214" s="6" t="str">
        <f>项目总控台账!A143</f>
        <v>T140</v>
      </c>
      <c r="C214" s="6" t="str">
        <f>IF(AND(项目总控台账!E143&lt;&gt;"",项目总控台账!E143&lt;&gt;"/"),项目总控台账!E143,IF(AND(项目总控台账!D143&lt;&gt;"",项目总控台账!D143&lt;&gt;"/"),项目总控台账!D143,项目总控台账!C143))</f>
        <v>查询卸船流程</v>
      </c>
      <c r="D214" s="6" t="str">
        <f>项目总控台账!F143</f>
        <v>第二批次</v>
      </c>
      <c r="E214" s="6" t="str">
        <f>项目总控台账!G143</f>
        <v>已完成</v>
      </c>
      <c r="F214" s="17">
        <f>项目总控台账!R143</f>
        <v>46230</v>
      </c>
      <c r="G214" s="17">
        <f>项目总控台账!S143</f>
        <v>46262</v>
      </c>
      <c r="H214" s="70">
        <v>7.5</v>
      </c>
      <c r="I214" s="6" t="str">
        <f>IF(H214="","待估算",IF(E214="已完成","已结束",IF(AND(ISNUMBER(F214),ISNUMBER(G214),F214&lt;=项目驾驶舱!$B$3,G214&gt;=项目驾驶舱!$B$3),"进行中","计划中")))</f>
        <v>已结束</v>
      </c>
      <c r="J214" s="6" t="str">
        <f>IF(I214="待估算",IF(OR(F214="/",G214="/",F214="",G214=""),"补充计划日期","补充投入工时"),IF(AND(G214&lt;项目驾驶舱!$B$3,E214&lt;&gt;"已完成"),"确认延期和后续安排","按计划跟踪"))</f>
        <v>按计划跟踪</v>
      </c>
      <c r="K214" s="8"/>
      <c r="L214" t="s">
        <v>397</v>
      </c>
    </row>
    <row r="215" spans="1:12">
      <c r="B215" s="6" t="str">
        <f>项目总控台账!A146</f>
        <v>T143</v>
      </c>
      <c r="C215" s="6" t="str">
        <f>IF(AND(项目总控台账!E146&lt;&gt;"",项目总控台账!E146&lt;&gt;"/"),项目总控台账!E146,IF(AND(项目总控台账!D146&lt;&gt;"",项目总控台账!D146&lt;&gt;"/"),项目总控台账!D146,项目总控台账!C146))</f>
        <v>图片上传</v>
      </c>
      <c r="D215" s="6" t="str">
        <f>项目总控台账!F146</f>
        <v>第一批次</v>
      </c>
      <c r="E215" s="6" t="str">
        <f>项目总控台账!G146</f>
        <v>已完成</v>
      </c>
      <c r="F215" s="17">
        <f>项目总控台账!R146</f>
        <v>46237</v>
      </c>
      <c r="G215" s="17">
        <f>项目总控台账!S146</f>
        <v>46252</v>
      </c>
      <c r="H215" s="70">
        <v>4.5</v>
      </c>
      <c r="I215" s="6" t="str">
        <f>IF(H215="","待估算",IF(E215="已完成","已结束",IF(AND(ISNUMBER(F215),ISNUMBER(G215),F215&lt;=项目驾驶舱!$B$3,G215&gt;=项目驾驶舱!$B$3),"进行中","计划中")))</f>
        <v>已结束</v>
      </c>
      <c r="J215" s="6" t="str">
        <f>IF(I215="待估算",IF(OR(F215="/",G215="/",F215="",G215=""),"补充计划日期","补充投入工时"),IF(AND(G215&lt;项目驾驶舱!$B$3,E215&lt;&gt;"已完成"),"确认延期和后续安排","按计划跟踪"))</f>
        <v>按计划跟踪</v>
      </c>
      <c r="K215" s="8"/>
      <c r="L215" t="s">
        <v>397</v>
      </c>
    </row>
    <row r="216" spans="1:12">
      <c r="B216" s="6" t="str">
        <f>项目总控台账!A147</f>
        <v>T144</v>
      </c>
      <c r="C216" s="6" t="str">
        <f>IF(AND(项目总控台账!E147&lt;&gt;"",项目总控台账!E147&lt;&gt;"/"),项目总控台账!E147,IF(AND(项目总控台账!D147&lt;&gt;"",项目总控台账!D147&lt;&gt;"/"),项目总控台账!D147,项目总控台账!C147))</f>
        <v>图片上传</v>
      </c>
      <c r="D216" s="6" t="str">
        <f>项目总控台账!F147</f>
        <v>第一批次</v>
      </c>
      <c r="E216" s="6" t="str">
        <f>项目总控台账!G147</f>
        <v>已完成</v>
      </c>
      <c r="F216" s="17">
        <f>项目总控台账!R147</f>
        <v>46237</v>
      </c>
      <c r="G216" s="17">
        <f>项目总控台账!S147</f>
        <v>46252</v>
      </c>
      <c r="H216" s="70">
        <v>4.5</v>
      </c>
      <c r="I216" s="6" t="str">
        <f>IF(H216="","待估算",IF(E216="已完成","已结束",IF(AND(ISNUMBER(F216),ISNUMBER(G216),F216&lt;=项目驾驶舱!$B$3,G216&gt;=项目驾驶舱!$B$3),"进行中","计划中")))</f>
        <v>已结束</v>
      </c>
      <c r="J216" s="6" t="str">
        <f>IF(I216="待估算",IF(OR(F216="/",G216="/",F216="",G216=""),"补充计划日期","补充投入工时"),IF(AND(G216&lt;项目驾驶舱!$B$3,E216&lt;&gt;"已完成"),"确认延期和后续安排","按计划跟踪"))</f>
        <v>按计划跟踪</v>
      </c>
      <c r="K216" s="8"/>
      <c r="L216" t="s">
        <v>397</v>
      </c>
    </row>
    <row r="217" spans="1:12">
      <c r="A217" s="71"/>
      <c r="B217" s="6" t="str">
        <f>项目总控台账!A148</f>
        <v>T145</v>
      </c>
      <c r="C217" s="6" t="str">
        <f>IF(AND(项目总控台账!E148&lt;&gt;"",项目总控台账!E148&lt;&gt;"/"),项目总控台账!E148,IF(AND(项目总控台账!D148&lt;&gt;"",项目总控台账!D148&lt;&gt;"/"),项目总控台账!D148,项目总控台账!C148))</f>
        <v>图片上传</v>
      </c>
      <c r="D217" s="6" t="str">
        <f>项目总控台账!F148</f>
        <v>第二批次</v>
      </c>
      <c r="E217" s="6" t="str">
        <f>项目总控台账!G148</f>
        <v>已完成</v>
      </c>
      <c r="F217" s="17">
        <f>项目总控台账!R148</f>
        <v>46237</v>
      </c>
      <c r="G217" s="17">
        <f>项目总控台账!S148</f>
        <v>46252</v>
      </c>
      <c r="H217" s="70">
        <v>4</v>
      </c>
      <c r="I217" s="6" t="str">
        <f>IF(H217="","待估算",IF(E217="已完成","已结束",IF(AND(ISNUMBER(F217),ISNUMBER(G217),F217&lt;=项目驾驶舱!$B$3,G217&gt;=项目驾驶舱!$B$3),"进行中","计划中")))</f>
        <v>已结束</v>
      </c>
      <c r="J217" s="6" t="str">
        <f>IF(I217="待估算",IF(OR(F217="/",G217="/",F217="",G217=""),"补充计划日期","补充投入工时"),IF(AND(G217&lt;项目驾驶舱!$B$3,E217&lt;&gt;"已完成"),"确认延期和后续安排","按计划跟踪"))</f>
        <v>按计划跟踪</v>
      </c>
      <c r="K217" s="8"/>
      <c r="L217" t="s">
        <v>397</v>
      </c>
    </row>
    <row r="218" spans="1:12">
      <c r="A218" s="72" t="s">
        <v>397</v>
      </c>
      <c r="B218" s="6" t="str">
        <f>项目总控台账!A124</f>
        <v>T121</v>
      </c>
      <c r="C218" s="6" t="str">
        <f>IF(AND(项目总控台账!E124&lt;&gt;"",项目总控台账!E124&lt;&gt;"/"),项目总控台账!E124,IF(AND(项目总控台账!D124&lt;&gt;"",项目总控台账!D124&lt;&gt;"/"),项目总控台账!D124,项目总控台账!C124))</f>
        <v>船舶供应服务查询</v>
      </c>
      <c r="D218" s="6" t="str">
        <f>项目总控台账!F124</f>
        <v>第二批次</v>
      </c>
      <c r="E218" s="6" t="str">
        <f>项目总控台账!G124</f>
        <v>已完成</v>
      </c>
      <c r="F218" s="17">
        <f>项目总控台账!R124</f>
        <v>46265</v>
      </c>
      <c r="G218" s="17">
        <f>项目总控台账!S124</f>
        <v>46269</v>
      </c>
      <c r="H218" s="70">
        <v>8</v>
      </c>
      <c r="I218" s="6" t="str">
        <f>IF(H218="","待估算",IF(E218="已完成","已结束",IF(AND(ISNUMBER(F218),ISNUMBER(G218),F218&lt;=项目驾驶舱!$B$3,G218&gt;=项目驾驶舱!$B$3),"进行中","计划中")))</f>
        <v>已结束</v>
      </c>
      <c r="J218" s="6" t="str">
        <f>IF(I218="待估算",IF(OR(F218="/",G218="/",F218="",G218=""),"补充计划日期","补充投入工时"),IF(AND(G218&lt;项目驾驶舱!$B$3,E218&lt;&gt;"已完成"),"确认延期和后续安排","按计划跟踪"))</f>
        <v>按计划跟踪</v>
      </c>
      <c r="K218" s="8"/>
      <c r="L218" t="s">
        <v>397</v>
      </c>
    </row>
    <row r="219" spans="1:12">
      <c r="B219" s="6" t="str">
        <f>项目总控台账!A125</f>
        <v>T122</v>
      </c>
      <c r="C219" s="6" t="str">
        <f>IF(AND(项目总控台账!E125&lt;&gt;"",项目总控台账!E125&lt;&gt;"/"),项目总控台账!E125,IF(AND(项目总控台账!D125&lt;&gt;"",项目总控台账!D125&lt;&gt;"/"),项目总控台账!D125,项目总控台账!C125))</f>
        <v>船舶预到（内贸）查询</v>
      </c>
      <c r="D219" s="6" t="str">
        <f>项目总控台账!F125</f>
        <v>第二批次</v>
      </c>
      <c r="E219" s="6" t="str">
        <f>项目总控台账!G125</f>
        <v>已完成</v>
      </c>
      <c r="F219" s="17">
        <f>项目总控台账!R125</f>
        <v>46265</v>
      </c>
      <c r="G219" s="17">
        <f>项目总控台账!S125</f>
        <v>46269</v>
      </c>
      <c r="H219" s="70">
        <v>8</v>
      </c>
      <c r="I219" s="6" t="str">
        <f>IF(H219="","待估算",IF(E219="已完成","已结束",IF(AND(ISNUMBER(F219),ISNUMBER(G219),F219&lt;=项目驾驶舱!$B$3,G219&gt;=项目驾驶舱!$B$3),"进行中","计划中")))</f>
        <v>已结束</v>
      </c>
      <c r="J219" s="6" t="str">
        <f>IF(I219="待估算",IF(OR(F219="/",G219="/",F219="",G219=""),"补充计划日期","补充投入工时"),IF(AND(G219&lt;项目驾驶舱!$B$3,E219&lt;&gt;"已完成"),"确认延期和后续安排","按计划跟踪"))</f>
        <v>按计划跟踪</v>
      </c>
      <c r="K219" s="8"/>
      <c r="L219" t="s">
        <v>397</v>
      </c>
    </row>
    <row r="220" spans="1:12">
      <c r="B220" s="6" t="str">
        <f>项目总控台账!A126</f>
        <v>T123</v>
      </c>
      <c r="C220" s="6" t="str">
        <f>IF(AND(项目总控台账!E126&lt;&gt;"",项目总控台账!E126&lt;&gt;"/"),项目总控台账!E126,IF(AND(项目总控台账!D126&lt;&gt;"",项目总控台账!D126&lt;&gt;"/"),项目总控台账!D126,项目总控台账!C126))</f>
        <v>台账查询</v>
      </c>
      <c r="D220" s="6" t="str">
        <f>项目总控台账!F126</f>
        <v>第二批次</v>
      </c>
      <c r="E220" s="6" t="str">
        <f>项目总控台账!G126</f>
        <v>已完成</v>
      </c>
      <c r="F220" s="17">
        <f>项目总控台账!R126</f>
        <v>46265</v>
      </c>
      <c r="G220" s="17">
        <f>项目总控台账!S126</f>
        <v>46269</v>
      </c>
      <c r="H220" s="70">
        <v>8</v>
      </c>
      <c r="I220" s="6" t="str">
        <f>IF(H220="","待估算",IF(E220="已完成","已结束",IF(AND(ISNUMBER(F220),ISNUMBER(G220),F220&lt;=项目驾驶舱!$B$3,G220&gt;=项目驾驶舱!$B$3),"进行中","计划中")))</f>
        <v>已结束</v>
      </c>
      <c r="J220" s="6" t="str">
        <f>IF(I220="待估算",IF(OR(F220="/",G220="/",F220="",G220=""),"补充计划日期","补充投入工时"),IF(AND(G220&lt;项目驾驶舱!$B$3,E220&lt;&gt;"已完成"),"确认延期和后续安排","按计划跟踪"))</f>
        <v>按计划跟踪</v>
      </c>
      <c r="K220" s="8"/>
      <c r="L220" t="s">
        <v>397</v>
      </c>
    </row>
    <row r="221" spans="1:12">
      <c r="B221" s="6" t="str">
        <f>项目总控台账!A127</f>
        <v>T124</v>
      </c>
      <c r="C221" s="6" t="str">
        <f>IF(AND(项目总控台账!E127&lt;&gt;"",项目总控台账!E127&lt;&gt;"/"),项目总控台账!E127,IF(AND(项目总控台账!D127&lt;&gt;"",项目总控台账!D127&lt;&gt;"/"),项目总控台账!D127,项目总控台账!C127))</f>
        <v>停泊费（内贸）查询</v>
      </c>
      <c r="D221" s="6" t="str">
        <f>项目总控台账!F127</f>
        <v>第二批次</v>
      </c>
      <c r="E221" s="6" t="str">
        <f>项目总控台账!G127</f>
        <v>已完成</v>
      </c>
      <c r="F221" s="17">
        <f>项目总控台账!R127</f>
        <v>46265</v>
      </c>
      <c r="G221" s="17">
        <f>项目总控台账!S127</f>
        <v>46269</v>
      </c>
      <c r="H221" s="70">
        <v>8</v>
      </c>
      <c r="I221" s="6" t="str">
        <f>IF(H221="","待估算",IF(E221="已完成","已结束",IF(AND(ISNUMBER(F221),ISNUMBER(G221),F221&lt;=项目驾驶舱!$B$3,G221&gt;=项目驾驶舱!$B$3),"进行中","计划中")))</f>
        <v>已结束</v>
      </c>
      <c r="J221" s="6" t="str">
        <f>IF(I221="待估算",IF(OR(F221="/",G221="/",F221="",G221=""),"补充计划日期","补充投入工时"),IF(AND(G221&lt;项目驾驶舱!$B$3,E221&lt;&gt;"已完成"),"确认延期和后续安排","按计划跟踪"))</f>
        <v>按计划跟踪</v>
      </c>
      <c r="K221" s="8"/>
      <c r="L221" t="s">
        <v>397</v>
      </c>
    </row>
    <row r="222" spans="1:12">
      <c r="B222" s="6" t="str">
        <f>项目总控台账!A128</f>
        <v>T125</v>
      </c>
      <c r="C222" s="6" t="str">
        <f>IF(AND(项目总控台账!E128&lt;&gt;"",项目总控台账!E128&lt;&gt;"/"),项目总控台账!E128,IF(AND(项目总控台账!D128&lt;&gt;"",项目总控台账!D128&lt;&gt;"/"),项目总控台账!D128,项目总控台账!C128))</f>
        <v>船舶供应服务费（内贸）查询</v>
      </c>
      <c r="D222" s="6" t="str">
        <f>项目总控台账!F128</f>
        <v>第二批次</v>
      </c>
      <c r="E222" s="6" t="str">
        <f>项目总控台账!G128</f>
        <v>已完成</v>
      </c>
      <c r="F222" s="17">
        <f>项目总控台账!R128</f>
        <v>46265</v>
      </c>
      <c r="G222" s="17">
        <f>项目总控台账!S128</f>
        <v>46269</v>
      </c>
      <c r="H222" s="70">
        <v>8</v>
      </c>
      <c r="I222" s="6" t="str">
        <f>IF(H222="","待估算",IF(E222="已完成","已结束",IF(AND(ISNUMBER(F222),ISNUMBER(G222),F222&lt;=项目驾驶舱!$B$3,G222&gt;=项目驾驶舱!$B$3),"进行中","计划中")))</f>
        <v>已结束</v>
      </c>
      <c r="J222" s="6" t="str">
        <f>IF(I222="待估算",IF(OR(F222="/",G222="/",F222="",G222=""),"补充计划日期","补充投入工时"),IF(AND(G222&lt;项目驾驶舱!$B$3,E222&lt;&gt;"已完成"),"确认延期和后续安排","按计划跟踪"))</f>
        <v>按计划跟踪</v>
      </c>
      <c r="K222" s="8"/>
      <c r="L222" t="s">
        <v>397</v>
      </c>
    </row>
    <row r="223" spans="1:12">
      <c r="B223" s="6" t="str">
        <f>项目总控台账!A16</f>
        <v>T013</v>
      </c>
      <c r="C223" s="6" t="str">
        <f>IF(AND(项目总控台账!E16&lt;&gt;"",项目总控台账!E16&lt;&gt;"/"),项目总控台账!E16,IF(AND(项目总控台账!D16&lt;&gt;"",项目总控台账!D16&lt;&gt;"/"),项目总控台账!D16,项目总控台账!C16))</f>
        <v>新增结算条款</v>
      </c>
      <c r="D223" s="6" t="str">
        <f>项目总控台账!F16</f>
        <v>第二批次</v>
      </c>
      <c r="E223" s="6" t="str">
        <f>项目总控台账!G16</f>
        <v>未开始</v>
      </c>
      <c r="F223" s="17">
        <f>项目总控台账!R16</f>
        <v>46272</v>
      </c>
      <c r="G223" s="17">
        <f>项目总控台账!S16</f>
        <v>46304</v>
      </c>
      <c r="H223" s="70">
        <v>17.5</v>
      </c>
      <c r="I223" s="6" t="str">
        <f>IF(H223="","待估算",IF(E223="已完成","已结束",IF(AND(ISNUMBER(F223),ISNUMBER(G223),F223&lt;=项目驾驶舱!$B$3,G223&gt;=项目驾驶舱!$B$3),"进行中","计划中")))</f>
        <v>计划中</v>
      </c>
      <c r="J223" s="6" t="str">
        <f>IF(I223="待估算",IF(OR(F223="/",G223="/",F223="",G223=""),"补充计划日期","补充投入工时"),IF(AND(G223&lt;项目驾驶舱!$B$3,E223&lt;&gt;"已完成"),"确认延期和后续安排","按计划跟踪"))</f>
        <v>按计划跟踪</v>
      </c>
      <c r="K223" s="8"/>
      <c r="L223" t="s">
        <v>397</v>
      </c>
    </row>
    <row r="224" spans="1:12">
      <c r="B224" s="6" t="str">
        <f>项目总控台账!A17</f>
        <v>T014</v>
      </c>
      <c r="C224" s="6" t="str">
        <f>IF(AND(项目总控台账!E17&lt;&gt;"",项目总控台账!E17&lt;&gt;"/"),项目总控台账!E17,IF(AND(项目总控台账!D17&lt;&gt;"",项目总控台账!D17&lt;&gt;"/"),项目总控台账!D17,项目总控台账!C17))</f>
        <v>结算条款审批</v>
      </c>
      <c r="D224" s="6" t="str">
        <f>项目总控台账!F17</f>
        <v>第二批次</v>
      </c>
      <c r="E224" s="6" t="str">
        <f>项目总控台账!G17</f>
        <v>未开始</v>
      </c>
      <c r="F224" s="17">
        <f>项目总控台账!R17</f>
        <v>46272</v>
      </c>
      <c r="G224" s="17">
        <f>项目总控台账!S17</f>
        <v>46304</v>
      </c>
      <c r="H224" s="70">
        <v>17.5</v>
      </c>
      <c r="I224" s="6" t="str">
        <f>IF(H224="","待估算",IF(E224="已完成","已结束",IF(AND(ISNUMBER(F224),ISNUMBER(G224),F224&lt;=项目驾驶舱!$B$3,G224&gt;=项目驾驶舱!$B$3),"进行中","计划中")))</f>
        <v>计划中</v>
      </c>
      <c r="J224" s="6" t="str">
        <f>IF(I224="待估算",IF(OR(F224="/",G224="/",F224="",G224=""),"补充计划日期","补充投入工时"),IF(AND(G224&lt;项目驾驶舱!$B$3,E224&lt;&gt;"已完成"),"确认延期和后续安排","按计划跟踪"))</f>
        <v>按计划跟踪</v>
      </c>
      <c r="K224" s="8"/>
      <c r="L224" t="s">
        <v>397</v>
      </c>
    </row>
    <row r="225" spans="1:12">
      <c r="B225" s="6" t="str">
        <f>项目总控台账!A18</f>
        <v>T015</v>
      </c>
      <c r="C225" s="6" t="str">
        <f>IF(AND(项目总控台账!E18&lt;&gt;"",项目总控台账!E18&lt;&gt;"/"),项目总控台账!E18,IF(AND(项目总控台账!D18&lt;&gt;"",项目总控台账!D18&lt;&gt;"/"),项目总控台账!D18,项目总控台账!C18))</f>
        <v>修改结算条款</v>
      </c>
      <c r="D225" s="6" t="str">
        <f>项目总控台账!F18</f>
        <v>第二批次</v>
      </c>
      <c r="E225" s="6" t="str">
        <f>项目总控台账!G18</f>
        <v>未开始</v>
      </c>
      <c r="F225" s="17">
        <f>项目总控台账!R18</f>
        <v>46272</v>
      </c>
      <c r="G225" s="17">
        <f>项目总控台账!S18</f>
        <v>46304</v>
      </c>
      <c r="H225" s="70">
        <v>17.5</v>
      </c>
      <c r="I225" s="6" t="str">
        <f>IF(H225="","待估算",IF(E225="已完成","已结束",IF(AND(ISNUMBER(F225),ISNUMBER(G225),F225&lt;=项目驾驶舱!$B$3,G225&gt;=项目驾驶舱!$B$3),"进行中","计划中")))</f>
        <v>计划中</v>
      </c>
      <c r="J225" s="6" t="str">
        <f>IF(I225="待估算",IF(OR(F225="/",G225="/",F225="",G225=""),"补充计划日期","补充投入工时"),IF(AND(G225&lt;项目驾驶舱!$B$3,E225&lt;&gt;"已完成"),"确认延期和后续安排","按计划跟踪"))</f>
        <v>按计划跟踪</v>
      </c>
      <c r="K225" s="8"/>
      <c r="L225" t="s">
        <v>397</v>
      </c>
    </row>
    <row r="226" spans="1:12">
      <c r="B226" s="6" t="str">
        <f>项目总控台账!A19</f>
        <v>T016</v>
      </c>
      <c r="C226" s="6" t="str">
        <f>IF(AND(项目总控台账!E19&lt;&gt;"",项目总控台账!E19&lt;&gt;"/"),项目总控台账!E19,IF(AND(项目总控台账!D19&lt;&gt;"",项目总控台账!D19&lt;&gt;"/"),项目总控台账!D19,项目总控台账!C19))</f>
        <v>删除结算条款</v>
      </c>
      <c r="D226" s="6" t="str">
        <f>项目总控台账!F19</f>
        <v>第二批次</v>
      </c>
      <c r="E226" s="6" t="str">
        <f>项目总控台账!G19</f>
        <v>未开始</v>
      </c>
      <c r="F226" s="17">
        <f>项目总控台账!R19</f>
        <v>46272</v>
      </c>
      <c r="G226" s="17">
        <f>项目总控台账!S19</f>
        <v>46304</v>
      </c>
      <c r="H226" s="70">
        <v>17.5</v>
      </c>
      <c r="I226" s="6" t="str">
        <f>IF(H226="","待估算",IF(E226="已完成","已结束",IF(AND(ISNUMBER(F226),ISNUMBER(G226),F226&lt;=项目驾驶舱!$B$3,G226&gt;=项目驾驶舱!$B$3),"进行中","计划中")))</f>
        <v>计划中</v>
      </c>
      <c r="J226" s="6" t="str">
        <f>IF(I226="待估算",IF(OR(F226="/",G226="/",F226="",G226=""),"补充计划日期","补充投入工时"),IF(AND(G226&lt;项目驾驶舱!$B$3,E226&lt;&gt;"已完成"),"确认延期和后续安排","按计划跟踪"))</f>
        <v>按计划跟踪</v>
      </c>
      <c r="K226" s="8"/>
      <c r="L226" t="s">
        <v>397</v>
      </c>
    </row>
    <row r="227" spans="1:12">
      <c r="B227" s="6" t="str">
        <f>项目总控台账!A20</f>
        <v>T017</v>
      </c>
      <c r="C227" s="6" t="str">
        <f>IF(AND(项目总控台账!E20&lt;&gt;"",项目总控台账!E20&lt;&gt;"/"),项目总控台账!E20,IF(AND(项目总控台账!D20&lt;&gt;"",项目总控台账!D20&lt;&gt;"/"),项目总控台账!D20,项目总控台账!C20))</f>
        <v>查询展示结算条款</v>
      </c>
      <c r="D227" s="6" t="str">
        <f>项目总控台账!F20</f>
        <v>第二批次</v>
      </c>
      <c r="E227" s="6" t="str">
        <f>项目总控台账!G20</f>
        <v>未开始</v>
      </c>
      <c r="F227" s="17">
        <f>项目总控台账!R20</f>
        <v>46272</v>
      </c>
      <c r="G227" s="17">
        <f>项目总控台账!S20</f>
        <v>46304</v>
      </c>
      <c r="H227" s="70">
        <v>17.5</v>
      </c>
      <c r="I227" s="6" t="str">
        <f>IF(H227="","待估算",IF(E227="已完成","已结束",IF(AND(ISNUMBER(F227),ISNUMBER(G227),F227&lt;=项目驾驶舱!$B$3,G227&gt;=项目驾驶舱!$B$3),"进行中","计划中")))</f>
        <v>计划中</v>
      </c>
      <c r="J227" s="6" t="str">
        <f>IF(I227="待估算",IF(OR(F227="/",G227="/",F227="",G227=""),"补充计划日期","补充投入工时"),IF(AND(G227&lt;项目驾驶舱!$B$3,E227&lt;&gt;"已完成"),"确认延期和后续安排","按计划跟踪"))</f>
        <v>按计划跟踪</v>
      </c>
      <c r="K227" s="8"/>
      <c r="L227" t="s">
        <v>397</v>
      </c>
    </row>
    <row r="228" spans="1:12">
      <c r="B228" s="6" t="str">
        <f>项目总控台账!A21</f>
        <v>T018</v>
      </c>
      <c r="C228" s="6" t="str">
        <f>IF(AND(项目总控台账!E21&lt;&gt;"",项目总控台账!E21&lt;&gt;"/"),项目总控台账!E21,IF(AND(项目总控台账!D21&lt;&gt;"",项目总控台账!D21&lt;&gt;"/"),项目总控台账!D21,项目总控台账!C21))</f>
        <v>结算条款推送法务系统</v>
      </c>
      <c r="D228" s="6" t="str">
        <f>项目总控台账!F21</f>
        <v>第二批次</v>
      </c>
      <c r="E228" s="6" t="str">
        <f>项目总控台账!G21</f>
        <v>未开始</v>
      </c>
      <c r="F228" s="17">
        <f>项目总控台账!R21</f>
        <v>46272</v>
      </c>
      <c r="G228" s="17">
        <f>项目总控台账!S21</f>
        <v>46304</v>
      </c>
      <c r="H228" s="70">
        <v>17.5</v>
      </c>
      <c r="I228" s="6" t="str">
        <f>IF(H228="","待估算",IF(E228="已完成","已结束",IF(AND(ISNUMBER(F228),ISNUMBER(G228),F228&lt;=项目驾驶舱!$B$3,G228&gt;=项目驾驶舱!$B$3),"进行中","计划中")))</f>
        <v>计划中</v>
      </c>
      <c r="J228" s="6" t="str">
        <f>IF(I228="待估算",IF(OR(F228="/",G228="/",F228="",G228=""),"补充计划日期","补充投入工时"),IF(AND(G228&lt;项目驾驶舱!$B$3,E228&lt;&gt;"已完成"),"确认延期和后续安排","按计划跟踪"))</f>
        <v>按计划跟踪</v>
      </c>
      <c r="K228" s="8"/>
      <c r="L228" t="s">
        <v>397</v>
      </c>
    </row>
    <row r="229" spans="1:12">
      <c r="A229" s="71"/>
      <c r="B229" s="6" t="str">
        <f>项目总控台账!A56</f>
        <v>T053</v>
      </c>
      <c r="C229" s="6" t="str">
        <f>IF(AND(项目总控台账!E56&lt;&gt;"",项目总控台账!E56&lt;&gt;"/"),项目总控台账!E56,IF(AND(项目总控台账!D56&lt;&gt;"",项目总控台账!D56&lt;&gt;"/"),项目总控台账!D56,项目总控台账!C56))</f>
        <v>接入港口侧视频监控</v>
      </c>
      <c r="D229" s="6" t="str">
        <f>项目总控台账!F56</f>
        <v>第二批次</v>
      </c>
      <c r="E229" s="6" t="str">
        <f>项目总控台账!G56</f>
        <v>未开始</v>
      </c>
      <c r="F229" s="17">
        <f>项目总控台账!R56</f>
        <v>46272</v>
      </c>
      <c r="G229" s="17">
        <f>项目总控台账!S56</f>
        <v>46304</v>
      </c>
      <c r="H229" s="70">
        <v>17.5</v>
      </c>
      <c r="I229" s="6" t="str">
        <f>IF(H229="","待估算",IF(E229="已完成","已结束",IF(AND(ISNUMBER(F229),ISNUMBER(G229),F229&lt;=项目驾驶舱!$B$3,G229&gt;=项目驾驶舱!$B$3),"进行中","计划中")))</f>
        <v>计划中</v>
      </c>
      <c r="J229" s="6" t="str">
        <f>IF(I229="待估算",IF(OR(F229="/",G229="/",F229="",G229=""),"补充计划日期","补充投入工时"),IF(AND(G229&lt;项目驾驶舱!$B$3,E229&lt;&gt;"已完成"),"确认延期和后续安排","按计划跟踪"))</f>
        <v>按计划跟踪</v>
      </c>
      <c r="K229" s="8"/>
      <c r="L229" t="s">
        <v>397</v>
      </c>
    </row>
    <row r="230" spans="1:12">
      <c r="A230" s="72" t="s">
        <v>397</v>
      </c>
      <c r="B230" s="6" t="str">
        <f>项目总控台账!A57</f>
        <v>T054</v>
      </c>
      <c r="C230" s="6" t="str">
        <f>IF(AND(项目总控台账!E57&lt;&gt;"",项目总控台账!E57&lt;&gt;"/"),项目总控台账!E57,IF(AND(项目总控台账!D57&lt;&gt;"",项目总控台账!D57&lt;&gt;"/"),项目总控台账!D57,项目总控台账!C57))</f>
        <v>视频查看权限申请</v>
      </c>
      <c r="D230" s="6" t="str">
        <f>项目总控台账!F57</f>
        <v>第二批次</v>
      </c>
      <c r="E230" s="6" t="str">
        <f>项目总控台账!G57</f>
        <v>未开始</v>
      </c>
      <c r="F230" s="17">
        <f>项目总控台账!R57</f>
        <v>46272</v>
      </c>
      <c r="G230" s="17">
        <f>项目总控台账!S57</f>
        <v>46304</v>
      </c>
      <c r="H230" s="70">
        <v>17.5</v>
      </c>
      <c r="I230" s="6" t="str">
        <f>IF(H230="","待估算",IF(E230="已完成","已结束",IF(AND(ISNUMBER(F230),ISNUMBER(G230),F230&lt;=项目驾驶舱!$B$3,G230&gt;=项目驾驶舱!$B$3),"进行中","计划中")))</f>
        <v>计划中</v>
      </c>
      <c r="J230" s="6" t="str">
        <f>IF(I230="待估算",IF(OR(F230="/",G230="/",F230="",G230=""),"补充计划日期","补充投入工时"),IF(AND(G230&lt;项目驾驶舱!$B$3,E230&lt;&gt;"已完成"),"确认延期和后续安排","按计划跟踪"))</f>
        <v>按计划跟踪</v>
      </c>
      <c r="K230" s="8"/>
      <c r="L230" t="s">
        <v>397</v>
      </c>
    </row>
    <row r="231" spans="1:12">
      <c r="B231" s="6" t="str">
        <f>项目总控台账!A58</f>
        <v>T055</v>
      </c>
      <c r="C231" s="6" t="str">
        <f>IF(AND(项目总控台账!E58&lt;&gt;"",项目总控台账!E58&lt;&gt;"/"),项目总控台账!E58,IF(AND(项目总控台账!D58&lt;&gt;"",项目总控台账!D58&lt;&gt;"/"),项目总控台账!D58,项目总控台账!C58))</f>
        <v>视频查看权限审批</v>
      </c>
      <c r="D231" s="6" t="str">
        <f>项目总控台账!F58</f>
        <v>第二批次</v>
      </c>
      <c r="E231" s="6" t="str">
        <f>项目总控台账!G58</f>
        <v>未开始</v>
      </c>
      <c r="F231" s="17">
        <f>项目总控台账!R58</f>
        <v>46272</v>
      </c>
      <c r="G231" s="17">
        <f>项目总控台账!S58</f>
        <v>46304</v>
      </c>
      <c r="H231" s="70">
        <v>15</v>
      </c>
      <c r="I231" s="6" t="str">
        <f>IF(H231="","待估算",IF(E231="已完成","已结束",IF(AND(ISNUMBER(F231),ISNUMBER(G231),F231&lt;=项目驾驶舱!$B$3,G231&gt;=项目驾驶舱!$B$3),"进行中","计划中")))</f>
        <v>计划中</v>
      </c>
      <c r="J231" s="6" t="str">
        <f>IF(I231="待估算",IF(OR(F231="/",G231="/",F231="",G231=""),"补充计划日期","补充投入工时"),IF(AND(G231&lt;项目驾驶舱!$B$3,E231&lt;&gt;"已完成"),"确认延期和后续安排","按计划跟踪"))</f>
        <v>按计划跟踪</v>
      </c>
      <c r="K231" s="8"/>
      <c r="L231" t="s">
        <v>397</v>
      </c>
    </row>
    <row r="232" spans="1:12">
      <c r="B232" s="6" t="str">
        <f>项目总控台账!A59</f>
        <v>T056</v>
      </c>
      <c r="C232" s="6" t="str">
        <f>IF(AND(项目总控台账!E59&lt;&gt;"",项目总控台账!E59&lt;&gt;"/"),项目总控台账!E59,IF(AND(项目总控台账!D59&lt;&gt;"",项目总控台账!D59&lt;&gt;"/"),项目总控台账!D59,项目总控台账!C59))</f>
        <v>视频查看权限有效期控制</v>
      </c>
      <c r="D232" s="6" t="str">
        <f>项目总控台账!F59</f>
        <v>第二批次</v>
      </c>
      <c r="E232" s="6" t="str">
        <f>项目总控台账!G59</f>
        <v>未开始</v>
      </c>
      <c r="F232" s="17">
        <f>项目总控台账!R59</f>
        <v>46272</v>
      </c>
      <c r="G232" s="17">
        <f>项目总控台账!S59</f>
        <v>46304</v>
      </c>
      <c r="H232" s="70">
        <v>15</v>
      </c>
      <c r="I232" s="6" t="str">
        <f>IF(H232="","待估算",IF(E232="已完成","已结束",IF(AND(ISNUMBER(F232),ISNUMBER(G232),F232&lt;=项目驾驶舱!$B$3,G232&gt;=项目驾驶舱!$B$3),"进行中","计划中")))</f>
        <v>计划中</v>
      </c>
      <c r="J232" s="6" t="str">
        <f>IF(I232="待估算",IF(OR(F232="/",G232="/",F232="",G232=""),"补充计划日期","补充投入工时"),IF(AND(G232&lt;项目驾驶舱!$B$3,E232&lt;&gt;"已完成"),"确认延期和后续安排","按计划跟踪"))</f>
        <v>按计划跟踪</v>
      </c>
      <c r="K232" s="8"/>
      <c r="L232" t="s">
        <v>397</v>
      </c>
    </row>
    <row r="233" spans="1:12">
      <c r="B233" s="6" t="str">
        <f>项目总控台账!A60</f>
        <v>T057</v>
      </c>
      <c r="C233" s="6" t="str">
        <f>IF(AND(项目总控台账!E60&lt;&gt;"",项目总控台账!E60&lt;&gt;"/"),项目总控台账!E60,IF(AND(项目总控台账!D60&lt;&gt;"",项目总控台账!D60&lt;&gt;"/"),项目总控台账!D60,项目总控台账!C60))</f>
        <v>外网PC端视频监控查询</v>
      </c>
      <c r="D233" s="6" t="str">
        <f>项目总控台账!F60</f>
        <v>第二批次</v>
      </c>
      <c r="E233" s="6" t="str">
        <f>项目总控台账!G60</f>
        <v>未开始</v>
      </c>
      <c r="F233" s="17">
        <f>项目总控台账!R60</f>
        <v>46272</v>
      </c>
      <c r="G233" s="17">
        <f>项目总控台账!S60</f>
        <v>46304</v>
      </c>
      <c r="H233" s="70">
        <v>15</v>
      </c>
      <c r="I233" s="6" t="str">
        <f>IF(H233="","待估算",IF(E233="已完成","已结束",IF(AND(ISNUMBER(F233),ISNUMBER(G233),F233&lt;=项目驾驶舱!$B$3,G233&gt;=项目驾驶舱!$B$3),"进行中","计划中")))</f>
        <v>计划中</v>
      </c>
      <c r="J233" s="6" t="str">
        <f>IF(I233="待估算",IF(OR(F233="/",G233="/",F233="",G233=""),"补充计划日期","补充投入工时"),IF(AND(G233&lt;项目驾驶舱!$B$3,E233&lt;&gt;"已完成"),"确认延期和后续安排","按计划跟踪"))</f>
        <v>按计划跟踪</v>
      </c>
      <c r="K233" s="8"/>
      <c r="L233" t="s">
        <v>397</v>
      </c>
    </row>
    <row r="234" spans="1:12">
      <c r="B234" s="6" t="str">
        <f>项目总控台账!A144</f>
        <v>T141</v>
      </c>
      <c r="C234" s="6" t="str">
        <f>IF(AND(项目总控台账!E144&lt;&gt;"",项目总控台账!E144&lt;&gt;"/"),项目总控台账!E144,IF(AND(项目总控台账!D144&lt;&gt;"",项目总控台账!D144&lt;&gt;"/"),项目总控台账!D144,项目总控台账!C144))</f>
        <v>视频监控查询</v>
      </c>
      <c r="D234" s="6" t="str">
        <f>项目总控台账!F144</f>
        <v>第二批次</v>
      </c>
      <c r="E234" s="6" t="str">
        <f>项目总控台账!G144</f>
        <v>未开始</v>
      </c>
      <c r="F234" s="17">
        <f>项目总控台账!R144</f>
        <v>46272</v>
      </c>
      <c r="G234" s="17">
        <f>项目总控台账!S144</f>
        <v>46304</v>
      </c>
      <c r="H234" s="70">
        <v>15</v>
      </c>
      <c r="I234" s="6" t="str">
        <f>IF(H234="","待估算",IF(E234="已完成","已结束",IF(AND(ISNUMBER(F234),ISNUMBER(G234),F234&lt;=项目驾驶舱!$B$3,G234&gt;=项目驾驶舱!$B$3),"进行中","计划中")))</f>
        <v>计划中</v>
      </c>
      <c r="J234" s="6" t="str">
        <f>IF(I234="待估算",IF(OR(F234="/",G234="/",F234="",G234=""),"补充计划日期","补充投入工时"),IF(AND(G234&lt;项目驾驶舱!$B$3,E234&lt;&gt;"已完成"),"确认延期和后续安排","按计划跟踪"))</f>
        <v>按计划跟踪</v>
      </c>
      <c r="K234" s="8"/>
      <c r="L234" t="s">
        <v>397</v>
      </c>
    </row>
    <row r="235" spans="1:12">
      <c r="B235" s="6" t="str">
        <f>项目总控台账!A8</f>
        <v>T005</v>
      </c>
      <c r="C235" s="6" t="str">
        <f>IF(AND(项目总控台账!E8&lt;&gt;"",项目总控台账!E8&lt;&gt;"/"),项目总控台账!E8,IF(AND(项目总控台账!D8&lt;&gt;"",项目总控台账!D8&lt;&gt;"/"),项目总控台账!D8,项目总控台账!C8))</f>
        <v>船舶唯一性校验</v>
      </c>
      <c r="D235" s="6" t="str">
        <f>项目总控台账!F8</f>
        <v>第二批次</v>
      </c>
      <c r="E235" s="6" t="str">
        <f>项目总控台账!G8</f>
        <v>已完成</v>
      </c>
      <c r="F235" s="17">
        <f>项目总控台账!R8</f>
        <v>46307</v>
      </c>
      <c r="G235" s="17">
        <f>项目总控台账!S8</f>
        <v>46339</v>
      </c>
      <c r="H235" s="70">
        <v>5</v>
      </c>
      <c r="I235" s="6" t="str">
        <f>IF(H235="","待估算",IF(E235="已完成","已结束",IF(AND(ISNUMBER(F235),ISNUMBER(G235),F235&lt;=项目驾驶舱!$B$3,G235&gt;=项目驾驶舱!$B$3),"进行中","计划中")))</f>
        <v>已结束</v>
      </c>
      <c r="J235" s="6" t="str">
        <f>IF(I235="待估算",IF(OR(F235="/",G235="/",F235="",G235=""),"补充计划日期","补充投入工时"),IF(AND(G235&lt;项目驾驶舱!$B$3,E235&lt;&gt;"已完成"),"确认延期和后续安排","按计划跟踪"))</f>
        <v>按计划跟踪</v>
      </c>
      <c r="K235" s="8"/>
      <c r="L235" t="s">
        <v>397</v>
      </c>
    </row>
    <row r="236" spans="1:12">
      <c r="B236" s="6" t="str">
        <f>项目总控台账!A22</f>
        <v>T019</v>
      </c>
      <c r="C236" s="6" t="str">
        <f>IF(AND(项目总控台账!E22&lt;&gt;"",项目总控台账!E22&lt;&gt;"/"),项目总控台账!E22,IF(AND(项目总控台账!D22&lt;&gt;"",项目总控台账!D22&lt;&gt;"/"),项目总控台账!D22,项目总控台账!C22))</f>
        <v>对接卸船计划</v>
      </c>
      <c r="D236" s="6" t="str">
        <f>项目总控台账!F22</f>
        <v>第二批次</v>
      </c>
      <c r="E236" s="6" t="str">
        <f>项目总控台账!G22</f>
        <v>进行中</v>
      </c>
      <c r="F236" s="17">
        <f>项目总控台账!R22</f>
        <v>46307</v>
      </c>
      <c r="G236" s="17">
        <f>项目总控台账!S22</f>
        <v>46339</v>
      </c>
      <c r="H236" s="70">
        <v>5</v>
      </c>
      <c r="I236" s="6" t="str">
        <f>IF(H236="","待估算",IF(E236="已完成","已结束",IF(AND(ISNUMBER(F236),ISNUMBER(G236),F236&lt;=项目驾驶舱!$B$3,G236&gt;=项目驾驶舱!$B$3),"进行中","计划中")))</f>
        <v>计划中</v>
      </c>
      <c r="J236" s="6" t="str">
        <f>IF(I236="待估算",IF(OR(F236="/",G236="/",F236="",G236=""),"补充计划日期","补充投入工时"),IF(AND(G236&lt;项目驾驶舱!$B$3,E236&lt;&gt;"已完成"),"确认延期和后续安排","按计划跟踪"))</f>
        <v>按计划跟踪</v>
      </c>
      <c r="K236" s="8"/>
      <c r="L236" t="s">
        <v>397</v>
      </c>
    </row>
    <row r="237" spans="1:12">
      <c r="B237" s="6" t="str">
        <f>项目总控台账!A23</f>
        <v>T020</v>
      </c>
      <c r="C237" s="6" t="str">
        <f>IF(AND(项目总控台账!E23&lt;&gt;"",项目总控台账!E23&lt;&gt;"/"),项目总控台账!E23,IF(AND(项目总控台账!D23&lt;&gt;"",项目总控台账!D23&lt;&gt;"/"),项目总控台账!D23,项目总控台账!C23))</f>
        <v>查询卸车计划</v>
      </c>
      <c r="D237" s="6" t="str">
        <f>项目总控台账!F23</f>
        <v>第二批次</v>
      </c>
      <c r="E237" s="6" t="str">
        <f>项目总控台账!G23</f>
        <v>进行中</v>
      </c>
      <c r="F237" s="17">
        <f>项目总控台账!R23</f>
        <v>46307</v>
      </c>
      <c r="G237" s="17">
        <f>项目总控台账!S23</f>
        <v>46339</v>
      </c>
      <c r="H237" s="70">
        <v>5</v>
      </c>
      <c r="I237" s="6" t="str">
        <f>IF(H237="","待估算",IF(E237="已完成","已结束",IF(AND(ISNUMBER(F237),ISNUMBER(G237),F237&lt;=项目驾驶舱!$B$3,G237&gt;=项目驾驶舱!$B$3),"进行中","计划中")))</f>
        <v>计划中</v>
      </c>
      <c r="J237" s="6" t="str">
        <f>IF(I237="待估算",IF(OR(F237="/",G237="/",F237="",G237=""),"补充计划日期","补充投入工时"),IF(AND(G237&lt;项目驾驶舱!$B$3,E237&lt;&gt;"已完成"),"确认延期和后续安排","按计划跟踪"))</f>
        <v>按计划跟踪</v>
      </c>
      <c r="K237" s="8"/>
      <c r="L237" t="s">
        <v>397</v>
      </c>
    </row>
    <row r="238" spans="1:12">
      <c r="B238" s="6" t="str">
        <f>项目总控台账!A24</f>
        <v>T021</v>
      </c>
      <c r="C238" s="6" t="str">
        <f>IF(AND(项目总控台账!E24&lt;&gt;"",项目总控台账!E24&lt;&gt;"/"),项目总控台账!E24,IF(AND(项目总控台账!D24&lt;&gt;"",项目总控台账!D24&lt;&gt;"/"),项目总控台账!D24,项目总控台账!C24))</f>
        <v>外部客户确认</v>
      </c>
      <c r="D238" s="6" t="str">
        <f>项目总控台账!F24</f>
        <v>第二批次</v>
      </c>
      <c r="E238" s="6" t="str">
        <f>项目总控台账!G24</f>
        <v>进行中</v>
      </c>
      <c r="F238" s="17">
        <f>项目总控台账!R24</f>
        <v>46307</v>
      </c>
      <c r="G238" s="17">
        <f>项目总控台账!S24</f>
        <v>46339</v>
      </c>
      <c r="H238" s="70">
        <v>5</v>
      </c>
      <c r="I238" s="6" t="str">
        <f>IF(H238="","待估算",IF(E238="已完成","已结束",IF(AND(ISNUMBER(F238),ISNUMBER(G238),F238&lt;=项目驾驶舱!$B$3,G238&gt;=项目驾驶舱!$B$3),"进行中","计划中")))</f>
        <v>计划中</v>
      </c>
      <c r="J238" s="6" t="str">
        <f>IF(I238="待估算",IF(OR(F238="/",G238="/",F238="",G238=""),"补充计划日期","补充投入工时"),IF(AND(G238&lt;项目驾驶舱!$B$3,E238&lt;&gt;"已完成"),"确认延期和后续安排","按计划跟踪"))</f>
        <v>按计划跟踪</v>
      </c>
      <c r="K238" s="8"/>
      <c r="L238" t="s">
        <v>397</v>
      </c>
    </row>
    <row r="239" spans="1:12">
      <c r="B239" s="6" t="str">
        <f>项目总控台账!A25</f>
        <v>T022</v>
      </c>
      <c r="C239" s="6" t="str">
        <f>IF(AND(项目总控台账!E25&lt;&gt;"",项目总控台账!E25&lt;&gt;"/"),项目总控台账!E25,IF(AND(项目总控台账!D25&lt;&gt;"",项目总控台账!D25&lt;&gt;"/"),项目总控台账!D25,项目总控台账!C25))</f>
        <v>对接卸船作业信息</v>
      </c>
      <c r="D239" s="6" t="str">
        <f>项目总控台账!F25</f>
        <v>第二批次</v>
      </c>
      <c r="E239" s="6" t="str">
        <f>项目总控台账!G25</f>
        <v>未开始</v>
      </c>
      <c r="F239" s="17">
        <f>项目总控台账!R25</f>
        <v>46307</v>
      </c>
      <c r="G239" s="17">
        <f>项目总控台账!S25</f>
        <v>46339</v>
      </c>
      <c r="H239" s="70">
        <v>5</v>
      </c>
      <c r="I239" s="6" t="str">
        <f>IF(H239="","待估算",IF(E239="已完成","已结束",IF(AND(ISNUMBER(F239),ISNUMBER(G239),F239&lt;=项目驾驶舱!$B$3,G239&gt;=项目驾驶舱!$B$3),"进行中","计划中")))</f>
        <v>计划中</v>
      </c>
      <c r="J239" s="6" t="str">
        <f>IF(I239="待估算",IF(OR(F239="/",G239="/",F239="",G239=""),"补充计划日期","补充投入工时"),IF(AND(G239&lt;项目驾驶舱!$B$3,E239&lt;&gt;"已完成"),"确认延期和后续安排","按计划跟踪"))</f>
        <v>按计划跟踪</v>
      </c>
      <c r="K239" s="8"/>
      <c r="L239" t="s">
        <v>397</v>
      </c>
    </row>
    <row r="240" spans="1:12">
      <c r="B240" s="6" t="str">
        <f>项目总控台账!A26</f>
        <v>T023</v>
      </c>
      <c r="C240" s="6" t="str">
        <f>IF(AND(项目总控台账!E26&lt;&gt;"",项目总控台账!E26&lt;&gt;"/"),项目总控台账!E26,IF(AND(项目总控台账!D26&lt;&gt;"",项目总控台账!D26&lt;&gt;"/"),项目总控台账!D26,项目总控台账!C26))</f>
        <v>查询卸船作业信息</v>
      </c>
      <c r="D240" s="6" t="str">
        <f>项目总控台账!F26</f>
        <v>第二批次</v>
      </c>
      <c r="E240" s="6" t="str">
        <f>项目总控台账!G26</f>
        <v>未开始</v>
      </c>
      <c r="F240" s="17">
        <f>项目总控台账!R26</f>
        <v>46307</v>
      </c>
      <c r="G240" s="17">
        <f>项目总控台账!S26</f>
        <v>46339</v>
      </c>
      <c r="H240" s="70">
        <v>5</v>
      </c>
      <c r="I240" s="6" t="str">
        <f>IF(H240="","待估算",IF(E240="已完成","已结束",IF(AND(ISNUMBER(F240),ISNUMBER(G240),F240&lt;=项目驾驶舱!$B$3,G240&gt;=项目驾驶舱!$B$3),"进行中","计划中")))</f>
        <v>计划中</v>
      </c>
      <c r="J240" s="6" t="str">
        <f>IF(I240="待估算",IF(OR(F240="/",G240="/",F240="",G240=""),"补充计划日期","补充投入工时"),IF(AND(G240&lt;项目驾驶舱!$B$3,E240&lt;&gt;"已完成"),"确认延期和后续安排","按计划跟踪"))</f>
        <v>按计划跟踪</v>
      </c>
      <c r="K240" s="8"/>
      <c r="L240" t="s">
        <v>397</v>
      </c>
    </row>
    <row r="241" spans="1:12">
      <c r="A241" s="71"/>
      <c r="B241" s="6" t="str">
        <f>项目总控台账!A27</f>
        <v>T024</v>
      </c>
      <c r="C241" s="6" t="str">
        <f>IF(AND(项目总控台账!E27&lt;&gt;"",项目总控台账!E27&lt;&gt;"/"),项目总控台账!E27,IF(AND(项目总控台账!D27&lt;&gt;"",项目总控台账!D27&lt;&gt;"/"),项目总控台账!D27,项目总控台账!C27))</f>
        <v>卸船查询列表</v>
      </c>
      <c r="D241" s="6" t="str">
        <f>项目总控台账!F27</f>
        <v>第二批次</v>
      </c>
      <c r="E241" s="6" t="str">
        <f>项目总控台账!G27</f>
        <v>未开始</v>
      </c>
      <c r="F241" s="17">
        <f>项目总控台账!R27</f>
        <v>46307</v>
      </c>
      <c r="G241" s="17">
        <f>项目总控台账!S27</f>
        <v>46339</v>
      </c>
      <c r="H241" s="70">
        <v>5</v>
      </c>
      <c r="I241" s="6" t="str">
        <f>IF(H241="","待估算",IF(E241="已完成","已结束",IF(AND(ISNUMBER(F241),ISNUMBER(G241),F241&lt;=项目驾驶舱!$B$3,G241&gt;=项目驾驶舱!$B$3),"进行中","计划中")))</f>
        <v>计划中</v>
      </c>
      <c r="J241" s="6" t="str">
        <f>IF(I241="待估算",IF(OR(F241="/",G241="/",F241="",G241=""),"补充计划日期","补充投入工时"),IF(AND(G241&lt;项目驾驶舱!$B$3,E241&lt;&gt;"已完成"),"确认延期和后续安排","按计划跟踪"))</f>
        <v>按计划跟踪</v>
      </c>
      <c r="K241" s="8"/>
      <c r="L241" t="s">
        <v>397</v>
      </c>
    </row>
    <row r="242" spans="1:12">
      <c r="A242" s="72" t="s">
        <v>397</v>
      </c>
      <c r="B242" s="6" t="str">
        <f>项目总控台账!A28</f>
        <v>T025</v>
      </c>
      <c r="C242" s="6" t="str">
        <f>IF(AND(项目总控台账!E28&lt;&gt;"",项目总控台账!E28&lt;&gt;"/"),项目总控台账!E28,IF(AND(项目总控台账!D28&lt;&gt;"",项目总控台账!D28&lt;&gt;"/"),项目总控台账!D28,项目总控台账!C28))</f>
        <v>卸船查询详情</v>
      </c>
      <c r="D242" s="6" t="str">
        <f>项目总控台账!F28</f>
        <v>第二批次</v>
      </c>
      <c r="E242" s="6" t="str">
        <f>项目总控台账!G28</f>
        <v>未开始</v>
      </c>
      <c r="F242" s="17">
        <f>项目总控台账!R28</f>
        <v>46307</v>
      </c>
      <c r="G242" s="17">
        <f>项目总控台账!S28</f>
        <v>46339</v>
      </c>
      <c r="H242" s="70">
        <v>5</v>
      </c>
      <c r="I242" s="6" t="str">
        <f>IF(H242="","待估算",IF(E242="已完成","已结束",IF(AND(ISNUMBER(F242),ISNUMBER(G242),F242&lt;=项目驾驶舱!$B$3,G242&gt;=项目驾驶舱!$B$3),"进行中","计划中")))</f>
        <v>计划中</v>
      </c>
      <c r="J242" s="6" t="str">
        <f>IF(I242="待估算",IF(OR(F242="/",G242="/",F242="",G242=""),"补充计划日期","补充投入工时"),IF(AND(G242&lt;项目驾驶舱!$B$3,E242&lt;&gt;"已完成"),"确认延期和后续安排","按计划跟踪"))</f>
        <v>按计划跟踪</v>
      </c>
      <c r="K242" s="8"/>
      <c r="L242" t="s">
        <v>397</v>
      </c>
    </row>
    <row r="243" spans="1:12">
      <c r="B243" s="6" t="str">
        <f>项目总控台账!A29</f>
        <v>T026</v>
      </c>
      <c r="C243" s="6" t="str">
        <f>IF(AND(项目总控台账!E29&lt;&gt;"",项目总控台账!E29&lt;&gt;"/"),项目总控台账!E29,IF(AND(项目总控台账!D29&lt;&gt;"",项目总控台账!D29&lt;&gt;"/"),项目总控台账!D29,项目总控台账!C29))</f>
        <v>创建卸船作业委托信息</v>
      </c>
      <c r="D243" s="6" t="str">
        <f>项目总控台账!F29</f>
        <v>第二批次</v>
      </c>
      <c r="E243" s="6" t="str">
        <f>项目总控台账!G29</f>
        <v>进行中</v>
      </c>
      <c r="F243" s="17">
        <f>项目总控台账!R29</f>
        <v>46307</v>
      </c>
      <c r="G243" s="17">
        <f>项目总控台账!S29</f>
        <v>46339</v>
      </c>
      <c r="H243" s="70">
        <v>5</v>
      </c>
      <c r="I243" s="6" t="str">
        <f>IF(H243="","待估算",IF(E243="已完成","已结束",IF(AND(ISNUMBER(F243),ISNUMBER(G243),F243&lt;=项目驾驶舱!$B$3,G243&gt;=项目驾驶舱!$B$3),"进行中","计划中")))</f>
        <v>计划中</v>
      </c>
      <c r="J243" s="6" t="str">
        <f>IF(I243="待估算",IF(OR(F243="/",G243="/",F243="",G243=""),"补充计划日期","补充投入工时"),IF(AND(G243&lt;项目驾驶舱!$B$3,E243&lt;&gt;"已完成"),"确认延期和后续安排","按计划跟踪"))</f>
        <v>按计划跟踪</v>
      </c>
      <c r="K243" s="8"/>
      <c r="L243" t="s">
        <v>397</v>
      </c>
    </row>
    <row r="244" spans="1:12">
      <c r="B244" s="6" t="str">
        <f>项目总控台账!A30</f>
        <v>T027</v>
      </c>
      <c r="C244" s="6" t="str">
        <f>IF(AND(项目总控台账!E30&lt;&gt;"",项目总控台账!E30&lt;&gt;"/"),项目总控台账!E30,IF(AND(项目总控台账!D30&lt;&gt;"",项目总控台账!D30&lt;&gt;"/"),项目总控台账!D30,项目总控台账!C30))</f>
        <v>修改卸船作业委托信息</v>
      </c>
      <c r="D244" s="6" t="str">
        <f>项目总控台账!F30</f>
        <v>第二批次</v>
      </c>
      <c r="E244" s="6" t="str">
        <f>项目总控台账!G30</f>
        <v>进行中</v>
      </c>
      <c r="F244" s="17">
        <f>项目总控台账!R30</f>
        <v>46307</v>
      </c>
      <c r="G244" s="17">
        <f>项目总控台账!S30</f>
        <v>46339</v>
      </c>
      <c r="H244" s="70">
        <v>5</v>
      </c>
      <c r="I244" s="6" t="str">
        <f>IF(H244="","待估算",IF(E244="已完成","已结束",IF(AND(ISNUMBER(F244),ISNUMBER(G244),F244&lt;=项目驾驶舱!$B$3,G244&gt;=项目驾驶舱!$B$3),"进行中","计划中")))</f>
        <v>计划中</v>
      </c>
      <c r="J244" s="6" t="str">
        <f>IF(I244="待估算",IF(OR(F244="/",G244="/",F244="",G244=""),"补充计划日期","补充投入工时"),IF(AND(G244&lt;项目驾驶舱!$B$3,E244&lt;&gt;"已完成"),"确认延期和后续安排","按计划跟踪"))</f>
        <v>按计划跟踪</v>
      </c>
      <c r="K244" s="8"/>
      <c r="L244" t="s">
        <v>397</v>
      </c>
    </row>
    <row r="245" spans="1:12">
      <c r="B245" s="6" t="str">
        <f>项目总控台账!A31</f>
        <v>T028</v>
      </c>
      <c r="C245" s="6" t="str">
        <f>IF(AND(项目总控台账!E31&lt;&gt;"",项目总控台账!E31&lt;&gt;"/"),项目总控台账!E31,IF(AND(项目总控台账!D31&lt;&gt;"",项目总控台账!D31&lt;&gt;"/"),项目总控台账!D31,项目总控台账!C31))</f>
        <v>作废卸船作业委托信息</v>
      </c>
      <c r="D245" s="6" t="str">
        <f>项目总控台账!F31</f>
        <v>第二批次</v>
      </c>
      <c r="E245" s="6" t="str">
        <f>项目总控台账!G31</f>
        <v>进行中</v>
      </c>
      <c r="F245" s="17">
        <f>项目总控台账!R31</f>
        <v>46307</v>
      </c>
      <c r="G245" s="17">
        <f>项目总控台账!S31</f>
        <v>46339</v>
      </c>
      <c r="H245" s="70">
        <v>5</v>
      </c>
      <c r="I245" s="6" t="str">
        <f>IF(H245="","待估算",IF(E245="已完成","已结束",IF(AND(ISNUMBER(F245),ISNUMBER(G245),F245&lt;=项目驾驶舱!$B$3,G245&gt;=项目驾驶舱!$B$3),"进行中","计划中")))</f>
        <v>计划中</v>
      </c>
      <c r="J245" s="6" t="str">
        <f>IF(I245="待估算",IF(OR(F245="/",G245="/",F245="",G245=""),"补充计划日期","补充投入工时"),IF(AND(G245&lt;项目驾驶舱!$B$3,E245&lt;&gt;"已完成"),"确认延期和后续安排","按计划跟踪"))</f>
        <v>按计划跟踪</v>
      </c>
      <c r="K245" s="8"/>
      <c r="L245" t="s">
        <v>397</v>
      </c>
    </row>
    <row r="246" spans="1:12">
      <c r="B246" s="6" t="str">
        <f>项目总控台账!A32</f>
        <v>T029</v>
      </c>
      <c r="C246" s="6" t="str">
        <f>IF(AND(项目总控台账!E32&lt;&gt;"",项目总控台账!E32&lt;&gt;"/"),项目总控台账!E32,IF(AND(项目总控台账!D32&lt;&gt;"",项目总控台账!D32&lt;&gt;"/"),项目总控台账!D32,项目总控台账!C32))</f>
        <v>推送卸船作业委托信息</v>
      </c>
      <c r="D246" s="6" t="str">
        <f>项目总控台账!F32</f>
        <v>第二批次</v>
      </c>
      <c r="E246" s="6" t="str">
        <f>项目总控台账!G32</f>
        <v>进行中</v>
      </c>
      <c r="F246" s="17">
        <f>项目总控台账!R32</f>
        <v>46307</v>
      </c>
      <c r="G246" s="17">
        <f>项目总控台账!S32</f>
        <v>46339</v>
      </c>
      <c r="H246" s="70">
        <v>5</v>
      </c>
      <c r="I246" s="6" t="str">
        <f>IF(H246="","待估算",IF(E246="已完成","已结束",IF(AND(ISNUMBER(F246),ISNUMBER(G246),F246&lt;=项目驾驶舱!$B$3,G246&gt;=项目驾驶舱!$B$3),"进行中","计划中")))</f>
        <v>计划中</v>
      </c>
      <c r="J246" s="6" t="str">
        <f>IF(I246="待估算",IF(OR(F246="/",G246="/",F246="",G246=""),"补充计划日期","补充投入工时"),IF(AND(G246&lt;项目驾驶舱!$B$3,E246&lt;&gt;"已完成"),"确认延期和后续安排","按计划跟踪"))</f>
        <v>按计划跟踪</v>
      </c>
      <c r="K246" s="8"/>
      <c r="L246" t="s">
        <v>397</v>
      </c>
    </row>
    <row r="247" spans="1:12">
      <c r="B247" s="6" t="str">
        <f>项目总控台账!A33</f>
        <v>T030</v>
      </c>
      <c r="C247" s="6" t="str">
        <f>IF(AND(项目总控台账!E33&lt;&gt;"",项目总控台账!E33&lt;&gt;"/"),项目总控台账!E33,IF(AND(项目总控台账!D33&lt;&gt;"",项目总控台账!D33&lt;&gt;"/"),项目总控台账!D33,项目总控台账!C33))</f>
        <v>查询卸船作业委托信息</v>
      </c>
      <c r="D247" s="6" t="str">
        <f>项目总控台账!F33</f>
        <v>第二批次</v>
      </c>
      <c r="E247" s="6" t="str">
        <f>项目总控台账!G33</f>
        <v>进行中</v>
      </c>
      <c r="F247" s="17">
        <f>项目总控台账!R33</f>
        <v>46307</v>
      </c>
      <c r="G247" s="17">
        <f>项目总控台账!S33</f>
        <v>46339</v>
      </c>
      <c r="H247" s="70">
        <v>5</v>
      </c>
      <c r="I247" s="6" t="str">
        <f>IF(H247="","待估算",IF(E247="已完成","已结束",IF(AND(ISNUMBER(F247),ISNUMBER(G247),F247&lt;=项目驾驶舱!$B$3,G247&gt;=项目驾驶舱!$B$3),"进行中","计划中")))</f>
        <v>计划中</v>
      </c>
      <c r="J247" s="6" t="str">
        <f>IF(I247="待估算",IF(OR(F247="/",G247="/",F247="",G247=""),"补充计划日期","补充投入工时"),IF(AND(G247&lt;项目驾驶舱!$B$3,E247&lt;&gt;"已完成"),"确认延期和后续安排","按计划跟踪"))</f>
        <v>按计划跟踪</v>
      </c>
      <c r="K247" s="8"/>
      <c r="L247" t="s">
        <v>397</v>
      </c>
    </row>
    <row r="248" spans="1:12">
      <c r="B248" s="6" t="str">
        <f>项目总控台账!A34</f>
        <v>T031</v>
      </c>
      <c r="C248" s="6" t="str">
        <f>IF(AND(项目总控台账!E34&lt;&gt;"",项目总控台账!E34&lt;&gt;"/"),项目总控台账!E34,IF(AND(项目总控台账!D34&lt;&gt;"",项目总控台账!D34&lt;&gt;"/"),项目总控台账!D34,项目总控台账!C34))</f>
        <v>创建外轮转内贸业务信息</v>
      </c>
      <c r="D248" s="6" t="str">
        <f>项目总控台账!F34</f>
        <v>第二批次</v>
      </c>
      <c r="E248" s="6" t="str">
        <f>项目总控台账!G34</f>
        <v>未开始</v>
      </c>
      <c r="F248" s="17">
        <f>项目总控台账!R34</f>
        <v>46307</v>
      </c>
      <c r="G248" s="17">
        <f>项目总控台账!S34</f>
        <v>46339</v>
      </c>
      <c r="H248" s="70">
        <v>5</v>
      </c>
      <c r="I248" s="6" t="str">
        <f>IF(H248="","待估算",IF(E248="已完成","已结束",IF(AND(ISNUMBER(F248),ISNUMBER(G248),F248&lt;=项目驾驶舱!$B$3,G248&gt;=项目驾驶舱!$B$3),"进行中","计划中")))</f>
        <v>计划中</v>
      </c>
      <c r="J248" s="6" t="str">
        <f>IF(I248="待估算",IF(OR(F248="/",G248="/",F248="",G248=""),"补充计划日期","补充投入工时"),IF(AND(G248&lt;项目驾驶舱!$B$3,E248&lt;&gt;"已完成"),"确认延期和后续安排","按计划跟踪"))</f>
        <v>按计划跟踪</v>
      </c>
      <c r="K248" s="8"/>
      <c r="L248" t="s">
        <v>397</v>
      </c>
    </row>
    <row r="249" spans="1:12">
      <c r="B249" s="6" t="str">
        <f>项目总控台账!A35</f>
        <v>T032</v>
      </c>
      <c r="C249" s="6" t="str">
        <f>IF(AND(项目总控台账!E35&lt;&gt;"",项目总控台账!E35&lt;&gt;"/"),项目总控台账!E35,IF(AND(项目总控台账!D35&lt;&gt;"",项目总控台账!D35&lt;&gt;"/"),项目总控台账!D35,项目总控台账!C35))</f>
        <v>作废外轮转内贸业务信息</v>
      </c>
      <c r="D249" s="6" t="str">
        <f>项目总控台账!F35</f>
        <v>第二批次</v>
      </c>
      <c r="E249" s="6" t="str">
        <f>项目总控台账!G35</f>
        <v>未开始</v>
      </c>
      <c r="F249" s="17">
        <f>项目总控台账!R35</f>
        <v>46307</v>
      </c>
      <c r="G249" s="17">
        <f>项目总控台账!S35</f>
        <v>46339</v>
      </c>
      <c r="H249" s="70">
        <v>5</v>
      </c>
      <c r="I249" s="6" t="str">
        <f>IF(H249="","待估算",IF(E249="已完成","已结束",IF(AND(ISNUMBER(F249),ISNUMBER(G249),F249&lt;=项目驾驶舱!$B$3,G249&gt;=项目驾驶舱!$B$3),"进行中","计划中")))</f>
        <v>计划中</v>
      </c>
      <c r="J249" s="6" t="str">
        <f>IF(I249="待估算",IF(OR(F249="/",G249="/",F249="",G249=""),"补充计划日期","补充投入工时"),IF(AND(G249&lt;项目驾驶舱!$B$3,E249&lt;&gt;"已完成"),"确认延期和后续安排","按计划跟踪"))</f>
        <v>按计划跟踪</v>
      </c>
      <c r="K249" s="8"/>
      <c r="L249" t="s">
        <v>397</v>
      </c>
    </row>
    <row r="250" spans="1:12">
      <c r="B250" s="6" t="str">
        <f>项目总控台账!A36</f>
        <v>T033</v>
      </c>
      <c r="C250" s="6" t="str">
        <f>IF(AND(项目总控台账!E36&lt;&gt;"",项目总控台账!E36&lt;&gt;"/"),项目总控台账!E36,IF(AND(项目总控台账!D36&lt;&gt;"",项目总控台账!D36&lt;&gt;"/"),项目总控台账!D36,项目总控台账!C36))</f>
        <v>查询外轮转内贸业务信息</v>
      </c>
      <c r="D250" s="6" t="str">
        <f>项目总控台账!F36</f>
        <v>第二批次</v>
      </c>
      <c r="E250" s="6" t="str">
        <f>项目总控台账!G36</f>
        <v>未开始</v>
      </c>
      <c r="F250" s="17">
        <f>项目总控台账!R36</f>
        <v>46307</v>
      </c>
      <c r="G250" s="17">
        <f>项目总控台账!S36</f>
        <v>46339</v>
      </c>
      <c r="H250" s="70">
        <v>5</v>
      </c>
      <c r="I250" s="6" t="str">
        <f>IF(H250="","待估算",IF(E250="已完成","已结束",IF(AND(ISNUMBER(F250),ISNUMBER(G250),F250&lt;=项目驾驶舱!$B$3,G250&gt;=项目驾驶舱!$B$3),"进行中","计划中")))</f>
        <v>计划中</v>
      </c>
      <c r="J250" s="6" t="str">
        <f>IF(I250="待估算",IF(OR(F250="/",G250="/",F250="",G250=""),"补充计划日期","补充投入工时"),IF(AND(G250&lt;项目驾驶舱!$B$3,E250&lt;&gt;"已完成"),"确认延期和后续安排","按计划跟踪"))</f>
        <v>按计划跟踪</v>
      </c>
      <c r="K250" s="8"/>
      <c r="L250" t="s">
        <v>397</v>
      </c>
    </row>
    <row r="251" spans="1:12">
      <c r="B251" s="6" t="str">
        <f>项目总控台账!A37</f>
        <v>T034</v>
      </c>
      <c r="C251" s="6" t="str">
        <f>IF(AND(项目总控台账!E37&lt;&gt;"",项目总控台账!E37&lt;&gt;"/"),项目总控台账!E37,IF(AND(项目总控台账!D37&lt;&gt;"",项目总控台账!D37&lt;&gt;"/"),项目总控台账!D37,项目总控台账!C37))</f>
        <v>新增船舶靠泊通知单</v>
      </c>
      <c r="D251" s="6" t="str">
        <f>项目总控台账!F37</f>
        <v>第二批次</v>
      </c>
      <c r="E251" s="6" t="str">
        <f>项目总控台账!G37</f>
        <v>进行中</v>
      </c>
      <c r="F251" s="17">
        <f>项目总控台账!R37</f>
        <v>46307</v>
      </c>
      <c r="G251" s="17">
        <f>项目总控台账!S37</f>
        <v>46339</v>
      </c>
      <c r="H251" s="70">
        <v>5</v>
      </c>
      <c r="I251" s="6" t="str">
        <f>IF(H251="","待估算",IF(E251="已完成","已结束",IF(AND(ISNUMBER(F251),ISNUMBER(G251),F251&lt;=项目驾驶舱!$B$3,G251&gt;=项目驾驶舱!$B$3),"进行中","计划中")))</f>
        <v>计划中</v>
      </c>
      <c r="J251" s="6" t="str">
        <f>IF(I251="待估算",IF(OR(F251="/",G251="/",F251="",G251=""),"补充计划日期","补充投入工时"),IF(AND(G251&lt;项目驾驶舱!$B$3,E251&lt;&gt;"已完成"),"确认延期和后续安排","按计划跟踪"))</f>
        <v>按计划跟踪</v>
      </c>
      <c r="K251" s="8"/>
      <c r="L251" t="s">
        <v>397</v>
      </c>
    </row>
    <row r="252" spans="1:12">
      <c r="B252" s="6" t="str">
        <f>项目总控台账!A38</f>
        <v>T035</v>
      </c>
      <c r="C252" s="6" t="str">
        <f>IF(AND(项目总控台账!E38&lt;&gt;"",项目总控台账!E38&lt;&gt;"/"),项目总控台账!E38,IF(AND(项目总控台账!D38&lt;&gt;"",项目总控台账!D38&lt;&gt;"/"),项目总控台账!D38,项目总控台账!C38))</f>
        <v>审批船舶靠泊通知单</v>
      </c>
      <c r="D252" s="6" t="str">
        <f>项目总控台账!F38</f>
        <v>第二批次</v>
      </c>
      <c r="E252" s="6" t="str">
        <f>项目总控台账!G38</f>
        <v>进行中</v>
      </c>
      <c r="F252" s="17">
        <f>项目总控台账!R38</f>
        <v>46307</v>
      </c>
      <c r="G252" s="17">
        <f>项目总控台账!S38</f>
        <v>46339</v>
      </c>
      <c r="H252" s="70">
        <v>5</v>
      </c>
      <c r="I252" s="6" t="str">
        <f>IF(H252="","待估算",IF(E252="已完成","已结束",IF(AND(ISNUMBER(F252),ISNUMBER(G252),F252&lt;=项目驾驶舱!$B$3,G252&gt;=项目驾驶舱!$B$3),"进行中","计划中")))</f>
        <v>计划中</v>
      </c>
      <c r="J252" s="6" t="str">
        <f>IF(I252="待估算",IF(OR(F252="/",G252="/",F252="",G252=""),"补充计划日期","补充投入工时"),IF(AND(G252&lt;项目驾驶舱!$B$3,E252&lt;&gt;"已完成"),"确认延期和后续安排","按计划跟踪"))</f>
        <v>按计划跟踪</v>
      </c>
      <c r="K252" s="8"/>
      <c r="L252" t="s">
        <v>397</v>
      </c>
    </row>
    <row r="253" spans="1:12">
      <c r="A253" s="71"/>
      <c r="B253" s="6" t="str">
        <f>项目总控台账!A39</f>
        <v>T036</v>
      </c>
      <c r="C253" s="6" t="str">
        <f>IF(AND(项目总控台账!E39&lt;&gt;"",项目总控台账!E39&lt;&gt;"/"),项目总控台账!E39,IF(AND(项目总控台账!D39&lt;&gt;"",项目总控台账!D39&lt;&gt;"/"),项目总控台账!D39,项目总控台账!C39))</f>
        <v>查询船舶靠泊通知单</v>
      </c>
      <c r="D253" s="6" t="str">
        <f>项目总控台账!F39</f>
        <v>第二批次</v>
      </c>
      <c r="E253" s="6" t="str">
        <f>项目总控台账!G39</f>
        <v>进行中</v>
      </c>
      <c r="F253" s="17">
        <f>项目总控台账!R39</f>
        <v>46307</v>
      </c>
      <c r="G253" s="17">
        <f>项目总控台账!S39</f>
        <v>46339</v>
      </c>
      <c r="H253" s="70">
        <v>5</v>
      </c>
      <c r="I253" s="6" t="str">
        <f>IF(H253="","待估算",IF(E253="已完成","已结束",IF(AND(ISNUMBER(F253),ISNUMBER(G253),F253&lt;=项目驾驶舱!$B$3,G253&gt;=项目驾驶舱!$B$3),"进行中","计划中")))</f>
        <v>计划中</v>
      </c>
      <c r="J253" s="6" t="str">
        <f>IF(I253="待估算",IF(OR(F253="/",G253="/",F253="",G253=""),"补充计划日期","补充投入工时"),IF(AND(G253&lt;项目驾驶舱!$B$3,E253&lt;&gt;"已完成"),"确认延期和后续安排","按计划跟踪"))</f>
        <v>按计划跟踪</v>
      </c>
      <c r="K253" s="8"/>
      <c r="L253" t="s">
        <v>397</v>
      </c>
    </row>
    <row r="254" spans="1:12">
      <c r="A254" s="72" t="s">
        <v>397</v>
      </c>
      <c r="B254" s="6" t="str">
        <f>项目总控台账!A49</f>
        <v>T046</v>
      </c>
      <c r="C254" s="6" t="str">
        <f>IF(AND(项目总控台账!E49&lt;&gt;"",项目总控台账!E49&lt;&gt;"/"),项目总控台账!E49,IF(AND(项目总控台账!D49&lt;&gt;"",项目总控台账!D49&lt;&gt;"/"),项目总控台账!D49,项目总控台账!C49))</f>
        <v>新增船舶预到（外贸）</v>
      </c>
      <c r="D254" s="6" t="str">
        <f>项目总控台账!F49</f>
        <v>第二批次</v>
      </c>
      <c r="E254" s="6" t="str">
        <f>项目总控台账!G49</f>
        <v>已完成</v>
      </c>
      <c r="F254" s="17">
        <f>项目总控台账!R49</f>
        <v>46307</v>
      </c>
      <c r="G254" s="17">
        <f>项目总控台账!S49</f>
        <v>46339</v>
      </c>
      <c r="H254" s="70">
        <v>5</v>
      </c>
      <c r="I254" s="6" t="str">
        <f>IF(H254="","待估算",IF(E254="已完成","已结束",IF(AND(ISNUMBER(F254),ISNUMBER(G254),F254&lt;=项目驾驶舱!$B$3,G254&gt;=项目驾驶舱!$B$3),"进行中","计划中")))</f>
        <v>已结束</v>
      </c>
      <c r="J254" s="6" t="str">
        <f>IF(I254="待估算",IF(OR(F254="/",G254="/",F254="",G254=""),"补充计划日期","补充投入工时"),IF(AND(G254&lt;项目驾驶舱!$B$3,E254&lt;&gt;"已完成"),"确认延期和后续安排","按计划跟踪"))</f>
        <v>按计划跟踪</v>
      </c>
      <c r="K254" s="8"/>
      <c r="L254" t="s">
        <v>397</v>
      </c>
    </row>
    <row r="255" spans="1:12">
      <c r="B255" s="6" t="str">
        <f>项目总控台账!A50</f>
        <v>T047</v>
      </c>
      <c r="C255" s="6" t="str">
        <f>IF(AND(项目总控台账!E50&lt;&gt;"",项目总控台账!E50&lt;&gt;"/"),项目总控台账!E50,IF(AND(项目总控台账!D50&lt;&gt;"",项目总控台账!D50&lt;&gt;"/"),项目总控台账!D50,项目总控台账!C50))</f>
        <v>退回船舶预到（外贸）</v>
      </c>
      <c r="D255" s="6" t="str">
        <f>项目总控台账!F50</f>
        <v>第二批次</v>
      </c>
      <c r="E255" s="6" t="str">
        <f>项目总控台账!G50</f>
        <v>未开始</v>
      </c>
      <c r="F255" s="17">
        <f>项目总控台账!R50</f>
        <v>46307</v>
      </c>
      <c r="G255" s="17">
        <f>项目总控台账!S50</f>
        <v>46339</v>
      </c>
      <c r="H255" s="70">
        <v>5</v>
      </c>
      <c r="I255" s="6" t="str">
        <f>IF(H255="","待估算",IF(E255="已完成","已结束",IF(AND(ISNUMBER(F255),ISNUMBER(G255),F255&lt;=项目驾驶舱!$B$3,G255&gt;=项目驾驶舱!$B$3),"进行中","计划中")))</f>
        <v>计划中</v>
      </c>
      <c r="J255" s="6" t="str">
        <f>IF(I255="待估算",IF(OR(F255="/",G255="/",F255="",G255=""),"补充计划日期","补充投入工时"),IF(AND(G255&lt;项目驾驶舱!$B$3,E255&lt;&gt;"已完成"),"确认延期和后续安排","按计划跟踪"))</f>
        <v>按计划跟踪</v>
      </c>
      <c r="K255" s="8"/>
      <c r="L255" t="s">
        <v>397</v>
      </c>
    </row>
    <row r="256" spans="1:12">
      <c r="B256" s="6" t="str">
        <f>项目总控台账!A51</f>
        <v>T048</v>
      </c>
      <c r="C256" s="6" t="str">
        <f>IF(AND(项目总控台账!E51&lt;&gt;"",项目总控台账!E51&lt;&gt;"/"),项目总控台账!E51,IF(AND(项目总控台账!D51&lt;&gt;"",项目总控台账!D51&lt;&gt;"/"),项目总控台账!D51,项目总控台账!C51))</f>
        <v>退回船舶预到（外贸）</v>
      </c>
      <c r="D256" s="6" t="str">
        <f>项目总控台账!F51</f>
        <v>第二批次</v>
      </c>
      <c r="E256" s="6" t="str">
        <f>项目总控台账!G51</f>
        <v>未开始</v>
      </c>
      <c r="F256" s="17">
        <f>项目总控台账!R51</f>
        <v>46307</v>
      </c>
      <c r="G256" s="17">
        <f>项目总控台账!S51</f>
        <v>46339</v>
      </c>
      <c r="H256" s="70">
        <v>5</v>
      </c>
      <c r="I256" s="6" t="str">
        <f>IF(H256="","待估算",IF(E256="已完成","已结束",IF(AND(ISNUMBER(F256),ISNUMBER(G256),F256&lt;=项目驾驶舱!$B$3,G256&gt;=项目驾驶舱!$B$3),"进行中","计划中")))</f>
        <v>计划中</v>
      </c>
      <c r="J256" s="6" t="str">
        <f>IF(I256="待估算",IF(OR(F256="/",G256="/",F256="",G256=""),"补充计划日期","补充投入工时"),IF(AND(G256&lt;项目驾驶舱!$B$3,E256&lt;&gt;"已完成"),"确认延期和后续安排","按计划跟踪"))</f>
        <v>按计划跟踪</v>
      </c>
      <c r="K256" s="8"/>
      <c r="L256" t="s">
        <v>397</v>
      </c>
    </row>
    <row r="257" spans="1:12">
      <c r="B257" s="6" t="str">
        <f>项目总控台账!A52</f>
        <v>T049</v>
      </c>
      <c r="C257" s="6" t="str">
        <f>IF(AND(项目总控台账!E52&lt;&gt;"",项目总控台账!E52&lt;&gt;"/"),项目总控台账!E52,IF(AND(项目总控台账!D52&lt;&gt;"",项目总控台账!D52&lt;&gt;"/"),项目总控台账!D52,项目总控台账!C52))</f>
        <v>申请采样申请（外贸）</v>
      </c>
      <c r="D257" s="6" t="str">
        <f>项目总控台账!F52</f>
        <v>第二批次</v>
      </c>
      <c r="E257" s="6" t="str">
        <f>项目总控台账!G52</f>
        <v>已完成</v>
      </c>
      <c r="F257" s="17">
        <f>项目总控台账!R52</f>
        <v>46307</v>
      </c>
      <c r="G257" s="17">
        <f>项目总控台账!S52</f>
        <v>46339</v>
      </c>
      <c r="H257" s="70">
        <v>5</v>
      </c>
      <c r="I257" s="6" t="str">
        <f>IF(H257="","待估算",IF(E257="已完成","已结束",IF(AND(ISNUMBER(F257),ISNUMBER(G257),F257&lt;=项目驾驶舱!$B$3,G257&gt;=项目驾驶舱!$B$3),"进行中","计划中")))</f>
        <v>已结束</v>
      </c>
      <c r="J257" s="6" t="str">
        <f>IF(I257="待估算",IF(OR(F257="/",G257="/",F257="",G257=""),"补充计划日期","补充投入工时"),IF(AND(G257&lt;项目驾驶舱!$B$3,E257&lt;&gt;"已完成"),"确认延期和后续安排","按计划跟踪"))</f>
        <v>按计划跟踪</v>
      </c>
      <c r="K257" s="8"/>
      <c r="L257" t="s">
        <v>397</v>
      </c>
    </row>
    <row r="258" spans="1:12">
      <c r="B258" s="6" t="str">
        <f>项目总控台账!A81</f>
        <v>T078</v>
      </c>
      <c r="C258" s="6" t="str">
        <f>IF(AND(项目总控台账!E81&lt;&gt;"",项目总控台账!E81&lt;&gt;"/"),项目总控台账!E81,IF(AND(项目总控台账!D81&lt;&gt;"",项目总控台账!D81&lt;&gt;"/"),项目总控台账!D81,项目总控台账!C81))</f>
        <v>业务数据合同签订校验</v>
      </c>
      <c r="D258" s="6" t="str">
        <f>项目总控台账!F81</f>
        <v>第二批次</v>
      </c>
      <c r="E258" s="6" t="str">
        <f>项目总控台账!G81</f>
        <v>未开始</v>
      </c>
      <c r="F258" s="17">
        <f>项目总控台账!R81</f>
        <v>46307</v>
      </c>
      <c r="G258" s="17">
        <f>项目总控台账!S81</f>
        <v>46339</v>
      </c>
      <c r="H258" s="70">
        <v>5</v>
      </c>
      <c r="I258" s="6" t="str">
        <f>IF(H258="","待估算",IF(E258="已完成","已结束",IF(AND(ISNUMBER(F258),ISNUMBER(G258),F258&lt;=项目驾驶舱!$B$3,G258&gt;=项目驾驶舱!$B$3),"进行中","计划中")))</f>
        <v>计划中</v>
      </c>
      <c r="J258" s="6" t="str">
        <f>IF(I258="待估算",IF(OR(F258="/",G258="/",F258="",G258=""),"补充计划日期","补充投入工时"),IF(AND(G258&lt;项目驾驶舱!$B$3,E258&lt;&gt;"已完成"),"确认延期和后续安排","按计划跟踪"))</f>
        <v>按计划跟踪</v>
      </c>
      <c r="K258" s="8"/>
      <c r="L258" t="s">
        <v>397</v>
      </c>
    </row>
    <row r="259" spans="1:12">
      <c r="B259" s="6" t="str">
        <f>项目总控台账!A82</f>
        <v>T079</v>
      </c>
      <c r="C259" s="6" t="str">
        <f>IF(AND(项目总控台账!E82&lt;&gt;"",项目总控台账!E82&lt;&gt;"/"),项目总控台账!E82,IF(AND(项目总控台账!D82&lt;&gt;"",项目总控台账!D82&lt;&gt;"/"),项目总控台账!D82,项目总控台账!C82))</f>
        <v>结算数据合同签订校验</v>
      </c>
      <c r="D259" s="6" t="str">
        <f>项目总控台账!F82</f>
        <v>第二批次</v>
      </c>
      <c r="E259" s="6" t="str">
        <f>项目总控台账!G82</f>
        <v>未开始</v>
      </c>
      <c r="F259" s="17">
        <f>项目总控台账!R82</f>
        <v>46307</v>
      </c>
      <c r="G259" s="17">
        <f>项目总控台账!S82</f>
        <v>46339</v>
      </c>
      <c r="H259" s="70">
        <v>5</v>
      </c>
      <c r="I259" s="6" t="str">
        <f>IF(H259="","待估算",IF(E259="已完成","已结束",IF(AND(ISNUMBER(F259),ISNUMBER(G259),F259&lt;=项目驾驶舱!$B$3,G259&gt;=项目驾驶舱!$B$3),"进行中","计划中")))</f>
        <v>计划中</v>
      </c>
      <c r="J259" s="6" t="str">
        <f>IF(I259="待估算",IF(OR(F259="/",G259="/",F259="",G259=""),"补充计划日期","补充投入工时"),IF(AND(G259&lt;项目驾驶舱!$B$3,E259&lt;&gt;"已完成"),"确认延期和后续安排","按计划跟踪"))</f>
        <v>按计划跟踪</v>
      </c>
      <c r="K259" s="8"/>
      <c r="L259" t="s">
        <v>397</v>
      </c>
    </row>
    <row r="260" spans="1:12">
      <c r="B260" s="6" t="str">
        <f>项目总控台账!A83</f>
        <v>T080</v>
      </c>
      <c r="C260" s="6" t="str">
        <f>IF(AND(项目总控台账!E83&lt;&gt;"",项目总控台账!E83&lt;&gt;"/"),项目总控台账!E83,IF(AND(项目总控台账!D83&lt;&gt;"",项目总控台账!D83&lt;&gt;"/"),项目总控台账!D83,项目总控台账!C83))</f>
        <v>合同校验结果查询</v>
      </c>
      <c r="D260" s="6" t="str">
        <f>项目总控台账!F83</f>
        <v>第二批次</v>
      </c>
      <c r="E260" s="6" t="str">
        <f>项目总控台账!G83</f>
        <v>未开始</v>
      </c>
      <c r="F260" s="17">
        <f>项目总控台账!R83</f>
        <v>46307</v>
      </c>
      <c r="G260" s="17">
        <f>项目总控台账!S83</f>
        <v>46339</v>
      </c>
      <c r="H260" s="70">
        <v>5</v>
      </c>
      <c r="I260" s="6" t="str">
        <f>IF(H260="","待估算",IF(E260="已完成","已结束",IF(AND(ISNUMBER(F260),ISNUMBER(G260),F260&lt;=项目驾驶舱!$B$3,G260&gt;=项目驾驶舱!$B$3),"进行中","计划中")))</f>
        <v>计划中</v>
      </c>
      <c r="J260" s="6" t="str">
        <f>IF(I260="待估算",IF(OR(F260="/",G260="/",F260="",G260=""),"补充计划日期","补充投入工时"),IF(AND(G260&lt;项目驾驶舱!$B$3,E260&lt;&gt;"已完成"),"确认延期和后续安排","按计划跟踪"))</f>
        <v>按计划跟踪</v>
      </c>
      <c r="K260" s="8"/>
      <c r="L260" t="s">
        <v>397</v>
      </c>
    </row>
    <row r="261" spans="1:12">
      <c r="B261" s="6" t="str">
        <f>项目总控台账!A84</f>
        <v>T081</v>
      </c>
      <c r="C261" s="6" t="str">
        <f>IF(AND(项目总控台账!E84&lt;&gt;"",项目总控台账!E84&lt;&gt;"/"),项目总控台账!E84,IF(AND(项目总控台账!D84&lt;&gt;"",项目总控台账!D84&lt;&gt;"/"),项目总控台账!D84,项目总控台账!C84))</f>
        <v>数据对接</v>
      </c>
      <c r="D261" s="6" t="str">
        <f>项目总控台账!F84</f>
        <v>第二批次</v>
      </c>
      <c r="E261" s="6" t="str">
        <f>项目总控台账!G84</f>
        <v>未开始</v>
      </c>
      <c r="F261" s="17">
        <f>项目总控台账!R84</f>
        <v>46307</v>
      </c>
      <c r="G261" s="17">
        <f>项目总控台账!S84</f>
        <v>46339</v>
      </c>
      <c r="H261" s="70">
        <v>5</v>
      </c>
      <c r="I261" s="6" t="str">
        <f>IF(H261="","待估算",IF(E261="已完成","已结束",IF(AND(ISNUMBER(F261),ISNUMBER(G261),F261&lt;=项目驾驶舱!$B$3,G261&gt;=项目驾驶舱!$B$3),"进行中","计划中")))</f>
        <v>计划中</v>
      </c>
      <c r="J261" s="6" t="str">
        <f>IF(I261="待估算",IF(OR(F261="/",G261="/",F261="",G261=""),"补充计划日期","补充投入工时"),IF(AND(G261&lt;项目驾驶舱!$B$3,E261&lt;&gt;"已完成"),"确认延期和后续安排","按计划跟踪"))</f>
        <v>按计划跟踪</v>
      </c>
      <c r="K261" s="8"/>
      <c r="L261" t="s">
        <v>397</v>
      </c>
    </row>
    <row r="262" spans="1:12">
      <c r="B262" s="6" t="str">
        <f>项目总控台账!A85</f>
        <v>T082</v>
      </c>
      <c r="C262" s="6" t="str">
        <f>IF(AND(项目总控台账!E85&lt;&gt;"",项目总控台账!E85&lt;&gt;"/"),项目总控台账!E85,IF(AND(项目总控台账!D85&lt;&gt;"",项目总控台账!D85&lt;&gt;"/"),项目总控台账!D85,项目总控台账!C85))</f>
        <v>数据展示</v>
      </c>
      <c r="D262" s="6" t="str">
        <f>项目总控台账!F85</f>
        <v>第二批次</v>
      </c>
      <c r="E262" s="6" t="str">
        <f>项目总控台账!G85</f>
        <v>未开始</v>
      </c>
      <c r="F262" s="17">
        <f>项目总控台账!R85</f>
        <v>46307</v>
      </c>
      <c r="G262" s="17">
        <f>项目总控台账!S85</f>
        <v>46339</v>
      </c>
      <c r="H262" s="70">
        <v>5</v>
      </c>
      <c r="I262" s="6" t="str">
        <f>IF(H262="","待估算",IF(E262="已完成","已结束",IF(AND(ISNUMBER(F262),ISNUMBER(G262),F262&lt;=项目驾驶舱!$B$3,G262&gt;=项目驾驶舱!$B$3),"进行中","计划中")))</f>
        <v>计划中</v>
      </c>
      <c r="J262" s="6" t="str">
        <f>IF(I262="待估算",IF(OR(F262="/",G262="/",F262="",G262=""),"补充计划日期","补充投入工时"),IF(AND(G262&lt;项目驾驶舱!$B$3,E262&lt;&gt;"已完成"),"确认延期和后续安排","按计划跟踪"))</f>
        <v>按计划跟踪</v>
      </c>
      <c r="K262" s="8"/>
      <c r="L262" t="s">
        <v>397</v>
      </c>
    </row>
    <row r="263" spans="1:12">
      <c r="B263" s="6" t="str">
        <f>项目总控台账!A86</f>
        <v>T083</v>
      </c>
      <c r="C263" s="6" t="str">
        <f>IF(AND(项目总控台账!E86&lt;&gt;"",项目总控台账!E86&lt;&gt;"/"),项目总控台账!E86,IF(AND(项目总控台账!D86&lt;&gt;"",项目总控台账!D86&lt;&gt;"/"),项目总控台账!D86,项目总控台账!C86))</f>
        <v>数据对接</v>
      </c>
      <c r="D263" s="6" t="str">
        <f>项目总控台账!F86</f>
        <v>第二批次</v>
      </c>
      <c r="E263" s="6" t="str">
        <f>项目总控台账!G86</f>
        <v>未开始</v>
      </c>
      <c r="F263" s="17">
        <f>项目总控台账!R86</f>
        <v>46307</v>
      </c>
      <c r="G263" s="17">
        <f>项目总控台账!S86</f>
        <v>46339</v>
      </c>
      <c r="H263" s="70">
        <v>5</v>
      </c>
      <c r="I263" s="6" t="str">
        <f>IF(H263="","待估算",IF(E263="已完成","已结束",IF(AND(ISNUMBER(F263),ISNUMBER(G263),F263&lt;=项目驾驶舱!$B$3,G263&gt;=项目驾驶舱!$B$3),"进行中","计划中")))</f>
        <v>计划中</v>
      </c>
      <c r="J263" s="6" t="str">
        <f>IF(I263="待估算",IF(OR(F263="/",G263="/",F263="",G263=""),"补充计划日期","补充投入工时"),IF(AND(G263&lt;项目驾驶舱!$B$3,E263&lt;&gt;"已完成"),"确认延期和后续安排","按计划跟踪"))</f>
        <v>按计划跟踪</v>
      </c>
      <c r="K263" s="8"/>
      <c r="L263" t="s">
        <v>397</v>
      </c>
    </row>
    <row r="264" spans="1:12">
      <c r="B264" s="6" t="str">
        <f>项目总控台账!A87</f>
        <v>T084</v>
      </c>
      <c r="C264" s="6" t="str">
        <f>IF(AND(项目总控台账!E87&lt;&gt;"",项目总控台账!E87&lt;&gt;"/"),项目总控台账!E87,IF(AND(项目总控台账!D87&lt;&gt;"",项目总控台账!D87&lt;&gt;"/"),项目总控台账!D87,项目总控台账!C87))</f>
        <v>数据产生</v>
      </c>
      <c r="D264" s="6" t="str">
        <f>项目总控台账!F87</f>
        <v>第二批次</v>
      </c>
      <c r="E264" s="6" t="str">
        <f>项目总控台账!G87</f>
        <v>未开始</v>
      </c>
      <c r="F264" s="17">
        <f>项目总控台账!R87</f>
        <v>46307</v>
      </c>
      <c r="G264" s="17">
        <f>项目总控台账!S87</f>
        <v>46339</v>
      </c>
      <c r="H264" s="70">
        <v>2.5</v>
      </c>
      <c r="I264" s="6" t="str">
        <f>IF(H264="","待估算",IF(E264="已完成","已结束",IF(AND(ISNUMBER(F264),ISNUMBER(G264),F264&lt;=项目驾驶舱!$B$3,G264&gt;=项目驾驶舱!$B$3),"进行中","计划中")))</f>
        <v>计划中</v>
      </c>
      <c r="J264" s="6" t="str">
        <f>IF(I264="待估算",IF(OR(F264="/",G264="/",F264="",G264=""),"补充计划日期","补充投入工时"),IF(AND(G264&lt;项目驾驶舱!$B$3,E264&lt;&gt;"已完成"),"确认延期和后续安排","按计划跟踪"))</f>
        <v>按计划跟踪</v>
      </c>
      <c r="K264" s="8"/>
      <c r="L264" t="s">
        <v>397</v>
      </c>
    </row>
    <row r="265" spans="1:12">
      <c r="A265" s="71"/>
      <c r="B265" s="6" t="str">
        <f>项目总控台账!A88</f>
        <v>T085</v>
      </c>
      <c r="C265" s="6" t="str">
        <f>IF(AND(项目总控台账!E88&lt;&gt;"",项目总控台账!E88&lt;&gt;"/"),项目总控台账!E88,IF(AND(项目总控台账!D88&lt;&gt;"",项目总控台账!D88&lt;&gt;"/"),项目总控台账!D88,项目总控台账!C88))</f>
        <v>数据对接</v>
      </c>
      <c r="D265" s="6" t="str">
        <f>项目总控台账!F88</f>
        <v>第二批次</v>
      </c>
      <c r="E265" s="6" t="str">
        <f>项目总控台账!G88</f>
        <v>未开始</v>
      </c>
      <c r="F265" s="17">
        <f>项目总控台账!R88</f>
        <v>46307</v>
      </c>
      <c r="G265" s="17">
        <f>项目总控台账!S88</f>
        <v>46339</v>
      </c>
      <c r="H265" s="70">
        <v>2.5</v>
      </c>
      <c r="I265" s="6" t="str">
        <f>IF(H265="","待估算",IF(E265="已完成","已结束",IF(AND(ISNUMBER(F265),ISNUMBER(G265),F265&lt;=项目驾驶舱!$B$3,G265&gt;=项目驾驶舱!$B$3),"进行中","计划中")))</f>
        <v>计划中</v>
      </c>
      <c r="J265" s="6" t="str">
        <f>IF(I265="待估算",IF(OR(F265="/",G265="/",F265="",G265=""),"补充计划日期","补充投入工时"),IF(AND(G265&lt;项目驾驶舱!$B$3,E265&lt;&gt;"已完成"),"确认延期和后续安排","按计划跟踪"))</f>
        <v>按计划跟踪</v>
      </c>
      <c r="K265" s="8"/>
      <c r="L265" t="s">
        <v>397</v>
      </c>
    </row>
    <row r="266" spans="1:12">
      <c r="A266" s="72" t="s">
        <v>397</v>
      </c>
      <c r="B266" s="6" t="str">
        <f>项目总控台账!A89</f>
        <v>T086</v>
      </c>
      <c r="C266" s="6" t="str">
        <f>IF(AND(项目总控台账!E89&lt;&gt;"",项目总控台账!E89&lt;&gt;"/"),项目总控台账!E89,IF(AND(项目总控台账!D89&lt;&gt;"",项目总控台账!D89&lt;&gt;"/"),项目总控台账!D89,项目总控台账!C89))</f>
        <v>数据展示</v>
      </c>
      <c r="D266" s="6" t="str">
        <f>项目总控台账!F89</f>
        <v>第二批次</v>
      </c>
      <c r="E266" s="6" t="str">
        <f>项目总控台账!G89</f>
        <v>未开始</v>
      </c>
      <c r="F266" s="17">
        <f>项目总控台账!R89</f>
        <v>46307</v>
      </c>
      <c r="G266" s="17">
        <f>项目总控台账!S89</f>
        <v>46339</v>
      </c>
      <c r="H266" s="70">
        <v>2.5</v>
      </c>
      <c r="I266" s="6" t="str">
        <f>IF(H266="","待估算",IF(E266="已完成","已结束",IF(AND(ISNUMBER(F266),ISNUMBER(G266),F266&lt;=项目驾驶舱!$B$3,G266&gt;=项目驾驶舱!$B$3),"进行中","计划中")))</f>
        <v>计划中</v>
      </c>
      <c r="J266" s="6" t="str">
        <f>IF(I266="待估算",IF(OR(F266="/",G266="/",F266="",G266=""),"补充计划日期","补充投入工时"),IF(AND(G266&lt;项目驾驶舱!$B$3,E266&lt;&gt;"已完成"),"确认延期和后续安排","按计划跟踪"))</f>
        <v>按计划跟踪</v>
      </c>
      <c r="K266" s="8"/>
      <c r="L266" t="s">
        <v>397</v>
      </c>
    </row>
    <row r="267" spans="1:12">
      <c r="B267" s="6" t="str">
        <f>项目总控台账!A90</f>
        <v>T087</v>
      </c>
      <c r="C267" s="6" t="str">
        <f>IF(AND(项目总控台账!E90&lt;&gt;"",项目总控台账!E90&lt;&gt;"/"),项目总控台账!E90,IF(AND(项目总控台账!D90&lt;&gt;"",项目总控台账!D90&lt;&gt;"/"),项目总控台账!D90,项目总控台账!C90))</f>
        <v>数据对接</v>
      </c>
      <c r="D267" s="6" t="str">
        <f>项目总控台账!F90</f>
        <v>第二批次</v>
      </c>
      <c r="E267" s="6" t="str">
        <f>项目总控台账!G90</f>
        <v>未开始</v>
      </c>
      <c r="F267" s="17">
        <f>项目总控台账!R90</f>
        <v>46307</v>
      </c>
      <c r="G267" s="17">
        <f>项目总控台账!S90</f>
        <v>46339</v>
      </c>
      <c r="H267" s="70">
        <v>2.5</v>
      </c>
      <c r="I267" s="6" t="str">
        <f>IF(H267="","待估算",IF(E267="已完成","已结束",IF(AND(ISNUMBER(F267),ISNUMBER(G267),F267&lt;=项目驾驶舱!$B$3,G267&gt;=项目驾驶舱!$B$3),"进行中","计划中")))</f>
        <v>计划中</v>
      </c>
      <c r="J267" s="6" t="str">
        <f>IF(I267="待估算",IF(OR(F267="/",G267="/",F267="",G267=""),"补充计划日期","补充投入工时"),IF(AND(G267&lt;项目驾驶舱!$B$3,E267&lt;&gt;"已完成"),"确认延期和后续安排","按计划跟踪"))</f>
        <v>按计划跟踪</v>
      </c>
      <c r="K267" s="8"/>
      <c r="L267" t="s">
        <v>397</v>
      </c>
    </row>
    <row r="268" spans="1:12">
      <c r="B268" s="6" t="str">
        <f>项目总控台账!A91</f>
        <v>T088</v>
      </c>
      <c r="C268" s="6" t="str">
        <f>IF(AND(项目总控台账!E91&lt;&gt;"",项目总控台账!E91&lt;&gt;"/"),项目总控台账!E91,IF(AND(项目总控台账!D91&lt;&gt;"",项目总控台账!D91&lt;&gt;"/"),项目总控台账!D91,项目总控台账!C91))</f>
        <v>数据展示</v>
      </c>
      <c r="D268" s="6" t="str">
        <f>项目总控台账!F91</f>
        <v>第二批次</v>
      </c>
      <c r="E268" s="6" t="str">
        <f>项目总控台账!G91</f>
        <v>未开始</v>
      </c>
      <c r="F268" s="17">
        <f>项目总控台账!R91</f>
        <v>46307</v>
      </c>
      <c r="G268" s="17">
        <f>项目总控台账!S91</f>
        <v>46339</v>
      </c>
      <c r="H268" s="70">
        <v>2.5</v>
      </c>
      <c r="I268" s="6" t="str">
        <f>IF(H268="","待估算",IF(E268="已完成","已结束",IF(AND(ISNUMBER(F268),ISNUMBER(G268),F268&lt;=项目驾驶舱!$B$3,G268&gt;=项目驾驶舱!$B$3),"进行中","计划中")))</f>
        <v>计划中</v>
      </c>
      <c r="J268" s="6" t="str">
        <f>IF(I268="待估算",IF(OR(F268="/",G268="/",F268="",G268=""),"补充计划日期","补充投入工时"),IF(AND(G268&lt;项目驾驶舱!$B$3,E268&lt;&gt;"已完成"),"确认延期和后续安排","按计划跟踪"))</f>
        <v>按计划跟踪</v>
      </c>
      <c r="K268" s="8"/>
      <c r="L268" t="s">
        <v>397</v>
      </c>
    </row>
    <row r="269" spans="1:12">
      <c r="B269" s="6" t="str">
        <f>项目总控台账!A92</f>
        <v>T089</v>
      </c>
      <c r="C269" s="6" t="str">
        <f>IF(AND(项目总控台账!E92&lt;&gt;"",项目总控台账!E92&lt;&gt;"/"),项目总控台账!E92,IF(AND(项目总控台账!D92&lt;&gt;"",项目总控台账!D92&lt;&gt;"/"),项目总控台账!D92,项目总控台账!C92))</f>
        <v>新增采样服务费（外贸）</v>
      </c>
      <c r="D269" s="6" t="str">
        <f>项目总控台账!F92</f>
        <v>第二批次</v>
      </c>
      <c r="E269" s="6" t="str">
        <f>项目总控台账!G92</f>
        <v>未开始</v>
      </c>
      <c r="F269" s="17">
        <f>项目总控台账!R92</f>
        <v>46307</v>
      </c>
      <c r="G269" s="17">
        <f>项目总控台账!S92</f>
        <v>46339</v>
      </c>
      <c r="H269" s="70">
        <v>2.5</v>
      </c>
      <c r="I269" s="6" t="str">
        <f>IF(H269="","待估算",IF(E269="已完成","已结束",IF(AND(ISNUMBER(F269),ISNUMBER(G269),F269&lt;=项目驾驶舱!$B$3,G269&gt;=项目驾驶舱!$B$3),"进行中","计划中")))</f>
        <v>计划中</v>
      </c>
      <c r="J269" s="6" t="str">
        <f>IF(I269="待估算",IF(OR(F269="/",G269="/",F269="",G269=""),"补充计划日期","补充投入工时"),IF(AND(G269&lt;项目驾驶舱!$B$3,E269&lt;&gt;"已完成"),"确认延期和后续安排","按计划跟踪"))</f>
        <v>按计划跟踪</v>
      </c>
      <c r="K269" s="8"/>
      <c r="L269" t="s">
        <v>397</v>
      </c>
    </row>
    <row r="270" spans="1:12">
      <c r="B270" s="6" t="str">
        <f>项目总控台账!A93</f>
        <v>T090</v>
      </c>
      <c r="C270" s="6" t="str">
        <f>IF(AND(项目总控台账!E93&lt;&gt;"",项目总控台账!E93&lt;&gt;"/"),项目总控台账!E93,IF(AND(项目总控台账!D93&lt;&gt;"",项目总控台账!D93&lt;&gt;"/"),项目总控台账!D93,项目总控台账!C93))</f>
        <v>审批采样服务费（外贸）</v>
      </c>
      <c r="D270" s="6" t="str">
        <f>项目总控台账!F93</f>
        <v>第二批次</v>
      </c>
      <c r="E270" s="6" t="str">
        <f>项目总控台账!G93</f>
        <v>未开始</v>
      </c>
      <c r="F270" s="17">
        <f>项目总控台账!R93</f>
        <v>46307</v>
      </c>
      <c r="G270" s="17">
        <f>项目总控台账!S93</f>
        <v>46339</v>
      </c>
      <c r="H270" s="70">
        <v>2.5</v>
      </c>
      <c r="I270" s="6" t="str">
        <f>IF(H270="","待估算",IF(E270="已完成","已结束",IF(AND(ISNUMBER(F270),ISNUMBER(G270),F270&lt;=项目驾驶舱!$B$3,G270&gt;=项目驾驶舱!$B$3),"进行中","计划中")))</f>
        <v>计划中</v>
      </c>
      <c r="J270" s="6" t="str">
        <f>IF(I270="待估算",IF(OR(F270="/",G270="/",F270="",G270=""),"补充计划日期","补充投入工时"),IF(AND(G270&lt;项目驾驶舱!$B$3,E270&lt;&gt;"已完成"),"确认延期和后续安排","按计划跟踪"))</f>
        <v>按计划跟踪</v>
      </c>
      <c r="K270" s="8"/>
      <c r="L270" t="s">
        <v>397</v>
      </c>
    </row>
    <row r="271" spans="1:12">
      <c r="B271" s="6" t="str">
        <f>项目总控台账!A94</f>
        <v>T091</v>
      </c>
      <c r="C271" s="6" t="str">
        <f>IF(AND(项目总控台账!E94&lt;&gt;"",项目总控台账!E94&lt;&gt;"/"),项目总控台账!E94,IF(AND(项目总控台账!D94&lt;&gt;"",项目总控台账!D94&lt;&gt;"/"),项目总控台账!D94,项目总控台账!C94))</f>
        <v>单据签章</v>
      </c>
      <c r="D271" s="6" t="str">
        <f>项目总控台账!F94</f>
        <v>第二批次</v>
      </c>
      <c r="E271" s="6" t="str">
        <f>项目总控台账!G94</f>
        <v>未开始</v>
      </c>
      <c r="F271" s="17">
        <f>项目总控台账!R94</f>
        <v>46307</v>
      </c>
      <c r="G271" s="17">
        <f>项目总控台账!S94</f>
        <v>46339</v>
      </c>
      <c r="H271" s="70">
        <v>2.5</v>
      </c>
      <c r="I271" s="6" t="str">
        <f>IF(H271="","待估算",IF(E271="已完成","已结束",IF(AND(ISNUMBER(F271),ISNUMBER(G271),F271&lt;=项目驾驶舱!$B$3,G271&gt;=项目驾驶舱!$B$3),"进行中","计划中")))</f>
        <v>计划中</v>
      </c>
      <c r="J271" s="6" t="str">
        <f>IF(I271="待估算",IF(OR(F271="/",G271="/",F271="",G271=""),"补充计划日期","补充投入工时"),IF(AND(G271&lt;项目驾驶舱!$B$3,E271&lt;&gt;"已完成"),"确认延期和后续安排","按计划跟踪"))</f>
        <v>按计划跟踪</v>
      </c>
      <c r="K271" s="8"/>
      <c r="L271" t="s">
        <v>397</v>
      </c>
    </row>
    <row r="272" spans="1:12">
      <c r="B272" s="6" t="str">
        <f>项目总控台账!A95</f>
        <v>T092</v>
      </c>
      <c r="C272" s="6" t="str">
        <f>IF(AND(项目总控台账!E95&lt;&gt;"",项目总控台账!E95&lt;&gt;"/"),项目总控台账!E95,IF(AND(项目总控台账!D95&lt;&gt;"",项目总控台账!D95&lt;&gt;"/"),项目总控台账!D95,项目总控台账!C95))</f>
        <v>数据推送</v>
      </c>
      <c r="D272" s="6" t="str">
        <f>项目总控台账!F95</f>
        <v>第二批次</v>
      </c>
      <c r="E272" s="6" t="str">
        <f>项目总控台账!G95</f>
        <v>未开始</v>
      </c>
      <c r="F272" s="17">
        <f>项目总控台账!R95</f>
        <v>46307</v>
      </c>
      <c r="G272" s="17">
        <f>项目总控台账!S95</f>
        <v>46339</v>
      </c>
      <c r="H272" s="70">
        <v>2.5</v>
      </c>
      <c r="I272" s="6" t="str">
        <f>IF(H272="","待估算",IF(E272="已完成","已结束",IF(AND(ISNUMBER(F272),ISNUMBER(G272),F272&lt;=项目驾驶舱!$B$3,G272&gt;=项目驾驶舱!$B$3),"进行中","计划中")))</f>
        <v>计划中</v>
      </c>
      <c r="J272" s="6" t="str">
        <f>IF(I272="待估算",IF(OR(F272="/",G272="/",F272="",G272=""),"补充计划日期","补充投入工时"),IF(AND(G272&lt;项目驾驶舱!$B$3,E272&lt;&gt;"已完成"),"确认延期和后续安排","按计划跟踪"))</f>
        <v>按计划跟踪</v>
      </c>
      <c r="K272" s="8"/>
      <c r="L272" t="s">
        <v>397</v>
      </c>
    </row>
    <row r="273" spans="1:12">
      <c r="B273" s="6" t="str">
        <f>项目总控台账!A96</f>
        <v>T093</v>
      </c>
      <c r="C273" s="6" t="str">
        <f>IF(AND(项目总控台账!E96&lt;&gt;"",项目总控台账!E96&lt;&gt;"/"),项目总控台账!E96,IF(AND(项目总控台账!D96&lt;&gt;"",项目总控台账!D96&lt;&gt;"/"),项目总控台账!D96,项目总控台账!C96))</f>
        <v>数据对接</v>
      </c>
      <c r="D273" s="6" t="str">
        <f>项目总控台账!F96</f>
        <v>第二批次</v>
      </c>
      <c r="E273" s="6" t="str">
        <f>项目总控台账!G96</f>
        <v>未开始</v>
      </c>
      <c r="F273" s="17">
        <f>项目总控台账!R96</f>
        <v>46307</v>
      </c>
      <c r="G273" s="17">
        <f>项目总控台账!S96</f>
        <v>46339</v>
      </c>
      <c r="H273" s="70">
        <v>2.5</v>
      </c>
      <c r="I273" s="6" t="str">
        <f>IF(H273="","待估算",IF(E273="已完成","已结束",IF(AND(ISNUMBER(F273),ISNUMBER(G273),F273&lt;=项目驾驶舱!$B$3,G273&gt;=项目驾驶舱!$B$3),"进行中","计划中")))</f>
        <v>计划中</v>
      </c>
      <c r="J273" s="6" t="str">
        <f>IF(I273="待估算",IF(OR(F273="/",G273="/",F273="",G273=""),"补充计划日期","补充投入工时"),IF(AND(G273&lt;项目驾驶舱!$B$3,E273&lt;&gt;"已完成"),"确认延期和后续安排","按计划跟踪"))</f>
        <v>按计划跟踪</v>
      </c>
      <c r="K273" s="8"/>
      <c r="L273" t="s">
        <v>397</v>
      </c>
    </row>
    <row r="274" spans="1:12">
      <c r="B274" s="6" t="str">
        <f>项目总控台账!A97</f>
        <v>T094</v>
      </c>
      <c r="C274" s="6" t="str">
        <f>IF(AND(项目总控台账!E97&lt;&gt;"",项目总控台账!E97&lt;&gt;"/"),项目总控台账!E97,IF(AND(项目总控台账!D97&lt;&gt;"",项目总控台账!D97&lt;&gt;"/"),项目总控台账!D97,项目总控台账!C97))</f>
        <v>数据展示</v>
      </c>
      <c r="D274" s="6" t="str">
        <f>项目总控台账!F97</f>
        <v>第二批次</v>
      </c>
      <c r="E274" s="6" t="str">
        <f>项目总控台账!G97</f>
        <v>未开始</v>
      </c>
      <c r="F274" s="17">
        <f>项目总控台账!R97</f>
        <v>46307</v>
      </c>
      <c r="G274" s="17">
        <f>项目总控台账!S97</f>
        <v>46339</v>
      </c>
      <c r="H274" s="70">
        <v>2.5</v>
      </c>
      <c r="I274" s="6" t="str">
        <f>IF(H274="","待估算",IF(E274="已完成","已结束",IF(AND(ISNUMBER(F274),ISNUMBER(G274),F274&lt;=项目驾驶舱!$B$3,G274&gt;=项目驾驶舱!$B$3),"进行中","计划中")))</f>
        <v>计划中</v>
      </c>
      <c r="J274" s="6" t="str">
        <f>IF(I274="待估算",IF(OR(F274="/",G274="/",F274="",G274=""),"补充计划日期","补充投入工时"),IF(AND(G274&lt;项目驾驶舱!$B$3,E274&lt;&gt;"已完成"),"确认延期和后续安排","按计划跟踪"))</f>
        <v>按计划跟踪</v>
      </c>
      <c r="K274" s="8"/>
      <c r="L274" t="s">
        <v>397</v>
      </c>
    </row>
    <row r="275" spans="1:12">
      <c r="B275" s="6" t="str">
        <f>项目总控台账!A129</f>
        <v>T126</v>
      </c>
      <c r="C275" s="6" t="str">
        <f>IF(AND(项目总控台账!E129&lt;&gt;"",项目总控台账!E129&lt;&gt;"/"),项目总控台账!E129,IF(AND(项目总控台账!D129&lt;&gt;"",项目总控台账!D129&lt;&gt;"/"),项目总控台账!D129,项目总控台账!C129))</f>
        <v>停泊费（外贸）查询</v>
      </c>
      <c r="D275" s="6" t="str">
        <f>项目总控台账!F129</f>
        <v>第二批次</v>
      </c>
      <c r="E275" s="6" t="str">
        <f>项目总控台账!G129</f>
        <v>未开始</v>
      </c>
      <c r="F275" s="17">
        <f>项目总控台账!R129</f>
        <v>46307</v>
      </c>
      <c r="G275" s="17">
        <f>项目总控台账!S129</f>
        <v>46339</v>
      </c>
      <c r="H275" s="70">
        <v>2.5</v>
      </c>
      <c r="I275" s="6" t="str">
        <f>IF(H275="","待估算",IF(E275="已完成","已结束",IF(AND(ISNUMBER(F275),ISNUMBER(G275),F275&lt;=项目驾驶舱!$B$3,G275&gt;=项目驾驶舱!$B$3),"进行中","计划中")))</f>
        <v>计划中</v>
      </c>
      <c r="J275" s="6" t="str">
        <f>IF(I275="待估算",IF(OR(F275="/",G275="/",F275="",G275=""),"补充计划日期","补充投入工时"),IF(AND(G275&lt;项目驾驶舱!$B$3,E275&lt;&gt;"已完成"),"确认延期和后续安排","按计划跟踪"))</f>
        <v>按计划跟踪</v>
      </c>
      <c r="K275" s="8"/>
      <c r="L275" t="s">
        <v>397</v>
      </c>
    </row>
    <row r="276" spans="1:12">
      <c r="B276" s="6" t="str">
        <f>项目总控台账!A130</f>
        <v>T127</v>
      </c>
      <c r="C276" s="6" t="str">
        <f>IF(AND(项目总控台账!E130&lt;&gt;"",项目总控台账!E130&lt;&gt;"/"),项目总控台账!E130,IF(AND(项目总控台账!D130&lt;&gt;"",项目总控台账!D130&lt;&gt;"/"),项目总控台账!D130,项目总控台账!C130))</f>
        <v>锚泊费（外贸）查询</v>
      </c>
      <c r="D276" s="6" t="str">
        <f>项目总控台账!F130</f>
        <v>第二批次</v>
      </c>
      <c r="E276" s="6" t="str">
        <f>项目总控台账!G130</f>
        <v>未开始</v>
      </c>
      <c r="F276" s="17">
        <f>项目总控台账!R130</f>
        <v>46307</v>
      </c>
      <c r="G276" s="17">
        <f>项目总控台账!S130</f>
        <v>46339</v>
      </c>
      <c r="H276" s="70">
        <v>2.5</v>
      </c>
      <c r="I276" s="6" t="str">
        <f>IF(H276="","待估算",IF(E276="已完成","已结束",IF(AND(ISNUMBER(F276),ISNUMBER(G276),F276&lt;=项目驾驶舱!$B$3,G276&gt;=项目驾驶舱!$B$3),"进行中","计划中")))</f>
        <v>计划中</v>
      </c>
      <c r="J276" s="6" t="str">
        <f>IF(I276="待估算",IF(OR(F276="/",G276="/",F276="",G276=""),"补充计划日期","补充投入工时"),IF(AND(G276&lt;项目驾驶舱!$B$3,E276&lt;&gt;"已完成"),"确认延期和后续安排","按计划跟踪"))</f>
        <v>按计划跟踪</v>
      </c>
      <c r="K276" s="8"/>
      <c r="L276" t="s">
        <v>397</v>
      </c>
    </row>
    <row r="277" spans="1:12">
      <c r="A277" s="71"/>
      <c r="B277" s="6" t="str">
        <f>项目总控台账!A131</f>
        <v>T128</v>
      </c>
      <c r="C277" s="6" t="str">
        <f>IF(AND(项目总控台账!E131&lt;&gt;"",项目总控台账!E131&lt;&gt;"/"),项目总控台账!E131,IF(AND(项目总控台账!D131&lt;&gt;"",项目总控台账!D131&lt;&gt;"/"),项目总控台账!D131,项目总控台账!C131))</f>
        <v>堆存费（外贸）查询</v>
      </c>
      <c r="D277" s="6" t="str">
        <f>项目总控台账!F131</f>
        <v>第二批次</v>
      </c>
      <c r="E277" s="6" t="str">
        <f>项目总控台账!G131</f>
        <v>未开始</v>
      </c>
      <c r="F277" s="17">
        <f>项目总控台账!R131</f>
        <v>46307</v>
      </c>
      <c r="G277" s="17">
        <f>项目总控台账!S131</f>
        <v>46339</v>
      </c>
      <c r="H277" s="70">
        <v>2.5</v>
      </c>
      <c r="I277" s="6" t="str">
        <f>IF(H277="","待估算",IF(E277="已完成","已结束",IF(AND(ISNUMBER(F277),ISNUMBER(G277),F277&lt;=项目驾驶舱!$B$3,G277&gt;=项目驾驶舱!$B$3),"进行中","计划中")))</f>
        <v>计划中</v>
      </c>
      <c r="J277" s="6" t="str">
        <f>IF(I277="待估算",IF(OR(F277="/",G277="/",F277="",G277=""),"补充计划日期","补充投入工时"),IF(AND(G277&lt;项目驾驶舱!$B$3,E277&lt;&gt;"已完成"),"确认延期和后续安排","按计划跟踪"))</f>
        <v>按计划跟踪</v>
      </c>
      <c r="K277" s="8"/>
      <c r="L277" t="s">
        <v>397</v>
      </c>
    </row>
    <row r="278" spans="1:12">
      <c r="A278" s="72" t="s">
        <v>397</v>
      </c>
      <c r="B278" s="6" t="str">
        <f>项目总控台账!A132</f>
        <v>T129</v>
      </c>
      <c r="C278" s="6" t="str">
        <f>IF(AND(项目总控台账!E132&lt;&gt;"",项目总控台账!E132&lt;&gt;"/"),项目总控台账!E132,IF(AND(项目总控台账!D132&lt;&gt;"",项目总控台账!D132&lt;&gt;"/"),项目总控台账!D132,项目总控台账!C132))</f>
        <v>卸船费（外贸）查询</v>
      </c>
      <c r="D278" s="6" t="str">
        <f>项目总控台账!F132</f>
        <v>第二批次</v>
      </c>
      <c r="E278" s="6" t="str">
        <f>项目总控台账!G132</f>
        <v>未开始</v>
      </c>
      <c r="F278" s="17">
        <f>项目总控台账!R132</f>
        <v>46307</v>
      </c>
      <c r="G278" s="17">
        <f>项目总控台账!S132</f>
        <v>46339</v>
      </c>
      <c r="H278" s="70">
        <v>2.5</v>
      </c>
      <c r="I278" s="6" t="str">
        <f>IF(H278="","待估算",IF(E278="已完成","已结束",IF(AND(ISNUMBER(F278),ISNUMBER(G278),F278&lt;=项目驾驶舱!$B$3,G278&gt;=项目驾驶舱!$B$3),"进行中","计划中")))</f>
        <v>计划中</v>
      </c>
      <c r="J278" s="6" t="str">
        <f>IF(I278="待估算",IF(OR(F278="/",G278="/",F278="",G278=""),"补充计划日期","补充投入工时"),IF(AND(G278&lt;项目驾驶舱!$B$3,E278&lt;&gt;"已完成"),"确认延期和后续安排","按计划跟踪"))</f>
        <v>按计划跟踪</v>
      </c>
      <c r="K278" s="8"/>
      <c r="L278" t="s">
        <v>397</v>
      </c>
    </row>
    <row r="279" spans="1:12">
      <c r="B279" s="6" t="str">
        <f>项目总控台账!A133</f>
        <v>T130</v>
      </c>
      <c r="C279" s="6" t="str">
        <f>IF(AND(项目总控台账!E133&lt;&gt;"",项目总控台账!E133&lt;&gt;"/"),项目总控台账!E133,IF(AND(项目总控台账!D133&lt;&gt;"",项目总控台账!D133&lt;&gt;"/"),项目总控台账!D133,项目总控台账!C133))</f>
        <v>采样服务费（外贸）查询</v>
      </c>
      <c r="D279" s="6" t="str">
        <f>项目总控台账!F133</f>
        <v>第二批次</v>
      </c>
      <c r="E279" s="6" t="str">
        <f>项目总控台账!G133</f>
        <v>未开始</v>
      </c>
      <c r="F279" s="17">
        <f>项目总控台账!R133</f>
        <v>46307</v>
      </c>
      <c r="G279" s="17">
        <f>项目总控台账!S133</f>
        <v>46339</v>
      </c>
      <c r="H279" s="70">
        <v>2.5</v>
      </c>
      <c r="I279" s="6" t="str">
        <f>IF(H279="","待估算",IF(E279="已完成","已结束",IF(AND(ISNUMBER(F279),ISNUMBER(G279),F279&lt;=项目驾驶舱!$B$3,G279&gt;=项目驾驶舱!$B$3),"进行中","计划中")))</f>
        <v>计划中</v>
      </c>
      <c r="J279" s="6" t="str">
        <f>IF(I279="待估算",IF(OR(F279="/",G279="/",F279="",G279=""),"补充计划日期","补充投入工时"),IF(AND(G279&lt;项目驾驶舱!$B$3,E279&lt;&gt;"已完成"),"确认延期和后续安排","按计划跟踪"))</f>
        <v>按计划跟踪</v>
      </c>
      <c r="K279" s="8"/>
      <c r="L279" t="s">
        <v>397</v>
      </c>
    </row>
    <row r="280" spans="1:12">
      <c r="B280" s="6" t="str">
        <f>项目总控台账!A134</f>
        <v>T131</v>
      </c>
      <c r="C280" s="6" t="str">
        <f>IF(AND(项目总控台账!E134&lt;&gt;"",项目总控台账!E134&lt;&gt;"/"),项目总控台账!E134,IF(AND(项目总控台账!D134&lt;&gt;"",项目总控台账!D134&lt;&gt;"/"),项目总控台账!D134,项目总控台账!C134))</f>
        <v>船舶供应服务费（外贸）查询</v>
      </c>
      <c r="D280" s="6" t="str">
        <f>项目总控台账!F134</f>
        <v>第二批次</v>
      </c>
      <c r="E280" s="6" t="str">
        <f>项目总控台账!G134</f>
        <v>未开始</v>
      </c>
      <c r="F280" s="17">
        <f>项目总控台账!R134</f>
        <v>46307</v>
      </c>
      <c r="G280" s="17">
        <f>项目总控台账!S134</f>
        <v>46339</v>
      </c>
      <c r="H280" s="70">
        <v>2.5</v>
      </c>
      <c r="I280" s="6" t="str">
        <f>IF(H280="","待估算",IF(E280="已完成","已结束",IF(AND(ISNUMBER(F280),ISNUMBER(G280),F280&lt;=项目驾驶舱!$B$3,G280&gt;=项目驾驶舱!$B$3),"进行中","计划中")))</f>
        <v>计划中</v>
      </c>
      <c r="J280" s="6" t="str">
        <f>IF(I280="待估算",IF(OR(F280="/",G280="/",F280="",G280=""),"补充计划日期","补充投入工时"),IF(AND(G280&lt;项目驾驶舱!$B$3,E280&lt;&gt;"已完成"),"确认延期和后续安排","按计划跟踪"))</f>
        <v>按计划跟踪</v>
      </c>
      <c r="K280" s="8"/>
      <c r="L280" t="s">
        <v>397</v>
      </c>
    </row>
    <row r="281" spans="1:12">
      <c r="B281" s="6" t="str">
        <f>项目总控台账!A135</f>
        <v>T132</v>
      </c>
      <c r="C281" s="6" t="str">
        <f>IF(AND(项目总控台账!E135&lt;&gt;"",项目总控台账!E135&lt;&gt;"/"),项目总控台账!E135,IF(AND(项目总控台账!D135&lt;&gt;"",项目总控台账!D135&lt;&gt;"/"),项目总控台账!D135,项目总控台账!C135))</f>
        <v>新增船舶靠泊通知单</v>
      </c>
      <c r="D281" s="6" t="str">
        <f>项目总控台账!F135</f>
        <v>第二批次</v>
      </c>
      <c r="E281" s="6" t="str">
        <f>项目总控台账!G135</f>
        <v>未开始</v>
      </c>
      <c r="F281" s="17">
        <f>项目总控台账!R135</f>
        <v>46307</v>
      </c>
      <c r="G281" s="17">
        <f>项目总控台账!S135</f>
        <v>46339</v>
      </c>
      <c r="H281" s="70">
        <v>2.5</v>
      </c>
      <c r="I281" s="6" t="str">
        <f>IF(H281="","待估算",IF(E281="已完成","已结束",IF(AND(ISNUMBER(F281),ISNUMBER(G281),F281&lt;=项目驾驶舱!$B$3,G281&gt;=项目驾驶舱!$B$3),"进行中","计划中")))</f>
        <v>计划中</v>
      </c>
      <c r="J281" s="6" t="str">
        <f>IF(I281="待估算",IF(OR(F281="/",G281="/",F281="",G281=""),"补充计划日期","补充投入工时"),IF(AND(G281&lt;项目驾驶舱!$B$3,E281&lt;&gt;"已完成"),"确认延期和后续安排","按计划跟踪"))</f>
        <v>按计划跟踪</v>
      </c>
      <c r="K281" s="8"/>
      <c r="L281" t="s">
        <v>397</v>
      </c>
    </row>
    <row r="282" spans="1:12">
      <c r="B282" s="6" t="str">
        <f>项目总控台账!A136</f>
        <v>T133</v>
      </c>
      <c r="C282" s="6" t="str">
        <f>IF(AND(项目总控台账!E136&lt;&gt;"",项目总控台账!E136&lt;&gt;"/"),项目总控台账!E136,IF(AND(项目总控台账!D136&lt;&gt;"",项目总控台账!D136&lt;&gt;"/"),项目总控台账!D136,项目总控台账!C136))</f>
        <v>查询船舶靠泊通知单</v>
      </c>
      <c r="D282" s="6" t="str">
        <f>项目总控台账!F136</f>
        <v>第二批次</v>
      </c>
      <c r="E282" s="6" t="str">
        <f>项目总控台账!G136</f>
        <v>未开始</v>
      </c>
      <c r="F282" s="17">
        <f>项目总控台账!R136</f>
        <v>46307</v>
      </c>
      <c r="G282" s="17">
        <f>项目总控台账!S136</f>
        <v>46339</v>
      </c>
      <c r="H282" s="70">
        <v>2.5</v>
      </c>
      <c r="I282" s="6" t="str">
        <f>IF(H282="","待估算",IF(E282="已完成","已结束",IF(AND(ISNUMBER(F282),ISNUMBER(G282),F282&lt;=项目驾驶舱!$B$3,G282&gt;=项目驾驶舱!$B$3),"进行中","计划中")))</f>
        <v>计划中</v>
      </c>
      <c r="J282" s="6" t="str">
        <f>IF(I282="待估算",IF(OR(F282="/",G282="/",F282="",G282=""),"补充计划日期","补充投入工时"),IF(AND(G282&lt;项目驾驶舱!$B$3,E282&lt;&gt;"已完成"),"确认延期和后续安排","按计划跟踪"))</f>
        <v>按计划跟踪</v>
      </c>
      <c r="K282" s="8"/>
      <c r="L282" t="s">
        <v>397</v>
      </c>
    </row>
    <row r="283" spans="1:12">
      <c r="B283" s="6" t="str">
        <f>项目总控台账!A139</f>
        <v>T136</v>
      </c>
      <c r="C283" s="6" t="str">
        <f>IF(AND(项目总控台账!E139&lt;&gt;"",项目总控台账!E139&lt;&gt;"/"),项目总控台账!E139,IF(AND(项目总控台账!D139&lt;&gt;"",项目总控台账!D139&lt;&gt;"/"),项目总控台账!D139,项目总控台账!C139))</f>
        <v>卸船作业委托</v>
      </c>
      <c r="D283" s="6" t="str">
        <f>项目总控台账!F139</f>
        <v>第二批次</v>
      </c>
      <c r="E283" s="6" t="str">
        <f>项目总控台账!G139</f>
        <v>未开始</v>
      </c>
      <c r="F283" s="17">
        <f>项目总控台账!R139</f>
        <v>46307</v>
      </c>
      <c r="G283" s="17">
        <f>项目总控台账!S139</f>
        <v>46339</v>
      </c>
      <c r="H283" s="70">
        <v>2.5</v>
      </c>
      <c r="I283" s="6" t="str">
        <f>IF(H283="","待估算",IF(E283="已完成","已结束",IF(AND(ISNUMBER(F283),ISNUMBER(G283),F283&lt;=项目驾驶舱!$B$3,G283&gt;=项目驾驶舱!$B$3),"进行中","计划中")))</f>
        <v>计划中</v>
      </c>
      <c r="J283" s="6" t="str">
        <f>IF(I283="待估算",IF(OR(F283="/",G283="/",F283="",G283=""),"补充计划日期","补充投入工时"),IF(AND(G283&lt;项目驾驶舱!$B$3,E283&lt;&gt;"已完成"),"确认延期和后续安排","按计划跟踪"))</f>
        <v>按计划跟踪</v>
      </c>
      <c r="K283" s="8"/>
      <c r="L283" t="s">
        <v>397</v>
      </c>
    </row>
    <row r="284" spans="1:12">
      <c r="B284" s="6" t="str">
        <f>项目总控台账!A140</f>
        <v>T137</v>
      </c>
      <c r="C284" s="6" t="str">
        <f>IF(AND(项目总控台账!E140&lt;&gt;"",项目总控台账!E140&lt;&gt;"/"),项目总控台账!E140,IF(AND(项目总控台账!D140&lt;&gt;"",项目总控台账!D140&lt;&gt;"/"),项目总控台账!D140,项目总控台账!C140))</f>
        <v>外轮转内贸业务查询</v>
      </c>
      <c r="D284" s="6" t="str">
        <f>项目总控台账!F140</f>
        <v>第二批次</v>
      </c>
      <c r="E284" s="6" t="str">
        <f>项目总控台账!G140</f>
        <v>未开始</v>
      </c>
      <c r="F284" s="17">
        <f>项目总控台账!R140</f>
        <v>46307</v>
      </c>
      <c r="G284" s="17">
        <f>项目总控台账!S140</f>
        <v>46339</v>
      </c>
      <c r="H284" s="70">
        <v>2.5</v>
      </c>
      <c r="I284" s="6" t="str">
        <f>IF(H284="","待估算",IF(E284="已完成","已结束",IF(AND(ISNUMBER(F284),ISNUMBER(G284),F284&lt;=项目驾驶舱!$B$3,G284&gt;=项目驾驶舱!$B$3),"进行中","计划中")))</f>
        <v>计划中</v>
      </c>
      <c r="J284" s="6" t="str">
        <f>IF(I284="待估算",IF(OR(F284="/",G284="/",F284="",G284=""),"补充计划日期","补充投入工时"),IF(AND(G284&lt;项目驾驶舱!$B$3,E284&lt;&gt;"已完成"),"确认延期和后续安排","按计划跟踪"))</f>
        <v>按计划跟踪</v>
      </c>
      <c r="K284" s="8"/>
      <c r="L284" t="s">
        <v>397</v>
      </c>
    </row>
    <row r="285" ht="17.55" spans="1:12">
      <c r="A285" s="71"/>
      <c r="B285" s="6" t="str">
        <f>项目总控台账!A145</f>
        <v>T142</v>
      </c>
      <c r="C285" s="6" t="str">
        <f>IF(AND(项目总控台账!E145&lt;&gt;"",项目总控台账!E145&lt;&gt;"/"),项目总控台账!E145,IF(AND(项目总控台账!D145&lt;&gt;"",项目总控台账!D145&lt;&gt;"/"),项目总控台账!D145,项目总控台账!C145))</f>
        <v>审批船舶靠泊通知单</v>
      </c>
      <c r="D285" s="6" t="str">
        <f>项目总控台账!F145</f>
        <v>第二批次</v>
      </c>
      <c r="E285" s="6" t="str">
        <f>项目总控台账!G145</f>
        <v>未开始</v>
      </c>
      <c r="F285" s="17">
        <f>项目总控台账!R145</f>
        <v>46307</v>
      </c>
      <c r="G285" s="17">
        <f>项目总控台账!S145</f>
        <v>46339</v>
      </c>
      <c r="H285" s="70">
        <v>2.5</v>
      </c>
      <c r="I285" s="6" t="str">
        <f>IF(H285="","待估算",IF(E285="已完成","已结束",IF(AND(ISNUMBER(F285),ISNUMBER(G285),F285&lt;=项目驾驶舱!$B$3,G285&gt;=项目驾驶舱!$B$3),"进行中","计划中")))</f>
        <v>计划中</v>
      </c>
      <c r="J285" s="6" t="str">
        <f>IF(I285="待估算",IF(OR(F285="/",G285="/",F285="",G285=""),"补充计划日期","补充投入工时"),IF(AND(G285&lt;项目驾驶舱!$B$3,E285&lt;&gt;"已完成"),"确认延期和后续安排","按计划跟踪"))</f>
        <v>按计划跟踪</v>
      </c>
      <c r="K285" s="8"/>
      <c r="L285" t="s">
        <v>397</v>
      </c>
    </row>
    <row r="286" spans="1:12">
      <c r="A286" s="65" t="s">
        <v>228</v>
      </c>
      <c r="B286" s="66" t="str">
        <f>项目总控台账!A72</f>
        <v>T069</v>
      </c>
      <c r="C286" s="66" t="str">
        <f>IF(AND(项目总控台账!E72&lt;&gt;"",项目总控台账!E72&lt;&gt;"/"),项目总控台账!E72,IF(AND(项目总控台账!D72&lt;&gt;"",项目总控台账!D72&lt;&gt;"/"),项目总控台账!D72,项目总控台账!C72))</f>
        <v>新增、详情、修改页内容调整</v>
      </c>
      <c r="D286" s="66" t="str">
        <f>项目总控台账!F72</f>
        <v>第一批次</v>
      </c>
      <c r="E286" s="66" t="str">
        <f>项目总控台账!G72</f>
        <v>已完成</v>
      </c>
      <c r="F286" s="67">
        <f>项目总控台账!R72</f>
        <v>46195</v>
      </c>
      <c r="G286" s="67">
        <f>项目总控台账!S72</f>
        <v>46206</v>
      </c>
      <c r="H286" s="68">
        <v>80</v>
      </c>
      <c r="I286" s="66" t="str">
        <f>IF(H286="","待估算",IF(E286="已完成","已结束",IF(AND(ISNUMBER(F286),ISNUMBER(G286),F286&lt;=项目驾驶舱!$B$3,G286&gt;=项目驾驶舱!$B$3),"进行中","计划中")))</f>
        <v>已结束</v>
      </c>
      <c r="J286" s="66" t="str">
        <f>IF(I286="待估算",IF(OR(F286="/",G286="/",F286="",G286=""),"补充计划日期","补充投入工时"),IF(AND(G286&lt;项目驾驶舱!$B$3,E286&lt;&gt;"已完成"),"确认延期和后续安排","按计划跟踪"))</f>
        <v>按计划跟踪</v>
      </c>
      <c r="K286" s="69"/>
      <c r="L286" t="s">
        <v>228</v>
      </c>
    </row>
    <row r="287" spans="1:12">
      <c r="B287" s="6" t="str">
        <f>项目总控台账!A53</f>
        <v>T050</v>
      </c>
      <c r="C287" s="6" t="str">
        <f>IF(AND(项目总控台账!E53&lt;&gt;"",项目总控台账!E53&lt;&gt;"/"),项目总控台账!E53,IF(AND(项目总控台账!D53&lt;&gt;"",项目总控台账!D53&lt;&gt;"/"),项目总控台账!D53,项目总控台账!C53))</f>
        <v>维护需跟踪船舶清单</v>
      </c>
      <c r="D287" s="6" t="str">
        <f>项目总控台账!F53</f>
        <v>第一批次</v>
      </c>
      <c r="E287" s="6" t="str">
        <f>项目总控台账!G53</f>
        <v>进行中</v>
      </c>
      <c r="F287" s="17">
        <f>项目总控台账!R53</f>
        <v>46209</v>
      </c>
      <c r="G287" s="17">
        <f>项目总控台账!S53</f>
        <v>46227</v>
      </c>
      <c r="H287" s="70">
        <v>30</v>
      </c>
      <c r="I287" s="6" t="str">
        <f>IF(H287="","待估算",IF(E287="已完成","已结束",IF(AND(ISNUMBER(F287),ISNUMBER(G287),F287&lt;=项目驾驶舱!$B$3,G287&gt;=项目驾驶舱!$B$3),"进行中","计划中")))</f>
        <v>计划中</v>
      </c>
      <c r="J287" s="6" t="str">
        <f>IF(I287="待估算",IF(OR(F287="/",G287="/",F287="",G287=""),"补充计划日期","补充投入工时"),IF(AND(G287&lt;项目驾驶舱!$B$3,E287&lt;&gt;"已完成"),"确认延期和后续安排","按计划跟踪"))</f>
        <v>确认延期和后续安排</v>
      </c>
      <c r="K287" s="8"/>
      <c r="L287" t="s">
        <v>228</v>
      </c>
    </row>
    <row r="288" spans="1:12">
      <c r="B288" s="6" t="str">
        <f>项目总控台账!A54</f>
        <v>T051</v>
      </c>
      <c r="C288" s="6" t="str">
        <f>IF(AND(项目总控台账!E54&lt;&gt;"",项目总控台账!E54&lt;&gt;"/"),项目总控台账!E54,IF(AND(项目总控台账!D54&lt;&gt;"",项目总控台账!D54&lt;&gt;"/"),项目总控台账!D54,项目总控台账!C54))</f>
        <v>根据船舶清单更新第三方系统推送数据船舶清单</v>
      </c>
      <c r="D288" s="6" t="str">
        <f>项目总控台账!F54</f>
        <v>第一批次</v>
      </c>
      <c r="E288" s="6" t="str">
        <f>项目总控台账!G54</f>
        <v>进行中</v>
      </c>
      <c r="F288" s="17">
        <f>项目总控台账!R54</f>
        <v>46209</v>
      </c>
      <c r="G288" s="17">
        <f>项目总控台账!S54</f>
        <v>46227</v>
      </c>
      <c r="H288" s="70">
        <v>30</v>
      </c>
      <c r="I288" s="6" t="str">
        <f>IF(H288="","待估算",IF(E288="已完成","已结束",IF(AND(ISNUMBER(F288),ISNUMBER(G288),F288&lt;=项目驾驶舱!$B$3,G288&gt;=项目驾驶舱!$B$3),"进行中","计划中")))</f>
        <v>计划中</v>
      </c>
      <c r="J288" s="6" t="str">
        <f>IF(I288="待估算",IF(OR(F288="/",G288="/",F288="",G288=""),"补充计划日期","补充投入工时"),IF(AND(G288&lt;项目驾驶舱!$B$3,E288&lt;&gt;"已完成"),"确认延期和后续安排","按计划跟踪"))</f>
        <v>确认延期和后续安排</v>
      </c>
      <c r="K288" s="8"/>
      <c r="L288" t="s">
        <v>228</v>
      </c>
    </row>
    <row r="289" spans="1:12">
      <c r="B289" s="6" t="str">
        <f>项目总控台账!A55</f>
        <v>T052</v>
      </c>
      <c r="C289" s="6" t="str">
        <f>IF(AND(项目总控台账!E55&lt;&gt;"",项目总控台账!E55&lt;&gt;"/"),项目总控台账!E55,IF(AND(项目总控台账!D55&lt;&gt;"",项目总控台账!D55&lt;&gt;"/"),项目总控台账!D55,项目总控台账!C55))</f>
        <v>船舶轨迹跟踪</v>
      </c>
      <c r="D289" s="6" t="str">
        <f>项目总控台账!F55</f>
        <v>第一批次</v>
      </c>
      <c r="E289" s="6" t="str">
        <f>项目总控台账!G55</f>
        <v>进行中</v>
      </c>
      <c r="F289" s="17">
        <f>项目总控台账!R55</f>
        <v>46209</v>
      </c>
      <c r="G289" s="17">
        <f>项目总控台账!S55</f>
        <v>46227</v>
      </c>
      <c r="H289" s="70">
        <v>30</v>
      </c>
      <c r="I289" s="6" t="str">
        <f>IF(H289="","待估算",IF(E289="已完成","已结束",IF(AND(ISNUMBER(F289),ISNUMBER(G289),F289&lt;=项目驾驶舱!$B$3,G289&gt;=项目驾驶舱!$B$3),"进行中","计划中")))</f>
        <v>计划中</v>
      </c>
      <c r="J289" s="6" t="str">
        <f>IF(I289="待估算",IF(OR(F289="/",G289="/",F289="",G289=""),"补充计划日期","补充投入工时"),IF(AND(G289&lt;项目驾驶舱!$B$3,E289&lt;&gt;"已完成"),"确认延期和后续安排","按计划跟踪"))</f>
        <v>确认延期和后续安排</v>
      </c>
      <c r="K289" s="8"/>
      <c r="L289" t="s">
        <v>228</v>
      </c>
    </row>
    <row r="290" spans="1:12">
      <c r="B290" s="6" t="str">
        <f>项目总控台账!A98</f>
        <v>T095</v>
      </c>
      <c r="C290" s="6" t="str">
        <f>IF(AND(项目总控台账!E98&lt;&gt;"",项目总控台账!E98&lt;&gt;"/"),项目总控台账!E98,IF(AND(项目总控台账!D98&lt;&gt;"",项目总控台账!D98&lt;&gt;"/"),项目总控台账!D98,项目总控台账!C98))</f>
        <v>自动生成堆存费</v>
      </c>
      <c r="D290" s="6" t="str">
        <f>项目总控台账!F98</f>
        <v>第一批次</v>
      </c>
      <c r="E290" s="6" t="str">
        <f>项目总控台账!G98</f>
        <v>进行中</v>
      </c>
      <c r="F290" s="17">
        <f>项目总控台账!R98</f>
        <v>46209</v>
      </c>
      <c r="G290" s="17">
        <f>项目总控台账!S98</f>
        <v>46225</v>
      </c>
      <c r="H290" s="70">
        <v>30</v>
      </c>
      <c r="I290" s="6" t="str">
        <f>IF(H290="","待估算",IF(E290="已完成","已结束",IF(AND(ISNUMBER(F290),ISNUMBER(G290),F290&lt;=项目驾驶舱!$B$3,G290&gt;=项目驾驶舱!$B$3),"进行中","计划中")))</f>
        <v>计划中</v>
      </c>
      <c r="J290" s="6" t="str">
        <f>IF(I290="待估算",IF(OR(F290="/",G290="/",F290="",G290=""),"补充计划日期","补充投入工时"),IF(AND(G290&lt;项目驾驶舱!$B$3,E290&lt;&gt;"已完成"),"确认延期和后续安排","按计划跟踪"))</f>
        <v>确认延期和后续安排</v>
      </c>
      <c r="K290" s="8"/>
      <c r="L290" t="s">
        <v>228</v>
      </c>
    </row>
    <row r="291" spans="1:12">
      <c r="B291" s="6" t="str">
        <f>项目总控台账!A103</f>
        <v>T100</v>
      </c>
      <c r="C291" s="6" t="str">
        <f>IF(AND(项目总控台账!E103&lt;&gt;"",项目总控台账!E103&lt;&gt;"/"),项目总控台账!E103,IF(AND(项目总控台账!D103&lt;&gt;"",项目总控台账!D103&lt;&gt;"/"),项目总控台账!D103,项目总控台账!C103))</f>
        <v>创建行业资讯数据</v>
      </c>
      <c r="D291" s="6" t="str">
        <f>项目总控台账!F103</f>
        <v>第一批次</v>
      </c>
      <c r="E291" s="6" t="str">
        <f>项目总控台账!G103</f>
        <v>已完成</v>
      </c>
      <c r="F291" s="17">
        <f>项目总控台账!R103</f>
        <v>46230</v>
      </c>
      <c r="G291" s="17">
        <f>项目总控台账!S103</f>
        <v>46262</v>
      </c>
      <c r="H291" s="70">
        <v>50</v>
      </c>
      <c r="I291" s="6" t="str">
        <f>IF(H291="","待估算",IF(E291="已完成","已结束",IF(AND(ISNUMBER(F291),ISNUMBER(G291),F291&lt;=项目驾驶舱!$B$3,G291&gt;=项目驾驶舱!$B$3),"进行中","计划中")))</f>
        <v>已结束</v>
      </c>
      <c r="J291" s="6" t="str">
        <f>IF(I291="待估算",IF(OR(F291="/",G291="/",F291="",G291=""),"补充计划日期","补充投入工时"),IF(AND(G291&lt;项目驾驶舱!$B$3,E291&lt;&gt;"已完成"),"确认延期和后续安排","按计划跟踪"))</f>
        <v>按计划跟踪</v>
      </c>
      <c r="K291" s="8"/>
      <c r="L291" t="s">
        <v>228</v>
      </c>
    </row>
    <row r="292" spans="1:12">
      <c r="B292" s="6" t="str">
        <f>项目总控台账!A104</f>
        <v>T101</v>
      </c>
      <c r="C292" s="6" t="str">
        <f>IF(AND(项目总控台账!E104&lt;&gt;"",项目总控台账!E104&lt;&gt;"/"),项目总控台账!E104,IF(AND(项目总控台账!D104&lt;&gt;"",项目总控台账!D104&lt;&gt;"/"),项目总控台账!D104,项目总控台账!C104))</f>
        <v>修改行业资讯数据</v>
      </c>
      <c r="D292" s="6" t="str">
        <f>项目总控台账!F104</f>
        <v>第一批次</v>
      </c>
      <c r="E292" s="6" t="str">
        <f>项目总控台账!G104</f>
        <v>已完成</v>
      </c>
      <c r="F292" s="17">
        <f>项目总控台账!R104</f>
        <v>46230</v>
      </c>
      <c r="G292" s="17">
        <f>项目总控台账!S104</f>
        <v>46262</v>
      </c>
      <c r="H292" s="70">
        <v>50</v>
      </c>
      <c r="I292" s="6" t="str">
        <f>IF(H292="","待估算",IF(E292="已完成","已结束",IF(AND(ISNUMBER(F292),ISNUMBER(G292),F292&lt;=项目驾驶舱!$B$3,G292&gt;=项目驾驶舱!$B$3),"进行中","计划中")))</f>
        <v>已结束</v>
      </c>
      <c r="J292" s="6" t="str">
        <f>IF(I292="待估算",IF(OR(F292="/",G292="/",F292="",G292=""),"补充计划日期","补充投入工时"),IF(AND(G292&lt;项目驾驶舱!$B$3,E292&lt;&gt;"已完成"),"确认延期和后续安排","按计划跟踪"))</f>
        <v>按计划跟踪</v>
      </c>
      <c r="K292" s="8"/>
      <c r="L292" t="s">
        <v>228</v>
      </c>
    </row>
    <row r="293" spans="1:12">
      <c r="B293" s="6" t="str">
        <f>项目总控台账!A105</f>
        <v>T102</v>
      </c>
      <c r="C293" s="6" t="str">
        <f>IF(AND(项目总控台账!E105&lt;&gt;"",项目总控台账!E105&lt;&gt;"/"),项目总控台账!E105,IF(AND(项目总控台账!D105&lt;&gt;"",项目总控台账!D105&lt;&gt;"/"),项目总控台账!D105,项目总控台账!C105))</f>
        <v>删除行业资讯数据</v>
      </c>
      <c r="D293" s="6" t="str">
        <f>项目总控台账!F105</f>
        <v>第一批次</v>
      </c>
      <c r="E293" s="6" t="str">
        <f>项目总控台账!G105</f>
        <v>已完成</v>
      </c>
      <c r="F293" s="17">
        <f>项目总控台账!R105</f>
        <v>46230</v>
      </c>
      <c r="G293" s="17">
        <f>项目总控台账!S105</f>
        <v>46262</v>
      </c>
      <c r="H293" s="70">
        <v>50</v>
      </c>
      <c r="I293" s="6" t="str">
        <f>IF(H293="","待估算",IF(E293="已完成","已结束",IF(AND(ISNUMBER(F293),ISNUMBER(G293),F293&lt;=项目驾驶舱!$B$3,G293&gt;=项目驾驶舱!$B$3),"进行中","计划中")))</f>
        <v>已结束</v>
      </c>
      <c r="J293" s="6" t="str">
        <f>IF(I293="待估算",IF(OR(F293="/",G293="/",F293="",G293=""),"补充计划日期","补充投入工时"),IF(AND(G293&lt;项目驾驶舱!$B$3,E293&lt;&gt;"已完成"),"确认延期和后续安排","按计划跟踪"))</f>
        <v>按计划跟踪</v>
      </c>
      <c r="K293" s="8"/>
      <c r="L293" t="s">
        <v>228</v>
      </c>
    </row>
    <row r="294" spans="1:12">
      <c r="B294" s="6" t="str">
        <f>项目总控台账!A106</f>
        <v>T103</v>
      </c>
      <c r="C294" s="6" t="str">
        <f>IF(AND(项目总控台账!E106&lt;&gt;"",项目总控台账!E106&lt;&gt;"/"),项目总控台账!E106,IF(AND(项目总控台账!D106&lt;&gt;"",项目总控台账!D106&lt;&gt;"/"),项目总控台账!D106,项目总控台账!C106))</f>
        <v>展示行业资讯数据</v>
      </c>
      <c r="D294" s="6" t="str">
        <f>项目总控台账!F106</f>
        <v>第一批次</v>
      </c>
      <c r="E294" s="6" t="str">
        <f>项目总控台账!G106</f>
        <v>已完成</v>
      </c>
      <c r="F294" s="17">
        <f>项目总控台账!R106</f>
        <v>46230</v>
      </c>
      <c r="G294" s="17">
        <f>项目总控台账!S106</f>
        <v>46262</v>
      </c>
      <c r="H294" s="70">
        <v>50</v>
      </c>
      <c r="I294" s="6" t="str">
        <f>IF(H294="","待估算",IF(E294="已完成","已结束",IF(AND(ISNUMBER(F294),ISNUMBER(G294),F294&lt;=项目驾驶舱!$B$3,G294&gt;=项目驾驶舱!$B$3),"进行中","计划中")))</f>
        <v>已结束</v>
      </c>
      <c r="J294" s="6" t="str">
        <f>IF(I294="待估算",IF(OR(F294="/",G294="/",F294="",G294=""),"补充计划日期","补充投入工时"),IF(AND(G294&lt;项目驾驶舱!$B$3,E294&lt;&gt;"已完成"),"确认延期和后续安排","按计划跟踪"))</f>
        <v>按计划跟踪</v>
      </c>
      <c r="K294" s="8"/>
      <c r="L294" t="s">
        <v>228</v>
      </c>
    </row>
    <row r="295" spans="1:12">
      <c r="B295" s="6" t="str">
        <f>项目总控台账!A137</f>
        <v>T134</v>
      </c>
      <c r="C295" s="6" t="str">
        <f>IF(AND(项目总控台账!E137&lt;&gt;"",项目总控台账!E137&lt;&gt;"/"),项目总控台账!E137,IF(AND(项目总控台账!D137&lt;&gt;"",项目总控台账!D137&lt;&gt;"/"),项目总控台账!D137,项目总控台账!C137))</f>
        <v>卸船计划查询</v>
      </c>
      <c r="D295" s="6" t="str">
        <f>项目总控台账!F137</f>
        <v>第二批次</v>
      </c>
      <c r="E295" s="6" t="str">
        <f>项目总控台账!G137</f>
        <v>未开始</v>
      </c>
      <c r="F295" s="17">
        <f>项目总控台账!R137</f>
        <v>46307</v>
      </c>
      <c r="G295" s="17">
        <f>项目总控台账!S137</f>
        <v>46339</v>
      </c>
      <c r="H295" s="70">
        <v>100</v>
      </c>
      <c r="I295" s="6" t="str">
        <f>IF(H295="","待估算",IF(E295="已完成","已结束",IF(AND(ISNUMBER(F295),ISNUMBER(G295),F295&lt;=项目驾驶舱!$B$3,G295&gt;=项目驾驶舱!$B$3),"进行中","计划中")))</f>
        <v>计划中</v>
      </c>
      <c r="J295" s="6" t="str">
        <f>IF(I295="待估算",IF(OR(F295="/",G295="/",F295="",G295=""),"补充计划日期","补充投入工时"),IF(AND(G295&lt;项目驾驶舱!$B$3,E295&lt;&gt;"已完成"),"确认延期和后续安排","按计划跟踪"))</f>
        <v>按计划跟踪</v>
      </c>
      <c r="K295" s="8"/>
      <c r="L295" t="s">
        <v>228</v>
      </c>
    </row>
    <row r="296" ht="17.55" spans="1:12">
      <c r="A296" s="71"/>
      <c r="B296" s="6" t="str">
        <f>项目总控台账!A138</f>
        <v>T135</v>
      </c>
      <c r="C296" s="6" t="str">
        <f>IF(AND(项目总控台账!E138&lt;&gt;"",项目总控台账!E138&lt;&gt;"/"),项目总控台账!E138,IF(AND(项目总控台账!D138&lt;&gt;"",项目总控台账!D138&lt;&gt;"/"),项目总控台账!D138,项目总控台账!C138))</f>
        <v>卸船查询</v>
      </c>
      <c r="D296" s="6" t="str">
        <f>项目总控台账!F138</f>
        <v>第二批次</v>
      </c>
      <c r="E296" s="6" t="str">
        <f>项目总控台账!G138</f>
        <v>未开始</v>
      </c>
      <c r="F296" s="17">
        <f>项目总控台账!R138</f>
        <v>46307</v>
      </c>
      <c r="G296" s="17">
        <f>项目总控台账!S138</f>
        <v>46339</v>
      </c>
      <c r="H296" s="70">
        <v>100</v>
      </c>
      <c r="I296" s="6" t="str">
        <f>IF(H296="","待估算",IF(E296="已完成","已结束",IF(AND(ISNUMBER(F296),ISNUMBER(G296),F296&lt;=项目驾驶舱!$B$3,G296&gt;=项目驾驶舱!$B$3),"进行中","计划中")))</f>
        <v>计划中</v>
      </c>
      <c r="J296" s="6" t="str">
        <f>IF(I296="待估算",IF(OR(F296="/",G296="/",F296="",G296=""),"补充计划日期","补充投入工时"),IF(AND(G296&lt;项目驾驶舱!$B$3,E296&lt;&gt;"已完成"),"确认延期和后续安排","按计划跟踪"))</f>
        <v>按计划跟踪</v>
      </c>
      <c r="K296" s="8"/>
      <c r="L296" t="s">
        <v>228</v>
      </c>
    </row>
    <row r="297" spans="1:12">
      <c r="A297" s="65" t="s">
        <v>400</v>
      </c>
      <c r="B297" s="66" t="str">
        <f>项目总控台账!A61</f>
        <v>T058</v>
      </c>
      <c r="C297" s="66" t="str">
        <f>IF(AND(项目总控台账!E61&lt;&gt;"",项目总控台账!E61&lt;&gt;"/"),项目总控台账!E61,IF(AND(项目总控台账!D61&lt;&gt;"",项目总控台账!D61&lt;&gt;"/"),项目总控台账!D61,项目总控台账!C61))</f>
        <v>OCR识别及编辑</v>
      </c>
      <c r="D297" s="66" t="str">
        <f>项目总控台账!F61</f>
        <v>第一批次</v>
      </c>
      <c r="E297" s="66" t="str">
        <f>项目总控台账!G61</f>
        <v>已完成</v>
      </c>
      <c r="F297" s="67">
        <f>项目总控台账!R61</f>
        <v>46195</v>
      </c>
      <c r="G297" s="67">
        <f>项目总控台账!S61</f>
        <v>46206</v>
      </c>
      <c r="H297" s="68">
        <v>27</v>
      </c>
      <c r="I297" s="66" t="str">
        <f>IF(H297="","待估算",IF(E297="已完成","已结束",IF(AND(ISNUMBER(F297),ISNUMBER(G297),F297&lt;=项目驾驶舱!$B$3,G297&gt;=项目驾驶舱!$B$3),"进行中","计划中")))</f>
        <v>已结束</v>
      </c>
      <c r="J297" s="66" t="str">
        <f>IF(I297="待估算",IF(OR(F297="/",G297="/",F297="",G297=""),"补充计划日期","补充投入工时"),IF(AND(G297&lt;项目驾驶舱!$B$3,E297&lt;&gt;"已完成"),"确认延期和后续安排","按计划跟踪"))</f>
        <v>按计划跟踪</v>
      </c>
      <c r="K297" s="69"/>
      <c r="L297" t="s">
        <v>400</v>
      </c>
    </row>
    <row r="298" spans="1:12">
      <c r="B298" s="6" t="str">
        <f>项目总控台账!A73</f>
        <v>T070</v>
      </c>
      <c r="C298" s="6" t="str">
        <f>IF(AND(项目总控台账!E73&lt;&gt;"",项目总控台账!E73&lt;&gt;"/"),项目总控台账!E73,IF(AND(项目总控台账!D73&lt;&gt;"",项目总控台账!D73&lt;&gt;"/"),项目总控台账!D73,项目总控台账!C73))</f>
        <v>生成报告</v>
      </c>
      <c r="D298" s="6" t="str">
        <f>项目总控台账!F73</f>
        <v>第一批次</v>
      </c>
      <c r="E298" s="6" t="str">
        <f>项目总控台账!G73</f>
        <v>已完成</v>
      </c>
      <c r="F298" s="17">
        <f>项目总控台账!R73</f>
        <v>46195</v>
      </c>
      <c r="G298" s="17">
        <f>项目总控台账!S73</f>
        <v>46206</v>
      </c>
      <c r="H298" s="70">
        <v>27</v>
      </c>
      <c r="I298" s="6" t="str">
        <f>IF(H298="","待估算",IF(E298="已完成","已结束",IF(AND(ISNUMBER(F298),ISNUMBER(G298),F298&lt;=项目驾驶舱!$B$3,G298&gt;=项目驾驶舱!$B$3),"进行中","计划中")))</f>
        <v>已结束</v>
      </c>
      <c r="J298" s="6" t="str">
        <f>IF(I298="待估算",IF(OR(F298="/",G298="/",F298="",G298=""),"补充计划日期","补充投入工时"),IF(AND(G298&lt;项目驾驶舱!$B$3,E298&lt;&gt;"已完成"),"确认延期和后续安排","按计划跟踪"))</f>
        <v>按计划跟踪</v>
      </c>
      <c r="K298" s="8"/>
      <c r="L298" t="s">
        <v>400</v>
      </c>
    </row>
    <row r="299" spans="1:12">
      <c r="B299" s="6" t="str">
        <f>项目总控台账!A74</f>
        <v>T071</v>
      </c>
      <c r="C299" s="6" t="str">
        <f>IF(AND(项目总控台账!E74&lt;&gt;"",项目总控台账!E74&lt;&gt;"/"),项目总控台账!E74,IF(AND(项目总控台账!D74&lt;&gt;"",项目总控台账!D74&lt;&gt;"/"),项目总控台账!D74,项目总控台账!C74))</f>
        <v>装船作业信息录入优化（太仓）</v>
      </c>
      <c r="D299" s="6" t="str">
        <f>项目总控台账!F74</f>
        <v>第一批次</v>
      </c>
      <c r="E299" s="6" t="str">
        <f>项目总控台账!G74</f>
        <v>已完成</v>
      </c>
      <c r="F299" s="17">
        <f>项目总控台账!R74</f>
        <v>46195</v>
      </c>
      <c r="G299" s="17">
        <f>项目总控台账!S74</f>
        <v>46206</v>
      </c>
      <c r="H299" s="70">
        <v>26</v>
      </c>
      <c r="I299" s="6" t="str">
        <f>IF(H299="","待估算",IF(E299="已完成","已结束",IF(AND(ISNUMBER(F299),ISNUMBER(G299),F299&lt;=项目驾驶舱!$B$3,G299&gt;=项目驾驶舱!$B$3),"进行中","计划中")))</f>
        <v>已结束</v>
      </c>
      <c r="J299" s="6" t="str">
        <f>IF(I299="待估算",IF(OR(F299="/",G299="/",F299="",G299=""),"补充计划日期","补充投入工时"),IF(AND(G299&lt;项目驾驶舱!$B$3,E299&lt;&gt;"已完成"),"确认延期和后续安排","按计划跟踪"))</f>
        <v>按计划跟踪</v>
      </c>
      <c r="K299" s="8"/>
      <c r="L299" t="s">
        <v>400</v>
      </c>
    </row>
    <row r="300" spans="1:12">
      <c r="B300" s="6" t="str">
        <f>项目总控台账!A4</f>
        <v>T001</v>
      </c>
      <c r="C300" s="6" t="str">
        <f>IF(AND(项目总控台账!E4&lt;&gt;"",项目总控台账!E4&lt;&gt;"/"),项目总控台账!E4,IF(AND(项目总控台账!D4&lt;&gt;"",项目总控台账!D4&lt;&gt;"/"),项目总控台账!D4,项目总控台账!C4))</f>
        <v>新增车辆信息</v>
      </c>
      <c r="D300" s="6" t="str">
        <f>项目总控台账!F4</f>
        <v>第一批次</v>
      </c>
      <c r="E300" s="6" t="str">
        <f>项目总控台账!G4</f>
        <v>已完成</v>
      </c>
      <c r="F300" s="17">
        <f>项目总控台账!R4</f>
        <v>46209</v>
      </c>
      <c r="G300" s="17">
        <f>项目总控台账!S4</f>
        <v>46225</v>
      </c>
      <c r="H300" s="70">
        <v>5.5</v>
      </c>
      <c r="I300" s="6" t="str">
        <f>IF(H300="","待估算",IF(E300="已完成","已结束",IF(AND(ISNUMBER(F300),ISNUMBER(G300),F300&lt;=项目驾驶舱!$B$3,G300&gt;=项目驾驶舱!$B$3),"进行中","计划中")))</f>
        <v>已结束</v>
      </c>
      <c r="J300" s="6" t="str">
        <f>IF(I300="待估算",IF(OR(F300="/",G300="/",F300="",G300=""),"补充计划日期","补充投入工时"),IF(AND(G300&lt;项目驾驶舱!$B$3,E300&lt;&gt;"已完成"),"确认延期和后续安排","按计划跟踪"))</f>
        <v>按计划跟踪</v>
      </c>
      <c r="K300" s="8"/>
      <c r="L300" t="s">
        <v>400</v>
      </c>
    </row>
    <row r="301" spans="1:12">
      <c r="B301" s="6" t="str">
        <f>项目总控台账!A5</f>
        <v>T002</v>
      </c>
      <c r="C301" s="6" t="str">
        <f>IF(AND(项目总控台账!E5&lt;&gt;"",项目总控台账!E5&lt;&gt;"/"),项目总控台账!E5,IF(AND(项目总控台账!D5&lt;&gt;"",项目总控台账!D5&lt;&gt;"/"),项目总控台账!D5,项目总控台账!C5))</f>
        <v>修改车辆信息</v>
      </c>
      <c r="D301" s="6" t="str">
        <f>项目总控台账!F5</f>
        <v>第一批次</v>
      </c>
      <c r="E301" s="6" t="str">
        <f>项目总控台账!G5</f>
        <v>已完成</v>
      </c>
      <c r="F301" s="17">
        <f>项目总控台账!R5</f>
        <v>46209</v>
      </c>
      <c r="G301" s="17">
        <f>项目总控台账!S5</f>
        <v>46225</v>
      </c>
      <c r="H301" s="70">
        <v>5.5</v>
      </c>
      <c r="I301" s="6" t="str">
        <f>IF(H301="","待估算",IF(E301="已完成","已结束",IF(AND(ISNUMBER(F301),ISNUMBER(G301),F301&lt;=项目驾驶舱!$B$3,G301&gt;=项目驾驶舱!$B$3),"进行中","计划中")))</f>
        <v>已结束</v>
      </c>
      <c r="J301" s="6" t="str">
        <f>IF(I301="待估算",IF(OR(F301="/",G301="/",F301="",G301=""),"补充计划日期","补充投入工时"),IF(AND(G301&lt;项目驾驶舱!$B$3,E301&lt;&gt;"已完成"),"确认延期和后续安排","按计划跟踪"))</f>
        <v>按计划跟踪</v>
      </c>
      <c r="K301" s="8"/>
      <c r="L301" t="s">
        <v>400</v>
      </c>
    </row>
    <row r="302" spans="1:12">
      <c r="B302" s="6" t="str">
        <f>项目总控台账!A6</f>
        <v>T003</v>
      </c>
      <c r="C302" s="6" t="str">
        <f>IF(AND(项目总控台账!E6&lt;&gt;"",项目总控台账!E6&lt;&gt;"/"),项目总控台账!E6,IF(AND(项目总控台账!D6&lt;&gt;"",项目总控台账!D6&lt;&gt;"/"),项目总控台账!D6,项目总控台账!C6))</f>
        <v>删除车辆信息</v>
      </c>
      <c r="D302" s="6" t="str">
        <f>项目总控台账!F6</f>
        <v>第一批次</v>
      </c>
      <c r="E302" s="6" t="str">
        <f>项目总控台账!G6</f>
        <v>已完成</v>
      </c>
      <c r="F302" s="17">
        <f>项目总控台账!R6</f>
        <v>46209</v>
      </c>
      <c r="G302" s="17">
        <f>项目总控台账!S6</f>
        <v>46225</v>
      </c>
      <c r="H302" s="70">
        <v>5.5</v>
      </c>
      <c r="I302" s="6" t="str">
        <f>IF(H302="","待估算",IF(E302="已完成","已结束",IF(AND(ISNUMBER(F302),ISNUMBER(G302),F302&lt;=项目驾驶舱!$B$3,G302&gt;=项目驾驶舱!$B$3),"进行中","计划中")))</f>
        <v>已结束</v>
      </c>
      <c r="J302" s="6" t="str">
        <f>IF(I302="待估算",IF(OR(F302="/",G302="/",F302="",G302=""),"补充计划日期","补充投入工时"),IF(AND(G302&lt;项目驾驶舱!$B$3,E302&lt;&gt;"已完成"),"确认延期和后续安排","按计划跟踪"))</f>
        <v>按计划跟踪</v>
      </c>
      <c r="K302" s="8"/>
      <c r="L302" t="s">
        <v>400</v>
      </c>
    </row>
    <row r="303" spans="1:12">
      <c r="B303" s="6" t="str">
        <f>项目总控台账!A7</f>
        <v>T004</v>
      </c>
      <c r="C303" s="6" t="str">
        <f>IF(AND(项目总控台账!E7&lt;&gt;"",项目总控台账!E7&lt;&gt;"/"),项目总控台账!E7,IF(AND(项目总控台账!D7&lt;&gt;"",项目总控台账!D7&lt;&gt;"/"),项目总控台账!D7,项目总控台账!C7))</f>
        <v>查询展示车辆信息</v>
      </c>
      <c r="D303" s="6" t="str">
        <f>项目总控台账!F7</f>
        <v>第一批次</v>
      </c>
      <c r="E303" s="6" t="str">
        <f>项目总控台账!G7</f>
        <v>已完成</v>
      </c>
      <c r="F303" s="17">
        <f>项目总控台账!R7</f>
        <v>46209</v>
      </c>
      <c r="G303" s="17">
        <f>项目总控台账!S7</f>
        <v>46225</v>
      </c>
      <c r="H303" s="70">
        <v>5.5</v>
      </c>
      <c r="I303" s="6" t="str">
        <f>IF(H303="","待估算",IF(E303="已完成","已结束",IF(AND(ISNUMBER(F303),ISNUMBER(G303),F303&lt;=项目驾驶舱!$B$3,G303&gt;=项目驾驶舱!$B$3),"进行中","计划中")))</f>
        <v>已结束</v>
      </c>
      <c r="J303" s="6" t="str">
        <f>IF(I303="待估算",IF(OR(F303="/",G303="/",F303="",G303=""),"补充计划日期","补充投入工时"),IF(AND(G303&lt;项目驾驶舱!$B$3,E303&lt;&gt;"已完成"),"确认延期和后续安排","按计划跟踪"))</f>
        <v>按计划跟踪</v>
      </c>
      <c r="K303" s="8"/>
      <c r="L303" t="s">
        <v>400</v>
      </c>
    </row>
    <row r="304" spans="1:12">
      <c r="B304" s="6" t="str">
        <f>项目总控台账!A9</f>
        <v>T006</v>
      </c>
      <c r="C304" s="6" t="str">
        <f>IF(AND(项目总控台账!E9&lt;&gt;"",项目总控台账!E9&lt;&gt;"/"),项目总控台账!E9,IF(AND(项目总控台账!D9&lt;&gt;"",项目总控台账!D9&lt;&gt;"/"),项目总控台账!D9,项目总控台账!C9))</f>
        <v>优化收费标准（装卸费）新增</v>
      </c>
      <c r="D304" s="6" t="str">
        <f>项目总控台账!F9</f>
        <v>第一批次</v>
      </c>
      <c r="E304" s="6" t="str">
        <f>项目总控台账!G9</f>
        <v>已完成</v>
      </c>
      <c r="F304" s="17">
        <f>项目总控台账!R9</f>
        <v>46209</v>
      </c>
      <c r="G304" s="17">
        <f>项目总控台账!S9</f>
        <v>46227</v>
      </c>
      <c r="H304" s="70">
        <v>5.5</v>
      </c>
      <c r="I304" s="6" t="str">
        <f>IF(H304="","待估算",IF(E304="已完成","已结束",IF(AND(ISNUMBER(F304),ISNUMBER(G304),F304&lt;=项目驾驶舱!$B$3,G304&gt;=项目驾驶舱!$B$3),"进行中","计划中")))</f>
        <v>已结束</v>
      </c>
      <c r="J304" s="6" t="str">
        <f>IF(I304="待估算",IF(OR(F304="/",G304="/",F304="",G304=""),"补充计划日期","补充投入工时"),IF(AND(G304&lt;项目驾驶舱!$B$3,E304&lt;&gt;"已完成"),"确认延期和后续安排","按计划跟踪"))</f>
        <v>按计划跟踪</v>
      </c>
      <c r="K304" s="8"/>
      <c r="L304" t="s">
        <v>400</v>
      </c>
    </row>
    <row r="305" spans="1:12">
      <c r="B305" s="6" t="str">
        <f>项目总控台账!A10</f>
        <v>T007</v>
      </c>
      <c r="C305" s="6" t="str">
        <f>IF(AND(项目总控台账!E10&lt;&gt;"",项目总控台账!E10&lt;&gt;"/"),项目总控台账!E10,IF(AND(项目总控台账!D10&lt;&gt;"",项目总控台账!D10&lt;&gt;"/"),项目总控台账!D10,项目总控台账!C10))</f>
        <v>优化收费标准（装卸费）编辑</v>
      </c>
      <c r="D305" s="6" t="str">
        <f>项目总控台账!F10</f>
        <v>第一批次</v>
      </c>
      <c r="E305" s="6" t="str">
        <f>项目总控台账!G10</f>
        <v>已完成</v>
      </c>
      <c r="F305" s="17">
        <f>项目总控台账!R10</f>
        <v>46209</v>
      </c>
      <c r="G305" s="17">
        <f>项目总控台账!S10</f>
        <v>46227</v>
      </c>
      <c r="H305" s="70">
        <v>4.5</v>
      </c>
      <c r="I305" s="6" t="str">
        <f>IF(H305="","待估算",IF(E305="已完成","已结束",IF(AND(ISNUMBER(F305),ISNUMBER(G305),F305&lt;=项目驾驶舱!$B$3,G305&gt;=项目驾驶舱!$B$3),"进行中","计划中")))</f>
        <v>已结束</v>
      </c>
      <c r="J305" s="6" t="str">
        <f>IF(I305="待估算",IF(OR(F305="/",G305="/",F305="",G305=""),"补充计划日期","补充投入工时"),IF(AND(G305&lt;项目驾驶舱!$B$3,E305&lt;&gt;"已完成"),"确认延期和后续安排","按计划跟踪"))</f>
        <v>按计划跟踪</v>
      </c>
      <c r="K305" s="8"/>
      <c r="L305" t="s">
        <v>400</v>
      </c>
    </row>
    <row r="306" spans="1:12">
      <c r="B306" s="6" t="str">
        <f>项目总控台账!A11</f>
        <v>T008</v>
      </c>
      <c r="C306" s="6" t="str">
        <f>IF(AND(项目总控台账!E11&lt;&gt;"",项目总控台账!E11&lt;&gt;"/"),项目总控台账!E11,IF(AND(项目总控台账!D11&lt;&gt;"",项目总控台账!D11&lt;&gt;"/"),项目总控台账!D11,项目总控台账!C11))</f>
        <v>优化收费标准（装卸费）详情</v>
      </c>
      <c r="D306" s="6" t="str">
        <f>项目总控台账!F11</f>
        <v>第一批次</v>
      </c>
      <c r="E306" s="6" t="str">
        <f>项目总控台账!G11</f>
        <v>已完成</v>
      </c>
      <c r="F306" s="17">
        <f>项目总控台账!R11</f>
        <v>46209</v>
      </c>
      <c r="G306" s="17">
        <f>项目总控台账!S11</f>
        <v>46227</v>
      </c>
      <c r="H306" s="70">
        <v>4.5</v>
      </c>
      <c r="I306" s="6" t="str">
        <f>IF(H306="","待估算",IF(E306="已完成","已结束",IF(AND(ISNUMBER(F306),ISNUMBER(G306),F306&lt;=项目驾驶舱!$B$3,G306&gt;=项目驾驶舱!$B$3),"进行中","计划中")))</f>
        <v>已结束</v>
      </c>
      <c r="J306" s="6" t="str">
        <f>IF(I306="待估算",IF(OR(F306="/",G306="/",F306="",G306=""),"补充计划日期","补充投入工时"),IF(AND(G306&lt;项目驾驶舱!$B$3,E306&lt;&gt;"已完成"),"确认延期和后续安排","按计划跟踪"))</f>
        <v>按计划跟踪</v>
      </c>
      <c r="K306" s="8"/>
      <c r="L306" t="s">
        <v>400</v>
      </c>
    </row>
    <row r="307" spans="1:12">
      <c r="B307" s="6" t="str">
        <f>项目总控台账!A12</f>
        <v>T009</v>
      </c>
      <c r="C307" s="6" t="str">
        <f>IF(AND(项目总控台账!E12&lt;&gt;"",项目总控台账!E12&lt;&gt;"/"),项目总控台账!E12,IF(AND(项目总控台账!D12&lt;&gt;"",项目总控台账!D12&lt;&gt;"/"),项目总控台账!D12,项目总控台账!C12))</f>
        <v>优化采样方式新增</v>
      </c>
      <c r="D307" s="6" t="str">
        <f>项目总控台账!F12</f>
        <v>第一批次</v>
      </c>
      <c r="E307" s="6" t="str">
        <f>项目总控台账!G12</f>
        <v>已完成</v>
      </c>
      <c r="F307" s="17">
        <f>项目总控台账!R12</f>
        <v>46209</v>
      </c>
      <c r="G307" s="17">
        <f>项目总控台账!S12</f>
        <v>46227</v>
      </c>
      <c r="H307" s="70">
        <v>4.5</v>
      </c>
      <c r="I307" s="6" t="str">
        <f>IF(H307="","待估算",IF(E307="已完成","已结束",IF(AND(ISNUMBER(F307),ISNUMBER(G307),F307&lt;=项目驾驶舱!$B$3,G307&gt;=项目驾驶舱!$B$3),"进行中","计划中")))</f>
        <v>已结束</v>
      </c>
      <c r="J307" s="6" t="str">
        <f>IF(I307="待估算",IF(OR(F307="/",G307="/",F307="",G307=""),"补充计划日期","补充投入工时"),IF(AND(G307&lt;项目驾驶舱!$B$3,E307&lt;&gt;"已完成"),"确认延期和后续安排","按计划跟踪"))</f>
        <v>按计划跟踪</v>
      </c>
      <c r="K307" s="8"/>
      <c r="L307" t="s">
        <v>400</v>
      </c>
    </row>
    <row r="308" spans="1:12">
      <c r="A308" s="71"/>
      <c r="B308" s="6" t="str">
        <f>项目总控台账!A13</f>
        <v>T010</v>
      </c>
      <c r="C308" s="6" t="str">
        <f>IF(AND(项目总控台账!E13&lt;&gt;"",项目总控台账!E13&lt;&gt;"/"),项目总控台账!E13,IF(AND(项目总控台账!D13&lt;&gt;"",项目总控台账!D13&lt;&gt;"/"),项目总控台账!D13,项目总控台账!C13))</f>
        <v>优化采样方式编辑</v>
      </c>
      <c r="D308" s="6" t="str">
        <f>项目总控台账!F13</f>
        <v>第一批次</v>
      </c>
      <c r="E308" s="6" t="str">
        <f>项目总控台账!G13</f>
        <v>已完成</v>
      </c>
      <c r="F308" s="17">
        <f>项目总控台账!R13</f>
        <v>46209</v>
      </c>
      <c r="G308" s="17">
        <f>项目总控台账!S13</f>
        <v>46227</v>
      </c>
      <c r="H308" s="70">
        <v>4.5</v>
      </c>
      <c r="I308" s="6" t="str">
        <f>IF(H308="","待估算",IF(E308="已完成","已结束",IF(AND(ISNUMBER(F308),ISNUMBER(G308),F308&lt;=项目驾驶舱!$B$3,G308&gt;=项目驾驶舱!$B$3),"进行中","计划中")))</f>
        <v>已结束</v>
      </c>
      <c r="J308" s="6" t="str">
        <f>IF(I308="待估算",IF(OR(F308="/",G308="/",F308="",G308=""),"补充计划日期","补充投入工时"),IF(AND(G308&lt;项目驾驶舱!$B$3,E308&lt;&gt;"已完成"),"确认延期和后续安排","按计划跟踪"))</f>
        <v>按计划跟踪</v>
      </c>
      <c r="K308" s="8"/>
      <c r="L308" t="s">
        <v>400</v>
      </c>
    </row>
    <row r="309" spans="1:12">
      <c r="A309" s="72" t="s">
        <v>400</v>
      </c>
      <c r="B309" s="6" t="str">
        <f>项目总控台账!A14</f>
        <v>T011</v>
      </c>
      <c r="C309" s="6" t="str">
        <f>IF(AND(项目总控台账!E14&lt;&gt;"",项目总控台账!E14&lt;&gt;"/"),项目总控台账!E14,IF(AND(项目总控台账!D14&lt;&gt;"",项目总控台账!D14&lt;&gt;"/"),项目总控台账!D14,项目总控台账!C14))</f>
        <v>获取报单数据及展示</v>
      </c>
      <c r="D309" s="6" t="str">
        <f>项目总控台账!F14</f>
        <v>第一批次</v>
      </c>
      <c r="E309" s="6" t="str">
        <f>项目总控台账!G14</f>
        <v>已完成</v>
      </c>
      <c r="F309" s="17">
        <f>项目总控台账!R14</f>
        <v>46209</v>
      </c>
      <c r="G309" s="17">
        <f>项目总控台账!S14</f>
        <v>46227</v>
      </c>
      <c r="H309" s="70">
        <v>4.5</v>
      </c>
      <c r="I309" s="6" t="str">
        <f>IF(H309="","待估算",IF(E309="已完成","已结束",IF(AND(ISNUMBER(F309),ISNUMBER(G309),F309&lt;=项目驾驶舱!$B$3,G309&gt;=项目驾驶舱!$B$3),"进行中","计划中")))</f>
        <v>已结束</v>
      </c>
      <c r="J309" s="6" t="str">
        <f>IF(I309="待估算",IF(OR(F309="/",G309="/",F309="",G309=""),"补充计划日期","补充投入工时"),IF(AND(G309&lt;项目驾驶舱!$B$3,E309&lt;&gt;"已完成"),"确认延期和后续安排","按计划跟踪"))</f>
        <v>按计划跟踪</v>
      </c>
      <c r="K309" s="8"/>
      <c r="L309" t="s">
        <v>400</v>
      </c>
    </row>
    <row r="310" spans="1:12">
      <c r="B310" s="6" t="str">
        <f>项目总控台账!A15</f>
        <v>T012</v>
      </c>
      <c r="C310" s="6" t="str">
        <f>IF(AND(项目总控台账!E15&lt;&gt;"",项目总控台账!E15&lt;&gt;"/"),项目总控台账!E15,IF(AND(项目总控台账!D15&lt;&gt;"",项目总控台账!D15&lt;&gt;"/"),项目总控台账!D15,项目总控台账!C15))</f>
        <v>应单入口</v>
      </c>
      <c r="D310" s="6" t="str">
        <f>项目总控台账!F15</f>
        <v>第一批次</v>
      </c>
      <c r="E310" s="6" t="str">
        <f>项目总控台账!G15</f>
        <v>已完成</v>
      </c>
      <c r="F310" s="17">
        <f>项目总控台账!R15</f>
        <v>46209</v>
      </c>
      <c r="G310" s="17">
        <f>项目总控台账!S15</f>
        <v>46227</v>
      </c>
      <c r="H310" s="70">
        <v>4.5</v>
      </c>
      <c r="I310" s="6" t="str">
        <f>IF(H310="","待估算",IF(E310="已完成","已结束",IF(AND(ISNUMBER(F310),ISNUMBER(G310),F310&lt;=项目驾驶舱!$B$3,G310&gt;=项目驾驶舱!$B$3),"进行中","计划中")))</f>
        <v>已结束</v>
      </c>
      <c r="J310" s="6" t="str">
        <f>IF(I310="待估算",IF(OR(F310="/",G310="/",F310="",G310=""),"补充计划日期","补充投入工时"),IF(AND(G310&lt;项目驾驶舱!$B$3,E310&lt;&gt;"已完成"),"确认延期和后续安排","按计划跟踪"))</f>
        <v>按计划跟踪</v>
      </c>
      <c r="K310" s="8"/>
      <c r="L310" t="s">
        <v>400</v>
      </c>
    </row>
    <row r="311" spans="1:12">
      <c r="B311" s="6" t="str">
        <f>项目总控台账!A53</f>
        <v>T050</v>
      </c>
      <c r="C311" s="6" t="str">
        <f>IF(AND(项目总控台账!E53&lt;&gt;"",项目总控台账!E53&lt;&gt;"/"),项目总控台账!E53,IF(AND(项目总控台账!D53&lt;&gt;"",项目总控台账!D53&lt;&gt;"/"),项目总控台账!D53,项目总控台账!C53))</f>
        <v>维护需跟踪船舶清单</v>
      </c>
      <c r="D311" s="6" t="str">
        <f>项目总控台账!F53</f>
        <v>第一批次</v>
      </c>
      <c r="E311" s="6" t="str">
        <f>项目总控台账!G53</f>
        <v>进行中</v>
      </c>
      <c r="F311" s="17">
        <f>项目总控台账!R53</f>
        <v>46209</v>
      </c>
      <c r="G311" s="17">
        <f>项目总控台账!S53</f>
        <v>46227</v>
      </c>
      <c r="H311" s="70">
        <v>4.5</v>
      </c>
      <c r="I311" s="6" t="str">
        <f>IF(H311="","待估算",IF(E311="已完成","已结束",IF(AND(ISNUMBER(F311),ISNUMBER(G311),F311&lt;=项目驾驶舱!$B$3,G311&gt;=项目驾驶舱!$B$3),"进行中","计划中")))</f>
        <v>计划中</v>
      </c>
      <c r="J311" s="6" t="str">
        <f>IF(I311="待估算",IF(OR(F311="/",G311="/",F311="",G311=""),"补充计划日期","补充投入工时"),IF(AND(G311&lt;项目驾驶舱!$B$3,E311&lt;&gt;"已完成"),"确认延期和后续安排","按计划跟踪"))</f>
        <v>确认延期和后续安排</v>
      </c>
      <c r="K311" s="8"/>
      <c r="L311" t="s">
        <v>400</v>
      </c>
    </row>
    <row r="312" spans="1:12">
      <c r="B312" s="6" t="str">
        <f>项目总控台账!A54</f>
        <v>T051</v>
      </c>
      <c r="C312" s="6" t="str">
        <f>IF(AND(项目总控台账!E54&lt;&gt;"",项目总控台账!E54&lt;&gt;"/"),项目总控台账!E54,IF(AND(项目总控台账!D54&lt;&gt;"",项目总控台账!D54&lt;&gt;"/"),项目总控台账!D54,项目总控台账!C54))</f>
        <v>根据船舶清单更新第三方系统推送数据船舶清单</v>
      </c>
      <c r="D312" s="6" t="str">
        <f>项目总控台账!F54</f>
        <v>第一批次</v>
      </c>
      <c r="E312" s="6" t="str">
        <f>项目总控台账!G54</f>
        <v>进行中</v>
      </c>
      <c r="F312" s="17">
        <f>项目总控台账!R54</f>
        <v>46209</v>
      </c>
      <c r="G312" s="17">
        <f>项目总控台账!S54</f>
        <v>46227</v>
      </c>
      <c r="H312" s="70">
        <v>4.5</v>
      </c>
      <c r="I312" s="6" t="str">
        <f>IF(H312="","待估算",IF(E312="已完成","已结束",IF(AND(ISNUMBER(F312),ISNUMBER(G312),F312&lt;=项目驾驶舱!$B$3,G312&gt;=项目驾驶舱!$B$3),"进行中","计划中")))</f>
        <v>计划中</v>
      </c>
      <c r="J312" s="6" t="str">
        <f>IF(I312="待估算",IF(OR(F312="/",G312="/",F312="",G312=""),"补充计划日期","补充投入工时"),IF(AND(G312&lt;项目驾驶舱!$B$3,E312&lt;&gt;"已完成"),"确认延期和后续安排","按计划跟踪"))</f>
        <v>确认延期和后续安排</v>
      </c>
      <c r="K312" s="8"/>
      <c r="L312" t="s">
        <v>400</v>
      </c>
    </row>
    <row r="313" spans="1:12">
      <c r="B313" s="6" t="str">
        <f>项目总控台账!A55</f>
        <v>T052</v>
      </c>
      <c r="C313" s="6" t="str">
        <f>IF(AND(项目总控台账!E55&lt;&gt;"",项目总控台账!E55&lt;&gt;"/"),项目总控台账!E55,IF(AND(项目总控台账!D55&lt;&gt;"",项目总控台账!D55&lt;&gt;"/"),项目总控台账!D55,项目总控台账!C55))</f>
        <v>船舶轨迹跟踪</v>
      </c>
      <c r="D313" s="6" t="str">
        <f>项目总控台账!F55</f>
        <v>第一批次</v>
      </c>
      <c r="E313" s="6" t="str">
        <f>项目总控台账!G55</f>
        <v>进行中</v>
      </c>
      <c r="F313" s="17">
        <f>项目总控台账!R55</f>
        <v>46209</v>
      </c>
      <c r="G313" s="17">
        <f>项目总控台账!S55</f>
        <v>46227</v>
      </c>
      <c r="H313" s="70">
        <v>4.5</v>
      </c>
      <c r="I313" s="6" t="str">
        <f>IF(H313="","待估算",IF(E313="已完成","已结束",IF(AND(ISNUMBER(F313),ISNUMBER(G313),F313&lt;=项目驾驶舱!$B$3,G313&gt;=项目驾驶舱!$B$3),"进行中","计划中")))</f>
        <v>计划中</v>
      </c>
      <c r="J313" s="6" t="str">
        <f>IF(I313="待估算",IF(OR(F313="/",G313="/",F313="",G313=""),"补充计划日期","补充投入工时"),IF(AND(G313&lt;项目驾驶舱!$B$3,E313&lt;&gt;"已完成"),"确认延期和后续安排","按计划跟踪"))</f>
        <v>确认延期和后续安排</v>
      </c>
      <c r="K313" s="8"/>
      <c r="L313" t="s">
        <v>400</v>
      </c>
    </row>
    <row r="314" spans="1:12">
      <c r="B314" s="6" t="str">
        <f>项目总控台账!A63</f>
        <v>T060</v>
      </c>
      <c r="C314" s="6" t="str">
        <f>IF(AND(项目总控台账!E63&lt;&gt;"",项目总控台账!E63&lt;&gt;"/"),项目总控台账!E63,IF(AND(项目总控台账!D63&lt;&gt;"",项目总控台账!D63&lt;&gt;"/"),项目总控台账!D63,项目总控台账!C63))</f>
        <v>货权录入</v>
      </c>
      <c r="D314" s="6" t="str">
        <f>项目总控台账!F63</f>
        <v>第一批次</v>
      </c>
      <c r="E314" s="6" t="str">
        <f>项目总控台账!G63</f>
        <v>已完成</v>
      </c>
      <c r="F314" s="17">
        <f>项目总控台账!R63</f>
        <v>46209</v>
      </c>
      <c r="G314" s="17">
        <f>项目总控台账!S63</f>
        <v>46227</v>
      </c>
      <c r="H314" s="70">
        <v>4</v>
      </c>
      <c r="I314" s="6" t="str">
        <f>IF(H314="","待估算",IF(E314="已完成","已结束",IF(AND(ISNUMBER(F314),ISNUMBER(G314),F314&lt;=项目驾驶舱!$B$3,G314&gt;=项目驾驶舱!$B$3),"进行中","计划中")))</f>
        <v>已结束</v>
      </c>
      <c r="J314" s="6" t="str">
        <f>IF(I314="待估算",IF(OR(F314="/",G314="/",F314="",G314=""),"补充计划日期","补充投入工时"),IF(AND(G314&lt;项目驾驶舱!$B$3,E314&lt;&gt;"已完成"),"确认延期和后续安排","按计划跟踪"))</f>
        <v>按计划跟踪</v>
      </c>
      <c r="K314" s="8"/>
      <c r="L314" t="s">
        <v>400</v>
      </c>
    </row>
    <row r="315" spans="1:12">
      <c r="B315" s="6" t="str">
        <f>项目总控台账!A64</f>
        <v>T061</v>
      </c>
      <c r="C315" s="6" t="str">
        <f>IF(AND(项目总控台账!E64&lt;&gt;"",项目总控台账!E64&lt;&gt;"/"),项目总控台账!E64,IF(AND(项目总控台账!D64&lt;&gt;"",项目总控台账!D64&lt;&gt;"/"),项目总控台账!D64,项目总控台账!C64))</f>
        <v>货权修改</v>
      </c>
      <c r="D315" s="6" t="str">
        <f>项目总控台账!F64</f>
        <v>第一批次</v>
      </c>
      <c r="E315" s="6" t="str">
        <f>项目总控台账!G64</f>
        <v>已完成</v>
      </c>
      <c r="F315" s="17">
        <f>项目总控台账!R64</f>
        <v>46209</v>
      </c>
      <c r="G315" s="17">
        <f>项目总控台账!S64</f>
        <v>46227</v>
      </c>
      <c r="H315" s="70">
        <v>4</v>
      </c>
      <c r="I315" s="6" t="str">
        <f>IF(H315="","待估算",IF(E315="已完成","已结束",IF(AND(ISNUMBER(F315),ISNUMBER(G315),F315&lt;=项目驾驶舱!$B$3,G315&gt;=项目驾驶舱!$B$3),"进行中","计划中")))</f>
        <v>已结束</v>
      </c>
      <c r="J315" s="6" t="str">
        <f>IF(I315="待估算",IF(OR(F315="/",G315="/",F315="",G315=""),"补充计划日期","补充投入工时"),IF(AND(G315&lt;项目驾驶舱!$B$3,E315&lt;&gt;"已完成"),"确认延期和后续安排","按计划跟踪"))</f>
        <v>按计划跟踪</v>
      </c>
      <c r="K315" s="8"/>
      <c r="L315" t="s">
        <v>400</v>
      </c>
    </row>
    <row r="316" spans="1:12">
      <c r="B316" s="6" t="str">
        <f>项目总控台账!A65</f>
        <v>T062</v>
      </c>
      <c r="C316" s="6" t="str">
        <f>IF(AND(项目总控台账!E65&lt;&gt;"",项目总控台账!E65&lt;&gt;"/"),项目总控台账!E65,IF(AND(项目总控台账!D65&lt;&gt;"",项目总控台账!D65&lt;&gt;"/"),项目总控台账!D65,项目总控台账!C65))</f>
        <v>获取查询</v>
      </c>
      <c r="D316" s="6" t="str">
        <f>项目总控台账!F65</f>
        <v>第一批次</v>
      </c>
      <c r="E316" s="6" t="str">
        <f>项目总控台账!G65</f>
        <v>已完成</v>
      </c>
      <c r="F316" s="17">
        <f>项目总控台账!R65</f>
        <v>46209</v>
      </c>
      <c r="G316" s="17">
        <f>项目总控台账!S65</f>
        <v>46227</v>
      </c>
      <c r="H316" s="70">
        <v>4</v>
      </c>
      <c r="I316" s="6" t="str">
        <f>IF(H316="","待估算",IF(E316="已完成","已结束",IF(AND(ISNUMBER(F316),ISNUMBER(G316),F316&lt;=项目驾驶舱!$B$3,G316&gt;=项目驾驶舱!$B$3),"进行中","计划中")))</f>
        <v>已结束</v>
      </c>
      <c r="J316" s="6" t="str">
        <f>IF(I316="待估算",IF(OR(F316="/",G316="/",F316="",G316=""),"补充计划日期","补充投入工时"),IF(AND(G316&lt;项目驾驶舱!$B$3,E316&lt;&gt;"已完成"),"确认延期和后续安排","按计划跟踪"))</f>
        <v>按计划跟踪</v>
      </c>
      <c r="K316" s="8"/>
      <c r="L316" t="s">
        <v>400</v>
      </c>
    </row>
    <row r="317" spans="1:12">
      <c r="B317" s="6" t="str">
        <f>项目总控台账!A66</f>
        <v>T063</v>
      </c>
      <c r="C317" s="6" t="str">
        <f>IF(AND(项目总控台账!E66&lt;&gt;"",项目总控台账!E66&lt;&gt;"/"),项目总控台账!E66,IF(AND(项目总控台账!D66&lt;&gt;"",项目总控台账!D66&lt;&gt;"/"),项目总控台账!D66,项目总控台账!C66))</f>
        <v>卸船作业货权跟踪</v>
      </c>
      <c r="D317" s="6" t="str">
        <f>项目总控台账!F66</f>
        <v>第一批次</v>
      </c>
      <c r="E317" s="6" t="str">
        <f>项目总控台账!G66</f>
        <v>已完成</v>
      </c>
      <c r="F317" s="17">
        <f>项目总控台账!R66</f>
        <v>46209</v>
      </c>
      <c r="G317" s="17">
        <f>项目总控台账!S66</f>
        <v>46227</v>
      </c>
      <c r="H317" s="70">
        <v>4</v>
      </c>
      <c r="I317" s="6" t="str">
        <f>IF(H317="","待估算",IF(E317="已完成","已结束",IF(AND(ISNUMBER(F317),ISNUMBER(G317),F317&lt;=项目驾驶舱!$B$3,G317&gt;=项目驾驶舱!$B$3),"进行中","计划中")))</f>
        <v>已结束</v>
      </c>
      <c r="J317" s="6" t="str">
        <f>IF(I317="待估算",IF(OR(F317="/",G317="/",F317="",G317=""),"补充计划日期","补充投入工时"),IF(AND(G317&lt;项目驾驶舱!$B$3,E317&lt;&gt;"已完成"),"确认延期和后续安排","按计划跟踪"))</f>
        <v>按计划跟踪</v>
      </c>
      <c r="K317" s="8"/>
      <c r="L317" t="s">
        <v>400</v>
      </c>
    </row>
    <row r="318" spans="1:12">
      <c r="B318" s="6" t="str">
        <f>项目总控台账!A67</f>
        <v>T064</v>
      </c>
      <c r="C318" s="6" t="str">
        <f>IF(AND(项目总控台账!E67&lt;&gt;"",项目总控台账!E67&lt;&gt;"/"),项目总控台账!E67,IF(AND(项目总控台账!D67&lt;&gt;"",项目总控台账!D67&lt;&gt;"/"),项目总控台账!D67,项目总控台账!C67))</f>
        <v>卸船作业货权跟踪</v>
      </c>
      <c r="D318" s="6" t="str">
        <f>项目总控台账!F67</f>
        <v>第一批次</v>
      </c>
      <c r="E318" s="6" t="str">
        <f>项目总控台账!G67</f>
        <v>已完成</v>
      </c>
      <c r="F318" s="17">
        <f>项目总控台账!R67</f>
        <v>46209</v>
      </c>
      <c r="G318" s="17">
        <f>项目总控台账!S67</f>
        <v>46227</v>
      </c>
      <c r="H318" s="70">
        <v>4</v>
      </c>
      <c r="I318" s="6" t="str">
        <f>IF(H318="","待估算",IF(E318="已完成","已结束",IF(AND(ISNUMBER(F318),ISNUMBER(G318),F318&lt;=项目驾驶舱!$B$3,G318&gt;=项目驾驶舱!$B$3),"进行中","计划中")))</f>
        <v>已结束</v>
      </c>
      <c r="J318" s="6" t="str">
        <f>IF(I318="待估算",IF(OR(F318="/",G318="/",F318="",G318=""),"补充计划日期","补充投入工时"),IF(AND(G318&lt;项目驾驶舱!$B$3,E318&lt;&gt;"已完成"),"确认延期和后续安排","按计划跟踪"))</f>
        <v>按计划跟踪</v>
      </c>
      <c r="K318" s="8"/>
      <c r="L318" t="s">
        <v>400</v>
      </c>
    </row>
    <row r="319" spans="1:12">
      <c r="B319" s="6" t="str">
        <f>项目总控台账!A68</f>
        <v>T065</v>
      </c>
      <c r="C319" s="6" t="str">
        <f>IF(AND(项目总控台账!E68&lt;&gt;"",项目总控台账!E68&lt;&gt;"/"),项目总控台账!E68,IF(AND(项目总控台账!D68&lt;&gt;"",项目总控台账!D68&lt;&gt;"/"),项目总控台账!D68,项目总控台账!C68))</f>
        <v>装船作业货权跟踪</v>
      </c>
      <c r="D319" s="6" t="str">
        <f>项目总控台账!F68</f>
        <v>第一批次</v>
      </c>
      <c r="E319" s="6" t="str">
        <f>项目总控台账!G68</f>
        <v>已完成</v>
      </c>
      <c r="F319" s="17">
        <f>项目总控台账!R68</f>
        <v>46209</v>
      </c>
      <c r="G319" s="17">
        <f>项目总控台账!S68</f>
        <v>46227</v>
      </c>
      <c r="H319" s="70">
        <v>4</v>
      </c>
      <c r="I319" s="6" t="str">
        <f>IF(H319="","待估算",IF(E319="已完成","已结束",IF(AND(ISNUMBER(F319),ISNUMBER(G319),F319&lt;=项目驾驶舱!$B$3,G319&gt;=项目驾驶舱!$B$3),"进行中","计划中")))</f>
        <v>已结束</v>
      </c>
      <c r="J319" s="6" t="str">
        <f>IF(I319="待估算",IF(OR(F319="/",G319="/",F319="",G319=""),"补充计划日期","补充投入工时"),IF(AND(G319&lt;项目驾驶舱!$B$3,E319&lt;&gt;"已完成"),"确认延期和后续安排","按计划跟踪"))</f>
        <v>按计划跟踪</v>
      </c>
      <c r="K319" s="8"/>
      <c r="L319" t="s">
        <v>400</v>
      </c>
    </row>
    <row r="320" spans="1:12">
      <c r="A320" s="71"/>
      <c r="B320" s="6" t="str">
        <f>项目总控台账!A69</f>
        <v>T066</v>
      </c>
      <c r="C320" s="6" t="str">
        <f>IF(AND(项目总控台账!E69&lt;&gt;"",项目总控台账!E69&lt;&gt;"/"),项目总控台账!E69,IF(AND(项目总控台账!D69&lt;&gt;"",项目总控台账!D69&lt;&gt;"/"),项目总控台账!D69,项目总控台账!C69))</f>
        <v>装船作业货权跟踪</v>
      </c>
      <c r="D320" s="6" t="str">
        <f>项目总控台账!F69</f>
        <v>第一批次</v>
      </c>
      <c r="E320" s="6" t="str">
        <f>项目总控台账!G69</f>
        <v>已完成</v>
      </c>
      <c r="F320" s="17">
        <f>项目总控台账!R69</f>
        <v>46209</v>
      </c>
      <c r="G320" s="17">
        <f>项目总控台账!S69</f>
        <v>46227</v>
      </c>
      <c r="H320" s="70">
        <v>4</v>
      </c>
      <c r="I320" s="6" t="str">
        <f>IF(H320="","待估算",IF(E320="已完成","已结束",IF(AND(ISNUMBER(F320),ISNUMBER(G320),F320&lt;=项目驾驶舱!$B$3,G320&gt;=项目驾驶舱!$B$3),"进行中","计划中")))</f>
        <v>已结束</v>
      </c>
      <c r="J320" s="6" t="str">
        <f>IF(I320="待估算",IF(OR(F320="/",G320="/",F320="",G320=""),"补充计划日期","补充投入工时"),IF(AND(G320&lt;项目驾驶舱!$B$3,E320&lt;&gt;"已完成"),"确认延期和后续安排","按计划跟踪"))</f>
        <v>按计划跟踪</v>
      </c>
      <c r="K320" s="8"/>
      <c r="L320" t="s">
        <v>400</v>
      </c>
    </row>
    <row r="321" spans="1:12">
      <c r="A321" s="72" t="s">
        <v>400</v>
      </c>
      <c r="B321" s="6" t="str">
        <f>项目总控台账!A70</f>
        <v>T067</v>
      </c>
      <c r="C321" s="6" t="str">
        <f>IF(AND(项目总控台账!E70&lt;&gt;"",项目总控台账!E70&lt;&gt;"/"),项目总控台账!E70,IF(AND(项目总控台账!D70&lt;&gt;"",项目总控台账!D70&lt;&gt;"/"),项目总控台账!D70,项目总控台账!C70))</f>
        <v>装船作业货权跟踪</v>
      </c>
      <c r="D321" s="6" t="str">
        <f>项目总控台账!F70</f>
        <v>第一批次</v>
      </c>
      <c r="E321" s="6" t="str">
        <f>项目总控台账!G70</f>
        <v>已完成</v>
      </c>
      <c r="F321" s="17">
        <f>项目总控台账!R70</f>
        <v>46209</v>
      </c>
      <c r="G321" s="17">
        <f>项目总控台账!S70</f>
        <v>46227</v>
      </c>
      <c r="H321" s="70">
        <v>4</v>
      </c>
      <c r="I321" s="6" t="str">
        <f>IF(H321="","待估算",IF(E321="已完成","已结束",IF(AND(ISNUMBER(F321),ISNUMBER(G321),F321&lt;=项目驾驶舱!$B$3,G321&gt;=项目驾驶舱!$B$3),"进行中","计划中")))</f>
        <v>已结束</v>
      </c>
      <c r="J321" s="6" t="str">
        <f>IF(I321="待估算",IF(OR(F321="/",G321="/",F321="",G321=""),"补充计划日期","补充投入工时"),IF(AND(G321&lt;项目驾驶舱!$B$3,E321&lt;&gt;"已完成"),"确认延期和后续安排","按计划跟踪"))</f>
        <v>按计划跟踪</v>
      </c>
      <c r="K321" s="8"/>
      <c r="L321" t="s">
        <v>400</v>
      </c>
    </row>
    <row r="322" spans="1:12">
      <c r="B322" s="6" t="str">
        <f>项目总控台账!A71</f>
        <v>T068</v>
      </c>
      <c r="C322" s="6" t="str">
        <f>IF(AND(项目总控台账!E71&lt;&gt;"",项目总控台账!E71&lt;&gt;"/"),项目总控台账!E71,IF(AND(项目总控台账!D71&lt;&gt;"",项目总控台账!D71&lt;&gt;"/"),项目总控台账!D71,项目总控台账!C71))</f>
        <v>装船作业货权跟踪</v>
      </c>
      <c r="D322" s="6" t="str">
        <f>项目总控台账!F71</f>
        <v>第一批次</v>
      </c>
      <c r="E322" s="6" t="str">
        <f>项目总控台账!G71</f>
        <v>已完成</v>
      </c>
      <c r="F322" s="17">
        <f>项目总控台账!R71</f>
        <v>46209</v>
      </c>
      <c r="G322" s="17">
        <f>项目总控台账!S71</f>
        <v>46227</v>
      </c>
      <c r="H322" s="70">
        <v>4</v>
      </c>
      <c r="I322" s="6" t="str">
        <f>IF(H322="","待估算",IF(E322="已完成","已结束",IF(AND(ISNUMBER(F322),ISNUMBER(G322),F322&lt;=项目驾驶舱!$B$3,G322&gt;=项目驾驶舱!$B$3),"进行中","计划中")))</f>
        <v>已结束</v>
      </c>
      <c r="J322" s="6" t="str">
        <f>IF(I322="待估算",IF(OR(F322="/",G322="/",F322="",G322=""),"补充计划日期","补充投入工时"),IF(AND(G322&lt;项目驾驶舱!$B$3,E322&lt;&gt;"已完成"),"确认延期和后续安排","按计划跟踪"))</f>
        <v>按计划跟踪</v>
      </c>
      <c r="K322" s="8"/>
      <c r="L322" t="s">
        <v>400</v>
      </c>
    </row>
    <row r="323" spans="1:12">
      <c r="B323" s="6" t="str">
        <f>项目总控台账!A75</f>
        <v>T072</v>
      </c>
      <c r="C323" s="6" t="str">
        <f>IF(AND(项目总控台账!E75&lt;&gt;"",项目总控台账!E75&lt;&gt;"/"),项目总控台账!E75,IF(AND(项目总控台账!D75&lt;&gt;"",项目总控台账!D75&lt;&gt;"/"),项目总控台账!D75,项目总控台账!C75))</f>
        <v>OCR识别</v>
      </c>
      <c r="D323" s="6" t="str">
        <f>项目总控台账!F75</f>
        <v>第一批次</v>
      </c>
      <c r="E323" s="6" t="str">
        <f>项目总控台账!G75</f>
        <v>已完成</v>
      </c>
      <c r="F323" s="17">
        <f>项目总控台账!R75</f>
        <v>46209</v>
      </c>
      <c r="G323" s="17">
        <f>项目总控台账!S75</f>
        <v>46225</v>
      </c>
      <c r="H323" s="70">
        <v>4</v>
      </c>
      <c r="I323" s="6" t="str">
        <f>IF(H323="","待估算",IF(E323="已完成","已结束",IF(AND(ISNUMBER(F323),ISNUMBER(G323),F323&lt;=项目驾驶舱!$B$3,G323&gt;=项目驾驶舱!$B$3),"进行中","计划中")))</f>
        <v>已结束</v>
      </c>
      <c r="J323" s="6" t="str">
        <f>IF(I323="待估算",IF(OR(F323="/",G323="/",F323="",G323=""),"补充计划日期","补充投入工时"),IF(AND(G323&lt;项目驾驶舱!$B$3,E323&lt;&gt;"已完成"),"确认延期和后续安排","按计划跟踪"))</f>
        <v>按计划跟踪</v>
      </c>
      <c r="K323" s="8"/>
      <c r="L323" t="s">
        <v>400</v>
      </c>
    </row>
    <row r="324" spans="1:12">
      <c r="B324" s="6" t="str">
        <f>项目总控台账!A99</f>
        <v>T096</v>
      </c>
      <c r="C324" s="6" t="str">
        <f>IF(AND(项目总控台账!E99&lt;&gt;"",项目总控台账!E99&lt;&gt;"/"),项目总控台账!E99,IF(AND(项目总控台账!D99&lt;&gt;"",项目总控台账!D99&lt;&gt;"/"),项目总控台账!D99,项目总控台账!C99))</f>
        <v>自动生成装船港杂费</v>
      </c>
      <c r="D324" s="6" t="str">
        <f>项目总控台账!F99</f>
        <v>第一批次</v>
      </c>
      <c r="E324" s="6" t="str">
        <f>项目总控台账!G99</f>
        <v>已完成</v>
      </c>
      <c r="F324" s="17">
        <f>项目总控台账!R99</f>
        <v>46209</v>
      </c>
      <c r="G324" s="17">
        <f>项目总控台账!S99</f>
        <v>46225</v>
      </c>
      <c r="H324" s="70">
        <v>4</v>
      </c>
      <c r="I324" s="6" t="str">
        <f>IF(H324="","待估算",IF(E324="已完成","已结束",IF(AND(ISNUMBER(F324),ISNUMBER(G324),F324&lt;=项目驾驶舱!$B$3,G324&gt;=项目驾驶舱!$B$3),"进行中","计划中")))</f>
        <v>已结束</v>
      </c>
      <c r="J324" s="6" t="str">
        <f>IF(I324="待估算",IF(OR(F324="/",G324="/",F324="",G324=""),"补充计划日期","补充投入工时"),IF(AND(G324&lt;项目驾驶舱!$B$3,E324&lt;&gt;"已完成"),"确认延期和后续安排","按计划跟踪"))</f>
        <v>按计划跟踪</v>
      </c>
      <c r="K324" s="8"/>
      <c r="L324" t="s">
        <v>400</v>
      </c>
    </row>
    <row r="325" spans="1:12">
      <c r="B325" s="6" t="str">
        <f>项目总控台账!A76</f>
        <v>T073</v>
      </c>
      <c r="C325" s="6" t="str">
        <f>IF(AND(项目总控台账!E76&lt;&gt;"",项目总控台账!E76&lt;&gt;"/"),项目总控台账!E76,IF(AND(项目总控台账!D76&lt;&gt;"",项目总控台账!D76&lt;&gt;"/"),项目总控台账!D76,项目总控台账!C76))</f>
        <v>采样作业信息录入新增</v>
      </c>
      <c r="D325" s="6" t="str">
        <f>项目总控台账!F76</f>
        <v>第一批次</v>
      </c>
      <c r="E325" s="6" t="str">
        <f>项目总控台账!G76</f>
        <v>已完成</v>
      </c>
      <c r="F325" s="17">
        <f>项目总控台账!R76</f>
        <v>46227</v>
      </c>
      <c r="G325" s="17">
        <f>项目总控台账!S76</f>
        <v>46227</v>
      </c>
      <c r="H325" s="70">
        <v>1</v>
      </c>
      <c r="I325" s="6" t="str">
        <f>IF(H325="","待估算",IF(E325="已完成","已结束",IF(AND(ISNUMBER(F325),ISNUMBER(G325),F325&lt;=项目驾驶舱!$B$3,G325&gt;=项目驾驶舱!$B$3),"进行中","计划中")))</f>
        <v>已结束</v>
      </c>
      <c r="J325" s="6" t="str">
        <f>IF(I325="待估算",IF(OR(F325="/",G325="/",F325="",G325=""),"补充计划日期","补充投入工时"),IF(AND(G325&lt;项目驾驶舱!$B$3,E325&lt;&gt;"已完成"),"确认延期和后续安排","按计划跟踪"))</f>
        <v>按计划跟踪</v>
      </c>
      <c r="K325" s="8"/>
      <c r="L325" t="s">
        <v>400</v>
      </c>
    </row>
    <row r="326" spans="1:12">
      <c r="B326" s="6" t="str">
        <f>项目总控台账!A77</f>
        <v>T074</v>
      </c>
      <c r="C326" s="6" t="str">
        <f>IF(AND(项目总控台账!E77&lt;&gt;"",项目总控台账!E77&lt;&gt;"/"),项目总控台账!E77,IF(AND(项目总控台账!D77&lt;&gt;"",项目总控台账!D77&lt;&gt;"/"),项目总控台账!D77,项目总控台账!C77))</f>
        <v>采样作业信息录入编辑</v>
      </c>
      <c r="D326" s="6" t="str">
        <f>项目总控台账!F77</f>
        <v>第一批次</v>
      </c>
      <c r="E326" s="6" t="str">
        <f>项目总控台账!G77</f>
        <v>已完成</v>
      </c>
      <c r="F326" s="17">
        <f>项目总控台账!R77</f>
        <v>46227</v>
      </c>
      <c r="G326" s="17">
        <f>项目总控台账!S77</f>
        <v>46227</v>
      </c>
      <c r="H326" s="70">
        <v>1</v>
      </c>
      <c r="I326" s="6" t="str">
        <f>IF(H326="","待估算",IF(E326="已完成","已结束",IF(AND(ISNUMBER(F326),ISNUMBER(G326),F326&lt;=项目驾驶舱!$B$3,G326&gt;=项目驾驶舱!$B$3),"进行中","计划中")))</f>
        <v>已结束</v>
      </c>
      <c r="J326" s="6" t="str">
        <f>IF(I326="待估算",IF(OR(F326="/",G326="/",F326="",G326=""),"补充计划日期","补充投入工时"),IF(AND(G326&lt;项目驾驶舱!$B$3,E326&lt;&gt;"已完成"),"确认延期和后续安排","按计划跟踪"))</f>
        <v>按计划跟踪</v>
      </c>
      <c r="K326" s="8"/>
      <c r="L326" t="s">
        <v>400</v>
      </c>
    </row>
    <row r="327" spans="1:12">
      <c r="B327" s="6" t="str">
        <f>项目总控台账!A78</f>
        <v>T075</v>
      </c>
      <c r="C327" s="6" t="str">
        <f>IF(AND(项目总控台账!E78&lt;&gt;"",项目总控台账!E78&lt;&gt;"/"),项目总控台账!E78,IF(AND(项目总控台账!D78&lt;&gt;"",项目总控台账!D78&lt;&gt;"/"),项目总控台账!D78,项目总控台账!C78))</f>
        <v>采样作业信息录入详情</v>
      </c>
      <c r="D327" s="6" t="str">
        <f>项目总控台账!F78</f>
        <v>第一批次</v>
      </c>
      <c r="E327" s="6" t="str">
        <f>项目总控台账!G78</f>
        <v>已完成</v>
      </c>
      <c r="F327" s="17">
        <f>项目总控台账!R78</f>
        <v>46227</v>
      </c>
      <c r="G327" s="17">
        <f>项目总控台账!S78</f>
        <v>46227</v>
      </c>
      <c r="H327" s="70">
        <v>1</v>
      </c>
      <c r="I327" s="6" t="str">
        <f>IF(H327="","待估算",IF(E327="已完成","已结束",IF(AND(ISNUMBER(F327),ISNUMBER(G327),F327&lt;=项目驾驶舱!$B$3,G327&gt;=项目驾驶舱!$B$3),"进行中","计划中")))</f>
        <v>已结束</v>
      </c>
      <c r="J327" s="6" t="str">
        <f>IF(I327="待估算",IF(OR(F327="/",G327="/",F327="",G327=""),"补充计划日期","补充投入工时"),IF(AND(G327&lt;项目驾驶舱!$B$3,E327&lt;&gt;"已完成"),"确认延期和后续安排","按计划跟踪"))</f>
        <v>按计划跟踪</v>
      </c>
      <c r="K327" s="8"/>
      <c r="L327" t="s">
        <v>400</v>
      </c>
    </row>
    <row r="328" spans="1:12">
      <c r="B328" s="6" t="str">
        <f>项目总控台账!A79</f>
        <v>T076</v>
      </c>
      <c r="C328" s="6" t="str">
        <f>IF(AND(项目总控台账!E79&lt;&gt;"",项目总控台账!E79&lt;&gt;"/"),项目总控台账!E79,IF(AND(项目总控台账!D79&lt;&gt;"",项目总控台账!D79&lt;&gt;"/"),项目总控台账!D79,项目总控台账!C79))</f>
        <v>采样作业信息录入删除</v>
      </c>
      <c r="D328" s="6" t="str">
        <f>项目总控台账!F79</f>
        <v>第一批次</v>
      </c>
      <c r="E328" s="6" t="str">
        <f>项目总控台账!G79</f>
        <v>已完成</v>
      </c>
      <c r="F328" s="17">
        <f>项目总控台账!R79</f>
        <v>46227</v>
      </c>
      <c r="G328" s="17">
        <f>项目总控台账!S79</f>
        <v>46227</v>
      </c>
      <c r="H328" s="70">
        <v>1</v>
      </c>
      <c r="I328" s="6" t="str">
        <f>IF(H328="","待估算",IF(E328="已完成","已结束",IF(AND(ISNUMBER(F328),ISNUMBER(G328),F328&lt;=项目驾驶舱!$B$3,G328&gt;=项目驾驶舱!$B$3),"进行中","计划中")))</f>
        <v>已结束</v>
      </c>
      <c r="J328" s="6" t="str">
        <f>IF(I328="待估算",IF(OR(F328="/",G328="/",F328="",G328=""),"补充计划日期","补充投入工时"),IF(AND(G328&lt;项目驾驶舱!$B$3,E328&lt;&gt;"已完成"),"确认延期和后续安排","按计划跟踪"))</f>
        <v>按计划跟踪</v>
      </c>
      <c r="K328" s="8"/>
      <c r="L328" t="s">
        <v>400</v>
      </c>
    </row>
    <row r="329" spans="1:12">
      <c r="B329" s="6" t="str">
        <f>项目总控台账!A80</f>
        <v>T077</v>
      </c>
      <c r="C329" s="6" t="str">
        <f>IF(AND(项目总控台账!E80&lt;&gt;"",项目总控台账!E80&lt;&gt;"/"),项目总控台账!E80,IF(AND(项目总控台账!D80&lt;&gt;"",项目总控台账!D80&lt;&gt;"/"),项目总控台账!D80,项目总控台账!C80))</f>
        <v>采样作业信息录入列表</v>
      </c>
      <c r="D329" s="6" t="str">
        <f>项目总控台账!F80</f>
        <v>第一批次</v>
      </c>
      <c r="E329" s="6" t="str">
        <f>项目总控台账!G80</f>
        <v>已完成</v>
      </c>
      <c r="F329" s="17">
        <f>项目总控台账!R80</f>
        <v>46227</v>
      </c>
      <c r="G329" s="17">
        <f>项目总控台账!S80</f>
        <v>46227</v>
      </c>
      <c r="H329" s="70">
        <v>1</v>
      </c>
      <c r="I329" s="6" t="str">
        <f>IF(H329="","待估算",IF(E329="已完成","已结束",IF(AND(ISNUMBER(F329),ISNUMBER(G329),F329&lt;=项目驾驶舱!$B$3,G329&gt;=项目驾驶舱!$B$3),"进行中","计划中")))</f>
        <v>已结束</v>
      </c>
      <c r="J329" s="6" t="str">
        <f>IF(I329="待估算",IF(OR(F329="/",G329="/",F329="",G329=""),"补充计划日期","补充投入工时"),IF(AND(G329&lt;项目驾驶舱!$B$3,E329&lt;&gt;"已完成"),"确认延期和后续安排","按计划跟踪"))</f>
        <v>按计划跟踪</v>
      </c>
      <c r="K329" s="8"/>
      <c r="L329" t="s">
        <v>400</v>
      </c>
    </row>
    <row r="330" spans="1:12">
      <c r="B330" s="6" t="str">
        <f>项目总控台账!A100</f>
        <v>T097</v>
      </c>
      <c r="C330" s="6" t="str">
        <f>IF(AND(项目总控台账!E100&lt;&gt;"",项目总控台账!E100&lt;&gt;"/"),项目总控台账!E100,IF(AND(项目总控台账!D100&lt;&gt;"",项目总控台账!D100&lt;&gt;"/"),项目总控台账!D100,项目总控台账!C100))</f>
        <v>自动生成租赁费</v>
      </c>
      <c r="D330" s="6" t="str">
        <f>项目总控台账!F100</f>
        <v>第一批次</v>
      </c>
      <c r="E330" s="6" t="str">
        <f>项目总控台账!G100</f>
        <v>已完成</v>
      </c>
      <c r="F330" s="17">
        <f>项目总控台账!R100</f>
        <v>46227</v>
      </c>
      <c r="G330" s="17">
        <f>项目总控台账!S100</f>
        <v>46227</v>
      </c>
      <c r="H330" s="70">
        <v>1</v>
      </c>
      <c r="I330" s="6" t="str">
        <f>IF(H330="","待估算",IF(E330="已完成","已结束",IF(AND(ISNUMBER(F330),ISNUMBER(G330),F330&lt;=项目驾驶舱!$B$3,G330&gt;=项目驾驶舱!$B$3),"进行中","计划中")))</f>
        <v>已结束</v>
      </c>
      <c r="J330" s="6" t="str">
        <f>IF(I330="待估算",IF(OR(F330="/",G330="/",F330="",G330=""),"补充计划日期","补充投入工时"),IF(AND(G330&lt;项目驾驶舱!$B$3,E330&lt;&gt;"已完成"),"确认延期和后续安排","按计划跟踪"))</f>
        <v>按计划跟踪</v>
      </c>
      <c r="K330" s="8"/>
      <c r="L330" t="s">
        <v>400</v>
      </c>
    </row>
    <row r="331" spans="1:12">
      <c r="B331" s="6" t="str">
        <f>项目总控台账!A101</f>
        <v>T098</v>
      </c>
      <c r="C331" s="6" t="str">
        <f>IF(AND(项目总控台账!E101&lt;&gt;"",项目总控台账!E101&lt;&gt;"/"),项目总控台账!E101,IF(AND(项目总控台账!D101&lt;&gt;"",项目总控台账!D101&lt;&gt;"/"),项目总控台账!D101,项目总控台账!C101))</f>
        <v>优化装卸费新增</v>
      </c>
      <c r="D331" s="6" t="str">
        <f>项目总控台账!F101</f>
        <v>第一批次</v>
      </c>
      <c r="E331" s="6" t="str">
        <f>项目总控台账!G101</f>
        <v>已完成</v>
      </c>
      <c r="F331" s="17">
        <f>项目总控台账!R101</f>
        <v>46227</v>
      </c>
      <c r="G331" s="17">
        <f>项目总控台账!S101</f>
        <v>46227</v>
      </c>
      <c r="H331" s="70">
        <v>1</v>
      </c>
      <c r="I331" s="6" t="str">
        <f>IF(H331="","待估算",IF(E331="已完成","已结束",IF(AND(ISNUMBER(F331),ISNUMBER(G331),F331&lt;=项目驾驶舱!$B$3,G331&gt;=项目驾驶舱!$B$3),"进行中","计划中")))</f>
        <v>已结束</v>
      </c>
      <c r="J331" s="6" t="str">
        <f>IF(I331="待估算",IF(OR(F331="/",G331="/",F331="",G331=""),"补充计划日期","补充投入工时"),IF(AND(G331&lt;项目驾驶舱!$B$3,E331&lt;&gt;"已完成"),"确认延期和后续安排","按计划跟踪"))</f>
        <v>按计划跟踪</v>
      </c>
      <c r="K331" s="8"/>
      <c r="L331" t="s">
        <v>400</v>
      </c>
    </row>
    <row r="332" spans="1:12">
      <c r="A332" s="71"/>
      <c r="B332" s="6" t="str">
        <f>项目总控台账!A102</f>
        <v>T099</v>
      </c>
      <c r="C332" s="6" t="str">
        <f>IF(AND(项目总控台账!E102&lt;&gt;"",项目总控台账!E102&lt;&gt;"/"),项目总控台账!E102,IF(AND(项目总控台账!D102&lt;&gt;"",项目总控台账!D102&lt;&gt;"/"),项目总控台账!D102,项目总控台账!C102))</f>
        <v>优化装卸费编辑</v>
      </c>
      <c r="D332" s="6" t="str">
        <f>项目总控台账!F102</f>
        <v>第一批次</v>
      </c>
      <c r="E332" s="6" t="str">
        <f>项目总控台账!G102</f>
        <v>已完成</v>
      </c>
      <c r="F332" s="17">
        <f>项目总控台账!R102</f>
        <v>46227</v>
      </c>
      <c r="G332" s="17">
        <f>项目总控台账!S102</f>
        <v>46227</v>
      </c>
      <c r="H332" s="70">
        <v>1</v>
      </c>
      <c r="I332" s="6" t="str">
        <f>IF(H332="","待估算",IF(E332="已完成","已结束",IF(AND(ISNUMBER(F332),ISNUMBER(G332),F332&lt;=项目驾驶舱!$B$3,G332&gt;=项目驾驶舱!$B$3),"进行中","计划中")))</f>
        <v>已结束</v>
      </c>
      <c r="J332" s="6" t="str">
        <f>IF(I332="待估算",IF(OR(F332="/",G332="/",F332="",G332=""),"补充计划日期","补充投入工时"),IF(AND(G332&lt;项目驾驶舱!$B$3,E332&lt;&gt;"已完成"),"确认延期和后续安排","按计划跟踪"))</f>
        <v>按计划跟踪</v>
      </c>
      <c r="K332" s="8"/>
      <c r="L332" t="s">
        <v>400</v>
      </c>
    </row>
    <row r="333" spans="1:12">
      <c r="A333" s="72" t="s">
        <v>400</v>
      </c>
      <c r="B333" s="6" t="str">
        <f>项目总控台账!A40</f>
        <v>T037</v>
      </c>
      <c r="C333" s="6" t="str">
        <f>IF(AND(项目总控台账!E40&lt;&gt;"",项目总控台账!E40&lt;&gt;"/"),项目总控台账!E40,IF(AND(项目总控台账!D40&lt;&gt;"",项目总控台账!D40&lt;&gt;"/"),项目总控台账!D40,项目总控台账!C40))</f>
        <v>创建卸车流程</v>
      </c>
      <c r="D333" s="6" t="str">
        <f>项目总控台账!F40</f>
        <v>第一批次</v>
      </c>
      <c r="E333" s="6" t="str">
        <f>项目总控台账!G40</f>
        <v>已完成</v>
      </c>
      <c r="F333" s="17">
        <f>项目总控台账!R40</f>
        <v>46230</v>
      </c>
      <c r="G333" s="17">
        <f>项目总控台账!S40</f>
        <v>46262</v>
      </c>
      <c r="H333" s="70">
        <v>9.5</v>
      </c>
      <c r="I333" s="6" t="str">
        <f>IF(H333="","待估算",IF(E333="已完成","已结束",IF(AND(ISNUMBER(F333),ISNUMBER(G333),F333&lt;=项目驾驶舱!$B$3,G333&gt;=项目驾驶舱!$B$3),"进行中","计划中")))</f>
        <v>已结束</v>
      </c>
      <c r="J333" s="6" t="str">
        <f>IF(I333="待估算",IF(OR(F333="/",G333="/",F333="",G333=""),"补充计划日期","补充投入工时"),IF(AND(G333&lt;项目驾驶舱!$B$3,E333&lt;&gt;"已完成"),"确认延期和后续安排","按计划跟踪"))</f>
        <v>按计划跟踪</v>
      </c>
      <c r="K333" s="8"/>
      <c r="L333" t="s">
        <v>400</v>
      </c>
    </row>
    <row r="334" spans="1:12">
      <c r="B334" s="6" t="str">
        <f>项目总控台账!A41</f>
        <v>T038</v>
      </c>
      <c r="C334" s="6" t="str">
        <f>IF(AND(项目总控台账!E41&lt;&gt;"",项目总控台账!E41&lt;&gt;"/"),项目总控台账!E41,IF(AND(项目总控台账!D41&lt;&gt;"",项目总控台账!D41&lt;&gt;"/"),项目总控台账!D41,项目总控台账!C41))</f>
        <v>查询卸车流程</v>
      </c>
      <c r="D334" s="6" t="str">
        <f>项目总控台账!F41</f>
        <v>第一批次</v>
      </c>
      <c r="E334" s="6" t="str">
        <f>项目总控台账!G41</f>
        <v>已完成</v>
      </c>
      <c r="F334" s="17">
        <f>项目总控台账!R41</f>
        <v>46230</v>
      </c>
      <c r="G334" s="17">
        <f>项目总控台账!S41</f>
        <v>46262</v>
      </c>
      <c r="H334" s="70">
        <v>9.5</v>
      </c>
      <c r="I334" s="6" t="str">
        <f>IF(H334="","待估算",IF(E334="已完成","已结束",IF(AND(ISNUMBER(F334),ISNUMBER(G334),F334&lt;=项目驾驶舱!$B$3,G334&gt;=项目驾驶舱!$B$3),"进行中","计划中")))</f>
        <v>已结束</v>
      </c>
      <c r="J334" s="6" t="str">
        <f>IF(I334="待估算",IF(OR(F334="/",G334="/",F334="",G334=""),"补充计划日期","补充投入工时"),IF(AND(G334&lt;项目驾驶舱!$B$3,E334&lt;&gt;"已完成"),"确认延期和后续安排","按计划跟踪"))</f>
        <v>按计划跟踪</v>
      </c>
      <c r="K334" s="8"/>
      <c r="L334" t="s">
        <v>400</v>
      </c>
    </row>
    <row r="335" spans="1:12">
      <c r="B335" s="6" t="str">
        <f>项目总控台账!A42</f>
        <v>T039</v>
      </c>
      <c r="C335" s="6" t="str">
        <f>IF(AND(项目总控台账!E42&lt;&gt;"",项目总控台账!E42&lt;&gt;"/"),项目总控台账!E42,IF(AND(项目总控台账!D42&lt;&gt;"",项目总控台账!D42&lt;&gt;"/"),项目总控台账!D42,项目总控台账!C42))</f>
        <v>修改卸车流程</v>
      </c>
      <c r="D335" s="6" t="str">
        <f>项目总控台账!F42</f>
        <v>第一批次</v>
      </c>
      <c r="E335" s="6" t="str">
        <f>项目总控台账!G42</f>
        <v>已完成</v>
      </c>
      <c r="F335" s="17">
        <f>项目总控台账!R42</f>
        <v>46230</v>
      </c>
      <c r="G335" s="17">
        <f>项目总控台账!S42</f>
        <v>46262</v>
      </c>
      <c r="H335" s="70">
        <v>8.5</v>
      </c>
      <c r="I335" s="6" t="str">
        <f>IF(H335="","待估算",IF(E335="已完成","已结束",IF(AND(ISNUMBER(F335),ISNUMBER(G335),F335&lt;=项目驾驶舱!$B$3,G335&gt;=项目驾驶舱!$B$3),"进行中","计划中")))</f>
        <v>已结束</v>
      </c>
      <c r="J335" s="6" t="str">
        <f>IF(I335="待估算",IF(OR(F335="/",G335="/",F335="",G335=""),"补充计划日期","补充投入工时"),IF(AND(G335&lt;项目驾驶舱!$B$3,E335&lt;&gt;"已完成"),"确认延期和后续安排","按计划跟踪"))</f>
        <v>按计划跟踪</v>
      </c>
      <c r="K335" s="8"/>
      <c r="L335" t="s">
        <v>400</v>
      </c>
    </row>
    <row r="336" spans="1:12">
      <c r="B336" s="6" t="str">
        <f>项目总控台账!A43</f>
        <v>T040</v>
      </c>
      <c r="C336" s="6" t="str">
        <f>IF(AND(项目总控台账!E43&lt;&gt;"",项目总控台账!E43&lt;&gt;"/"),项目总控台账!E43,IF(AND(项目总控台账!D43&lt;&gt;"",项目总控台账!D43&lt;&gt;"/"),项目总控台账!D43,项目总控台账!C43))</f>
        <v>创建装船流程</v>
      </c>
      <c r="D336" s="6" t="str">
        <f>项目总控台账!F43</f>
        <v>第一批次</v>
      </c>
      <c r="E336" s="6" t="str">
        <f>项目总控台账!G43</f>
        <v>已完成</v>
      </c>
      <c r="F336" s="17">
        <f>项目总控台账!R43</f>
        <v>46230</v>
      </c>
      <c r="G336" s="17">
        <f>项目总控台账!S43</f>
        <v>46262</v>
      </c>
      <c r="H336" s="70">
        <v>8.5</v>
      </c>
      <c r="I336" s="6" t="str">
        <f>IF(H336="","待估算",IF(E336="已完成","已结束",IF(AND(ISNUMBER(F336),ISNUMBER(G336),F336&lt;=项目驾驶舱!$B$3,G336&gt;=项目驾驶舱!$B$3),"进行中","计划中")))</f>
        <v>已结束</v>
      </c>
      <c r="J336" s="6" t="str">
        <f>IF(I336="待估算",IF(OR(F336="/",G336="/",F336="",G336=""),"补充计划日期","补充投入工时"),IF(AND(G336&lt;项目驾驶舱!$B$3,E336&lt;&gt;"已完成"),"确认延期和后续安排","按计划跟踪"))</f>
        <v>按计划跟踪</v>
      </c>
      <c r="K336" s="8"/>
      <c r="L336" t="s">
        <v>400</v>
      </c>
    </row>
    <row r="337" spans="1:12">
      <c r="B337" s="6" t="str">
        <f>项目总控台账!A44</f>
        <v>T041</v>
      </c>
      <c r="C337" s="6" t="str">
        <f>IF(AND(项目总控台账!E44&lt;&gt;"",项目总控台账!E44&lt;&gt;"/"),项目总控台账!E44,IF(AND(项目总控台账!D44&lt;&gt;"",项目总控台账!D44&lt;&gt;"/"),项目总控台账!D44,项目总控台账!C44))</f>
        <v>查询装船流程</v>
      </c>
      <c r="D337" s="6" t="str">
        <f>项目总控台账!F44</f>
        <v>第一批次</v>
      </c>
      <c r="E337" s="6" t="str">
        <f>项目总控台账!G44</f>
        <v>已完成</v>
      </c>
      <c r="F337" s="17">
        <f>项目总控台账!R44</f>
        <v>46230</v>
      </c>
      <c r="G337" s="17">
        <f>项目总控台账!S44</f>
        <v>46262</v>
      </c>
      <c r="H337" s="70">
        <v>8.5</v>
      </c>
      <c r="I337" s="6" t="str">
        <f>IF(H337="","待估算",IF(E337="已完成","已结束",IF(AND(ISNUMBER(F337),ISNUMBER(G337),F337&lt;=项目驾驶舱!$B$3,G337&gt;=项目驾驶舱!$B$3),"进行中","计划中")))</f>
        <v>已结束</v>
      </c>
      <c r="J337" s="6" t="str">
        <f>IF(I337="待估算",IF(OR(F337="/",G337="/",F337="",G337=""),"补充计划日期","补充投入工时"),IF(AND(G337&lt;项目驾驶舱!$B$3,E337&lt;&gt;"已完成"),"确认延期和后续安排","按计划跟踪"))</f>
        <v>按计划跟踪</v>
      </c>
      <c r="K337" s="8"/>
      <c r="L337" t="s">
        <v>400</v>
      </c>
    </row>
    <row r="338" spans="1:12">
      <c r="B338" s="6" t="str">
        <f>项目总控台账!A45</f>
        <v>T042</v>
      </c>
      <c r="C338" s="6" t="str">
        <f>IF(AND(项目总控台账!E45&lt;&gt;"",项目总控台账!E45&lt;&gt;"/"),项目总控台账!E45,IF(AND(项目总控台账!D45&lt;&gt;"",项目总控台账!D45&lt;&gt;"/"),项目总控台账!D45,项目总控台账!C45))</f>
        <v>修改装船流程</v>
      </c>
      <c r="D338" s="6" t="str">
        <f>项目总控台账!F45</f>
        <v>第一批次</v>
      </c>
      <c r="E338" s="6" t="str">
        <f>项目总控台账!G45</f>
        <v>已完成</v>
      </c>
      <c r="F338" s="17">
        <f>项目总控台账!R45</f>
        <v>46230</v>
      </c>
      <c r="G338" s="17">
        <f>项目总控台账!S45</f>
        <v>46262</v>
      </c>
      <c r="H338" s="70">
        <v>8.5</v>
      </c>
      <c r="I338" s="6" t="str">
        <f>IF(H338="","待估算",IF(E338="已完成","已结束",IF(AND(ISNUMBER(F338),ISNUMBER(G338),F338&lt;=项目驾驶舱!$B$3,G338&gt;=项目驾驶舱!$B$3),"进行中","计划中")))</f>
        <v>已结束</v>
      </c>
      <c r="J338" s="6" t="str">
        <f>IF(I338="待估算",IF(OR(F338="/",G338="/",F338="",G338=""),"补充计划日期","补充投入工时"),IF(AND(G338&lt;项目驾驶舱!$B$3,E338&lt;&gt;"已完成"),"确认延期和后续安排","按计划跟踪"))</f>
        <v>按计划跟踪</v>
      </c>
      <c r="K338" s="8"/>
      <c r="L338" t="s">
        <v>400</v>
      </c>
    </row>
    <row r="339" spans="1:12">
      <c r="B339" s="6" t="str">
        <f>项目总控台账!A46</f>
        <v>T043</v>
      </c>
      <c r="C339" s="6" t="str">
        <f>IF(AND(项目总控台账!E46&lt;&gt;"",项目总控台账!E46&lt;&gt;"/"),项目总控台账!E46,IF(AND(项目总控台账!D46&lt;&gt;"",项目总控台账!D46&lt;&gt;"/"),项目总控台账!D46,项目总控台账!C46))</f>
        <v>创建卸船流程</v>
      </c>
      <c r="D339" s="6" t="str">
        <f>项目总控台账!F46</f>
        <v>第二批次</v>
      </c>
      <c r="E339" s="6" t="str">
        <f>项目总控台账!G46</f>
        <v>已完成</v>
      </c>
      <c r="F339" s="17">
        <f>项目总控台账!R46</f>
        <v>46230</v>
      </c>
      <c r="G339" s="17">
        <f>项目总控台账!S46</f>
        <v>46262</v>
      </c>
      <c r="H339" s="70">
        <v>8.5</v>
      </c>
      <c r="I339" s="6" t="str">
        <f>IF(H339="","待估算",IF(E339="已完成","已结束",IF(AND(ISNUMBER(F339),ISNUMBER(G339),F339&lt;=项目驾驶舱!$B$3,G339&gt;=项目驾驶舱!$B$3),"进行中","计划中")))</f>
        <v>已结束</v>
      </c>
      <c r="J339" s="6" t="str">
        <f>IF(I339="待估算",IF(OR(F339="/",G339="/",F339="",G339=""),"补充计划日期","补充投入工时"),IF(AND(G339&lt;项目驾驶舱!$B$3,E339&lt;&gt;"已完成"),"确认延期和后续安排","按计划跟踪"))</f>
        <v>按计划跟踪</v>
      </c>
      <c r="K339" s="8"/>
      <c r="L339" t="s">
        <v>400</v>
      </c>
    </row>
    <row r="340" spans="1:12">
      <c r="B340" s="6" t="str">
        <f>项目总控台账!A47</f>
        <v>T044</v>
      </c>
      <c r="C340" s="6" t="str">
        <f>IF(AND(项目总控台账!E47&lt;&gt;"",项目总控台账!E47&lt;&gt;"/"),项目总控台账!E47,IF(AND(项目总控台账!D47&lt;&gt;"",项目总控台账!D47&lt;&gt;"/"),项目总控台账!D47,项目总控台账!C47))</f>
        <v>查询卸船流程</v>
      </c>
      <c r="D340" s="6" t="str">
        <f>项目总控台账!F47</f>
        <v>第二批次</v>
      </c>
      <c r="E340" s="6" t="str">
        <f>项目总控台账!G47</f>
        <v>已完成</v>
      </c>
      <c r="F340" s="17">
        <f>项目总控台账!R47</f>
        <v>46230</v>
      </c>
      <c r="G340" s="17">
        <f>项目总控台账!S47</f>
        <v>46262</v>
      </c>
      <c r="H340" s="70">
        <v>8.5</v>
      </c>
      <c r="I340" s="6" t="str">
        <f>IF(H340="","待估算",IF(E340="已完成","已结束",IF(AND(ISNUMBER(F340),ISNUMBER(G340),F340&lt;=项目驾驶舱!$B$3,G340&gt;=项目驾驶舱!$B$3),"进行中","计划中")))</f>
        <v>已结束</v>
      </c>
      <c r="J340" s="6" t="str">
        <f>IF(I340="待估算",IF(OR(F340="/",G340="/",F340="",G340=""),"补充计划日期","补充投入工时"),IF(AND(G340&lt;项目驾驶舱!$B$3,E340&lt;&gt;"已完成"),"确认延期和后续安排","按计划跟踪"))</f>
        <v>按计划跟踪</v>
      </c>
      <c r="K340" s="8"/>
      <c r="L340" t="s">
        <v>400</v>
      </c>
    </row>
    <row r="341" spans="1:12">
      <c r="B341" s="6" t="str">
        <f>项目总控台账!A48</f>
        <v>T045</v>
      </c>
      <c r="C341" s="6" t="str">
        <f>IF(AND(项目总控台账!E48&lt;&gt;"",项目总控台账!E48&lt;&gt;"/"),项目总控台账!E48,IF(AND(项目总控台账!D48&lt;&gt;"",项目总控台账!D48&lt;&gt;"/"),项目总控台账!D48,项目总控台账!C48))</f>
        <v>修改卸船流程</v>
      </c>
      <c r="D341" s="6" t="str">
        <f>项目总控台账!F48</f>
        <v>第二批次</v>
      </c>
      <c r="E341" s="6" t="str">
        <f>项目总控台账!G48</f>
        <v>已完成</v>
      </c>
      <c r="F341" s="17">
        <f>项目总控台账!R48</f>
        <v>46230</v>
      </c>
      <c r="G341" s="17">
        <f>项目总控台账!S48</f>
        <v>46262</v>
      </c>
      <c r="H341" s="70">
        <v>8</v>
      </c>
      <c r="I341" s="6" t="str">
        <f>IF(H341="","待估算",IF(E341="已完成","已结束",IF(AND(ISNUMBER(F341),ISNUMBER(G341),F341&lt;=项目驾驶舱!$B$3,G341&gt;=项目驾驶舱!$B$3),"进行中","计划中")))</f>
        <v>已结束</v>
      </c>
      <c r="J341" s="6" t="str">
        <f>IF(I341="待估算",IF(OR(F341="/",G341="/",F341="",G341=""),"补充计划日期","补充投入工时"),IF(AND(G341&lt;项目驾驶舱!$B$3,E341&lt;&gt;"已完成"),"确认延期和后续安排","按计划跟踪"))</f>
        <v>按计划跟踪</v>
      </c>
      <c r="K341" s="8"/>
      <c r="L341" t="s">
        <v>400</v>
      </c>
    </row>
    <row r="342" spans="1:12">
      <c r="B342" s="6" t="str">
        <f>项目总控台账!A62</f>
        <v>T059</v>
      </c>
      <c r="C342" s="6" t="str">
        <f>IF(AND(项目总控台账!E62&lt;&gt;"",项目总控台账!E62&lt;&gt;"/"),项目总控台账!E62,IF(AND(项目总控台账!D62&lt;&gt;"",项目总控台账!D62&lt;&gt;"/"),项目总控台账!D62,项目总控台账!C62))</f>
        <v>优化新增装车作业信息</v>
      </c>
      <c r="D342" s="6" t="str">
        <f>项目总控台账!F62</f>
        <v>第一批次</v>
      </c>
      <c r="E342" s="6" t="str">
        <f>项目总控台账!G62</f>
        <v>已完成</v>
      </c>
      <c r="F342" s="17">
        <f>项目总控台账!R62</f>
        <v>46230</v>
      </c>
      <c r="G342" s="17">
        <f>项目总控台账!S62</f>
        <v>46241</v>
      </c>
      <c r="H342" s="70">
        <v>3</v>
      </c>
      <c r="I342" s="6" t="str">
        <f>IF(H342="","待估算",IF(E342="已完成","已结束",IF(AND(ISNUMBER(F342),ISNUMBER(G342),F342&lt;=项目驾驶舱!$B$3,G342&gt;=项目驾驶舱!$B$3),"进行中","计划中")))</f>
        <v>已结束</v>
      </c>
      <c r="J342" s="6" t="str">
        <f>IF(I342="待估算",IF(OR(F342="/",G342="/",F342="",G342=""),"补充计划日期","补充投入工时"),IF(AND(G342&lt;项目驾驶舱!$B$3,E342&lt;&gt;"已完成"),"确认延期和后续安排","按计划跟踪"))</f>
        <v>按计划跟踪</v>
      </c>
      <c r="K342" s="8"/>
      <c r="L342" t="s">
        <v>400</v>
      </c>
    </row>
    <row r="343" spans="1:12">
      <c r="B343" s="6" t="str">
        <f>项目总控台账!A107</f>
        <v>T104</v>
      </c>
      <c r="C343" s="6" t="str">
        <f>IF(AND(项目总控台账!E107&lt;&gt;"",项目总控台账!E107&lt;&gt;"/"),项目总控台账!E107,IF(AND(项目总控台账!D107&lt;&gt;"",项目总控台账!D107&lt;&gt;"/"),项目总控台账!D107,项目总控台账!C107))</f>
        <v>吞吐量统计（曹妃甸）</v>
      </c>
      <c r="D343" s="6" t="str">
        <f>项目总控台账!F107</f>
        <v>第一批次</v>
      </c>
      <c r="E343" s="6" t="str">
        <f>项目总控台账!G107</f>
        <v>已完成</v>
      </c>
      <c r="F343" s="17">
        <f>项目总控台账!R107</f>
        <v>46230</v>
      </c>
      <c r="G343" s="17">
        <f>项目总控台账!S107</f>
        <v>46262</v>
      </c>
      <c r="H343" s="70">
        <v>8</v>
      </c>
      <c r="I343" s="6" t="str">
        <f>IF(H343="","待估算",IF(E343="已完成","已结束",IF(AND(ISNUMBER(F343),ISNUMBER(G343),F343&lt;=项目驾驶舱!$B$3,G343&gt;=项目驾驶舱!$B$3),"进行中","计划中")))</f>
        <v>已结束</v>
      </c>
      <c r="J343" s="6" t="str">
        <f>IF(I343="待估算",IF(OR(F343="/",G343="/",F343="",G343=""),"补充计划日期","补充投入工时"),IF(AND(G343&lt;项目驾驶舱!$B$3,E343&lt;&gt;"已完成"),"确认延期和后续安排","按计划跟踪"))</f>
        <v>按计划跟踪</v>
      </c>
      <c r="K343" s="8"/>
      <c r="L343" t="s">
        <v>400</v>
      </c>
    </row>
    <row r="344" spans="1:12">
      <c r="A344" s="71"/>
      <c r="B344" s="6" t="str">
        <f>项目总控台账!A108</f>
        <v>T105</v>
      </c>
      <c r="C344" s="6" t="str">
        <f>IF(AND(项目总控台账!E108&lt;&gt;"",项目总控台账!E108&lt;&gt;"/"),项目总控台账!E108,IF(AND(项目总控台账!D108&lt;&gt;"",项目总控台账!D108&lt;&gt;"/"),项目总控台账!D108,项目总控台账!C108))</f>
        <v>泊位占用率分析（曹妃甸）</v>
      </c>
      <c r="D344" s="6" t="str">
        <f>项目总控台账!F108</f>
        <v>第一批次</v>
      </c>
      <c r="E344" s="6" t="str">
        <f>项目总控台账!G108</f>
        <v>已完成</v>
      </c>
      <c r="F344" s="17">
        <f>项目总控台账!R108</f>
        <v>46230</v>
      </c>
      <c r="G344" s="17">
        <f>项目总控台账!S108</f>
        <v>46262</v>
      </c>
      <c r="H344" s="70">
        <v>8</v>
      </c>
      <c r="I344" s="6" t="str">
        <f>IF(H344="","待估算",IF(E344="已完成","已结束",IF(AND(ISNUMBER(F344),ISNUMBER(G344),F344&lt;=项目驾驶舱!$B$3,G344&gt;=项目驾驶舱!$B$3),"进行中","计划中")))</f>
        <v>已结束</v>
      </c>
      <c r="J344" s="6" t="str">
        <f>IF(I344="待估算",IF(OR(F344="/",G344="/",F344="",G344=""),"补充计划日期","补充投入工时"),IF(AND(G344&lt;项目驾驶舱!$B$3,E344&lt;&gt;"已完成"),"确认延期和后续安排","按计划跟踪"))</f>
        <v>按计划跟踪</v>
      </c>
      <c r="K344" s="8"/>
      <c r="L344" t="s">
        <v>400</v>
      </c>
    </row>
    <row r="345" spans="1:12">
      <c r="A345" s="72" t="s">
        <v>400</v>
      </c>
      <c r="B345" s="6" t="str">
        <f>项目总控台账!A109</f>
        <v>T106</v>
      </c>
      <c r="C345" s="6" t="str">
        <f>IF(AND(项目总控台账!E109&lt;&gt;"",项目总控台账!E109&lt;&gt;"/"),项目总控台账!E109,IF(AND(项目总控台账!D109&lt;&gt;"",项目总控台账!D109&lt;&gt;"/"),项目总控台账!D109,项目总控台账!C109))</f>
        <v>堆存库存统计（曹妃甸）</v>
      </c>
      <c r="D345" s="6" t="str">
        <f>项目总控台账!F109</f>
        <v>第一批次</v>
      </c>
      <c r="E345" s="6" t="str">
        <f>项目总控台账!G109</f>
        <v>已完成</v>
      </c>
      <c r="F345" s="17">
        <f>项目总控台账!R109</f>
        <v>46230</v>
      </c>
      <c r="G345" s="17">
        <f>项目总控台账!S109</f>
        <v>46262</v>
      </c>
      <c r="H345" s="70">
        <v>7.5</v>
      </c>
      <c r="I345" s="6" t="str">
        <f>IF(H345="","待估算",IF(E345="已完成","已结束",IF(AND(ISNUMBER(F345),ISNUMBER(G345),F345&lt;=项目驾驶舱!$B$3,G345&gt;=项目驾驶舱!$B$3),"进行中","计划中")))</f>
        <v>已结束</v>
      </c>
      <c r="J345" s="6" t="str">
        <f>IF(I345="待估算",IF(OR(F345="/",G345="/",F345="",G345=""),"补充计划日期","补充投入工时"),IF(AND(G345&lt;项目驾驶舱!$B$3,E345&lt;&gt;"已完成"),"确认延期和后续安排","按计划跟踪"))</f>
        <v>按计划跟踪</v>
      </c>
      <c r="K345" s="8"/>
      <c r="L345" t="s">
        <v>400</v>
      </c>
    </row>
    <row r="346" spans="1:12">
      <c r="B346" s="6" t="str">
        <f>项目总控台账!A110</f>
        <v>T107</v>
      </c>
      <c r="C346" s="6" t="str">
        <f>IF(AND(项目总控台账!E110&lt;&gt;"",项目总控台账!E110&lt;&gt;"/"),项目总控台账!E110,IF(AND(项目总控台账!D110&lt;&gt;"",项目总控台账!D110&lt;&gt;"/"),项目总控台账!D110,项目总控台账!C110))</f>
        <v>分货主实时统计表（曹妃甸）</v>
      </c>
      <c r="D346" s="6" t="str">
        <f>项目总控台账!F110</f>
        <v>第一批次</v>
      </c>
      <c r="E346" s="6" t="str">
        <f>项目总控台账!G110</f>
        <v>已完成</v>
      </c>
      <c r="F346" s="17">
        <f>项目总控台账!R110</f>
        <v>46230</v>
      </c>
      <c r="G346" s="17">
        <f>项目总控台账!S110</f>
        <v>46262</v>
      </c>
      <c r="H346" s="70">
        <v>7.5</v>
      </c>
      <c r="I346" s="6" t="str">
        <f>IF(H346="","待估算",IF(E346="已完成","已结束",IF(AND(ISNUMBER(F346),ISNUMBER(G346),F346&lt;=项目驾驶舱!$B$3,G346&gt;=项目驾驶舱!$B$3),"进行中","计划中")))</f>
        <v>已结束</v>
      </c>
      <c r="J346" s="6" t="str">
        <f>IF(I346="待估算",IF(OR(F346="/",G346="/",F346="",G346=""),"补充计划日期","补充投入工时"),IF(AND(G346&lt;项目驾驶舱!$B$3,E346&lt;&gt;"已完成"),"确认延期和后续安排","按计划跟踪"))</f>
        <v>按计划跟踪</v>
      </c>
      <c r="K346" s="8"/>
      <c r="L346" t="s">
        <v>400</v>
      </c>
    </row>
    <row r="347" spans="1:12">
      <c r="B347" s="6" t="str">
        <f>项目总控台账!A111</f>
        <v>T108</v>
      </c>
      <c r="C347" s="6" t="str">
        <f>IF(AND(项目总控台账!E111&lt;&gt;"",项目总控台账!E111&lt;&gt;"/"),项目总控台账!E111,IF(AND(项目总控台账!D111&lt;&gt;"",项目总控台账!D111&lt;&gt;"/"),项目总控台账!D111,项目总控台账!C111))</f>
        <v>综合装船效率分析（曹妃甸）</v>
      </c>
      <c r="D347" s="6" t="str">
        <f>项目总控台账!F111</f>
        <v>第一批次</v>
      </c>
      <c r="E347" s="6" t="str">
        <f>项目总控台账!G111</f>
        <v>已完成</v>
      </c>
      <c r="F347" s="17">
        <f>项目总控台账!R111</f>
        <v>46230</v>
      </c>
      <c r="G347" s="17">
        <f>项目总控台账!S111</f>
        <v>46262</v>
      </c>
      <c r="H347" s="70">
        <v>7.5</v>
      </c>
      <c r="I347" s="6" t="str">
        <f>IF(H347="","待估算",IF(E347="已完成","已结束",IF(AND(ISNUMBER(F347),ISNUMBER(G347),F347&lt;=项目驾驶舱!$B$3,G347&gt;=项目驾驶舱!$B$3),"进行中","计划中")))</f>
        <v>已结束</v>
      </c>
      <c r="J347" s="6" t="str">
        <f>IF(I347="待估算",IF(OR(F347="/",G347="/",F347="",G347=""),"补充计划日期","补充投入工时"),IF(AND(G347&lt;项目驾驶舱!$B$3,E347&lt;&gt;"已完成"),"确认延期和后续安排","按计划跟踪"))</f>
        <v>按计划跟踪</v>
      </c>
      <c r="K347" s="8"/>
      <c r="L347" t="s">
        <v>400</v>
      </c>
    </row>
    <row r="348" spans="1:12">
      <c r="B348" s="6" t="str">
        <f>项目总控台账!A112</f>
        <v>T109</v>
      </c>
      <c r="C348" s="6" t="str">
        <f>IF(AND(项目总控台账!E112&lt;&gt;"",项目总控台账!E112&lt;&gt;"/"),项目总控台账!E112,IF(AND(项目总控台账!D112&lt;&gt;"",项目总控台账!D112&lt;&gt;"/"),项目总控台账!D112,项目总控台账!C112))</f>
        <v>综合卸车效率分析（曹妃甸）</v>
      </c>
      <c r="D348" s="6" t="str">
        <f>项目总控台账!F112</f>
        <v>第一批次</v>
      </c>
      <c r="E348" s="6" t="str">
        <f>项目总控台账!G112</f>
        <v>已完成</v>
      </c>
      <c r="F348" s="17">
        <f>项目总控台账!R112</f>
        <v>46230</v>
      </c>
      <c r="G348" s="17">
        <f>项目总控台账!S112</f>
        <v>46262</v>
      </c>
      <c r="H348" s="70">
        <v>7.5</v>
      </c>
      <c r="I348" s="6" t="str">
        <f>IF(H348="","待估算",IF(E348="已完成","已结束",IF(AND(ISNUMBER(F348),ISNUMBER(G348),F348&lt;=项目驾驶舱!$B$3,G348&gt;=项目驾驶舱!$B$3),"进行中","计划中")))</f>
        <v>已结束</v>
      </c>
      <c r="J348" s="6" t="str">
        <f>IF(I348="待估算",IF(OR(F348="/",G348="/",F348="",G348=""),"补充计划日期","补充投入工时"),IF(AND(G348&lt;项目驾驶舱!$B$3,E348&lt;&gt;"已完成"),"确认延期和后续安排","按计划跟踪"))</f>
        <v>按计划跟踪</v>
      </c>
      <c r="K348" s="8"/>
      <c r="L348" t="s">
        <v>400</v>
      </c>
    </row>
    <row r="349" spans="1:12">
      <c r="B349" s="6" t="str">
        <f>项目总控台账!A113</f>
        <v>T110</v>
      </c>
      <c r="C349" s="6" t="str">
        <f>IF(AND(项目总控台账!E113&lt;&gt;"",项目总控台账!E113&lt;&gt;"/"),项目总控台账!E113,IF(AND(项目总控台账!D113&lt;&gt;"",项目总控台账!D113&lt;&gt;"/"),项目总控台账!D113,项目总控台账!C113))</f>
        <v>综合卸船效率分析（曹妃甸）</v>
      </c>
      <c r="D349" s="6" t="str">
        <f>项目总控台账!F113</f>
        <v>第二批次</v>
      </c>
      <c r="E349" s="6" t="str">
        <f>项目总控台账!G113</f>
        <v>已完成</v>
      </c>
      <c r="F349" s="17">
        <f>项目总控台账!R113</f>
        <v>46230</v>
      </c>
      <c r="G349" s="17">
        <f>项目总控台账!S113</f>
        <v>46262</v>
      </c>
      <c r="H349" s="70">
        <v>7.5</v>
      </c>
      <c r="I349" s="6" t="str">
        <f>IF(H349="","待估算",IF(E349="已完成","已结束",IF(AND(ISNUMBER(F349),ISNUMBER(G349),F349&lt;=项目驾驶舱!$B$3,G349&gt;=项目驾驶舱!$B$3),"进行中","计划中")))</f>
        <v>已结束</v>
      </c>
      <c r="J349" s="6" t="str">
        <f>IF(I349="待估算",IF(OR(F349="/",G349="/",F349="",G349=""),"补充计划日期","补充投入工时"),IF(AND(G349&lt;项目驾驶舱!$B$3,E349&lt;&gt;"已完成"),"确认延期和后续安排","按计划跟踪"))</f>
        <v>按计划跟踪</v>
      </c>
      <c r="K349" s="8"/>
      <c r="L349" t="s">
        <v>400</v>
      </c>
    </row>
    <row r="350" spans="1:12">
      <c r="B350" s="6" t="str">
        <f>项目总控台账!A120</f>
        <v>T117</v>
      </c>
      <c r="C350" s="6" t="str">
        <f>IF(AND(项目总控台账!E120&lt;&gt;"",项目总控台账!E120&lt;&gt;"/"),项目总控台账!E120,IF(AND(项目总控台账!D120&lt;&gt;"",项目总控台账!D120&lt;&gt;"/"),项目总控台账!D120,项目总控台账!C120))</f>
        <v>经营任务情况分析报告</v>
      </c>
      <c r="D350" s="6" t="str">
        <f>项目总控台账!F120</f>
        <v>第一批次</v>
      </c>
      <c r="E350" s="6" t="str">
        <f>项目总控台账!G120</f>
        <v>已完成</v>
      </c>
      <c r="F350" s="17">
        <f>项目总控台账!R120</f>
        <v>46230</v>
      </c>
      <c r="G350" s="17">
        <f>项目总控台账!S120</f>
        <v>46262</v>
      </c>
      <c r="H350" s="70">
        <v>7.5</v>
      </c>
      <c r="I350" s="6" t="str">
        <f>IF(H350="","待估算",IF(E350="已完成","已结束",IF(AND(ISNUMBER(F350),ISNUMBER(G350),F350&lt;=项目驾驶舱!$B$3,G350&gt;=项目驾驶舱!$B$3),"进行中","计划中")))</f>
        <v>已结束</v>
      </c>
      <c r="J350" s="6" t="str">
        <f>IF(I350="待估算",IF(OR(F350="/",G350="/",F350="",G350=""),"补充计划日期","补充投入工时"),IF(AND(G350&lt;项目驾驶舱!$B$3,E350&lt;&gt;"已完成"),"确认延期和后续安排","按计划跟踪"))</f>
        <v>按计划跟踪</v>
      </c>
      <c r="K350" s="8"/>
      <c r="L350" t="s">
        <v>400</v>
      </c>
    </row>
    <row r="351" spans="1:12">
      <c r="B351" s="6" t="str">
        <f>项目总控台账!A121</f>
        <v>T118</v>
      </c>
      <c r="C351" s="6" t="str">
        <f>IF(AND(项目总控台账!E121&lt;&gt;"",项目总控台账!E121&lt;&gt;"/"),项目总控台账!E121,IF(AND(项目总控台账!D121&lt;&gt;"",项目总控台账!D121&lt;&gt;"/"),项目总控台账!D121,项目总控台账!C121))</f>
        <v>客户月报报告</v>
      </c>
      <c r="D351" s="6" t="str">
        <f>项目总控台账!F121</f>
        <v>第一批次</v>
      </c>
      <c r="E351" s="6" t="str">
        <f>项目总控台账!G121</f>
        <v>已完成</v>
      </c>
      <c r="F351" s="17">
        <f>项目总控台账!R121</f>
        <v>46230</v>
      </c>
      <c r="G351" s="17">
        <f>项目总控台账!S121</f>
        <v>46262</v>
      </c>
      <c r="H351" s="70">
        <v>7.5</v>
      </c>
      <c r="I351" s="6" t="str">
        <f>IF(H351="","待估算",IF(E351="已完成","已结束",IF(AND(ISNUMBER(F351),ISNUMBER(G351),F351&lt;=项目驾驶舱!$B$3,G351&gt;=项目驾驶舱!$B$3),"进行中","计划中")))</f>
        <v>已结束</v>
      </c>
      <c r="J351" s="6" t="str">
        <f>IF(I351="待估算",IF(OR(F351="/",G351="/",F351="",G351=""),"补充计划日期","补充投入工时"),IF(AND(G351&lt;项目驾驶舱!$B$3,E351&lt;&gt;"已完成"),"确认延期和后续安排","按计划跟踪"))</f>
        <v>按计划跟踪</v>
      </c>
      <c r="K351" s="8"/>
      <c r="L351" t="s">
        <v>400</v>
      </c>
    </row>
    <row r="352" spans="1:12">
      <c r="B352" s="6" t="str">
        <f>项目总控台账!A122</f>
        <v>T119</v>
      </c>
      <c r="C352" s="6" t="str">
        <f>IF(AND(项目总控台账!E122&lt;&gt;"",项目总控台账!E122&lt;&gt;"/"),项目总控台账!E122,IF(AND(项目总控台账!D122&lt;&gt;"",项目总控台账!D122&lt;&gt;"/"),项目总控台账!D122,项目总控台账!C122))</f>
        <v>月度客户情况报告</v>
      </c>
      <c r="D352" s="6" t="str">
        <f>项目总控台账!F122</f>
        <v>第一批次</v>
      </c>
      <c r="E352" s="6" t="str">
        <f>项目总控台账!G122</f>
        <v>已完成</v>
      </c>
      <c r="F352" s="17">
        <f>项目总控台账!R122</f>
        <v>46230</v>
      </c>
      <c r="G352" s="17">
        <f>项目总控台账!S122</f>
        <v>46262</v>
      </c>
      <c r="H352" s="70">
        <v>7.5</v>
      </c>
      <c r="I352" s="6" t="str">
        <f>IF(H352="","待估算",IF(E352="已完成","已结束",IF(AND(ISNUMBER(F352),ISNUMBER(G352),F352&lt;=项目驾驶舱!$B$3,G352&gt;=项目驾驶舱!$B$3),"进行中","计划中")))</f>
        <v>已结束</v>
      </c>
      <c r="J352" s="6" t="str">
        <f>IF(I352="待估算",IF(OR(F352="/",G352="/",F352="",G352=""),"补充计划日期","补充投入工时"),IF(AND(G352&lt;项目驾驶舱!$B$3,E352&lt;&gt;"已完成"),"确认延期和后续安排","按计划跟踪"))</f>
        <v>按计划跟踪</v>
      </c>
      <c r="K352" s="8"/>
      <c r="L352" t="s">
        <v>400</v>
      </c>
    </row>
    <row r="353" spans="1:12">
      <c r="B353" s="6" t="str">
        <f>项目总控台账!A123</f>
        <v>T120</v>
      </c>
      <c r="C353" s="6" t="str">
        <f>IF(AND(项目总控台账!E123&lt;&gt;"",项目总控台账!E123&lt;&gt;"/"),项目总控台账!E123,IF(AND(项目总控台账!D123&lt;&gt;"",项目总控台账!D123&lt;&gt;"/"),项目总控台账!D123,项目总控台账!C123))</f>
        <v>商务计划周报</v>
      </c>
      <c r="D353" s="6" t="str">
        <f>项目总控台账!F123</f>
        <v>第一批次</v>
      </c>
      <c r="E353" s="6" t="str">
        <f>项目总控台账!G123</f>
        <v>已完成</v>
      </c>
      <c r="F353" s="17">
        <f>项目总控台账!R123</f>
        <v>46230</v>
      </c>
      <c r="G353" s="17">
        <f>项目总控台账!S123</f>
        <v>46262</v>
      </c>
      <c r="H353" s="70">
        <v>7.5</v>
      </c>
      <c r="I353" s="6" t="str">
        <f>IF(H353="","待估算",IF(E353="已完成","已结束",IF(AND(ISNUMBER(F353),ISNUMBER(G353),F353&lt;=项目驾驶舱!$B$3,G353&gt;=项目驾驶舱!$B$3),"进行中","计划中")))</f>
        <v>已结束</v>
      </c>
      <c r="J353" s="6" t="str">
        <f>IF(I353="待估算",IF(OR(F353="/",G353="/",F353="",G353=""),"补充计划日期","补充投入工时"),IF(AND(G353&lt;项目驾驶舱!$B$3,E353&lt;&gt;"已完成"),"确认延期和后续安排","按计划跟踪"))</f>
        <v>按计划跟踪</v>
      </c>
      <c r="K353" s="8"/>
      <c r="L353" t="s">
        <v>400</v>
      </c>
    </row>
    <row r="354" spans="1:12">
      <c r="B354" s="6" t="str">
        <f>项目总控台账!A141</f>
        <v>T138</v>
      </c>
      <c r="C354" s="6" t="str">
        <f>IF(AND(项目总控台账!E141&lt;&gt;"",项目总控台账!E141&lt;&gt;"/"),项目总控台账!E141,IF(AND(项目总控台账!D141&lt;&gt;"",项目总控台账!D141&lt;&gt;"/"),项目总控台账!D141,项目总控台账!C141))</f>
        <v>查询卸车流程</v>
      </c>
      <c r="D354" s="6" t="str">
        <f>项目总控台账!F141</f>
        <v>第二批次</v>
      </c>
      <c r="E354" s="6" t="str">
        <f>项目总控台账!G141</f>
        <v>已完成</v>
      </c>
      <c r="F354" s="17">
        <f>项目总控台账!R141</f>
        <v>46230</v>
      </c>
      <c r="G354" s="17">
        <f>项目总控台账!S141</f>
        <v>46262</v>
      </c>
      <c r="H354" s="70">
        <v>7.5</v>
      </c>
      <c r="I354" s="6" t="str">
        <f>IF(H354="","待估算",IF(E354="已完成","已结束",IF(AND(ISNUMBER(F354),ISNUMBER(G354),F354&lt;=项目驾驶舱!$B$3,G354&gt;=项目驾驶舱!$B$3),"进行中","计划中")))</f>
        <v>已结束</v>
      </c>
      <c r="J354" s="6" t="str">
        <f>IF(I354="待估算",IF(OR(F354="/",G354="/",F354="",G354=""),"补充计划日期","补充投入工时"),IF(AND(G354&lt;项目驾驶舱!$B$3,E354&lt;&gt;"已完成"),"确认延期和后续安排","按计划跟踪"))</f>
        <v>按计划跟踪</v>
      </c>
      <c r="K354" s="8"/>
      <c r="L354" t="s">
        <v>400</v>
      </c>
    </row>
    <row r="355" spans="1:12">
      <c r="B355" s="6" t="str">
        <f>项目总控台账!A142</f>
        <v>T139</v>
      </c>
      <c r="C355" s="6" t="str">
        <f>IF(AND(项目总控台账!E142&lt;&gt;"",项目总控台账!E142&lt;&gt;"/"),项目总控台账!E142,IF(AND(项目总控台账!D142&lt;&gt;"",项目总控台账!D142&lt;&gt;"/"),项目总控台账!D142,项目总控台账!C142))</f>
        <v>查询装船流程</v>
      </c>
      <c r="D355" s="6" t="str">
        <f>项目总控台账!F142</f>
        <v>第二批次</v>
      </c>
      <c r="E355" s="6" t="str">
        <f>项目总控台账!G142</f>
        <v>已完成</v>
      </c>
      <c r="F355" s="17">
        <f>项目总控台账!R142</f>
        <v>46230</v>
      </c>
      <c r="G355" s="17">
        <f>项目总控台账!S142</f>
        <v>46262</v>
      </c>
      <c r="H355" s="70">
        <v>7.5</v>
      </c>
      <c r="I355" s="6" t="str">
        <f>IF(H355="","待估算",IF(E355="已完成","已结束",IF(AND(ISNUMBER(F355),ISNUMBER(G355),F355&lt;=项目驾驶舱!$B$3,G355&gt;=项目驾驶舱!$B$3),"进行中","计划中")))</f>
        <v>已结束</v>
      </c>
      <c r="J355" s="6" t="str">
        <f>IF(I355="待估算",IF(OR(F355="/",G355="/",F355="",G355=""),"补充计划日期","补充投入工时"),IF(AND(G355&lt;项目驾驶舱!$B$3,E355&lt;&gt;"已完成"),"确认延期和后续安排","按计划跟踪"))</f>
        <v>按计划跟踪</v>
      </c>
      <c r="K355" s="8"/>
      <c r="L355" t="s">
        <v>400</v>
      </c>
    </row>
    <row r="356" spans="1:12">
      <c r="A356" s="71"/>
      <c r="B356" s="6" t="str">
        <f>项目总控台账!A143</f>
        <v>T140</v>
      </c>
      <c r="C356" s="6" t="str">
        <f>IF(AND(项目总控台账!E143&lt;&gt;"",项目总控台账!E143&lt;&gt;"/"),项目总控台账!E143,IF(AND(项目总控台账!D143&lt;&gt;"",项目总控台账!D143&lt;&gt;"/"),项目总控台账!D143,项目总控台账!C143))</f>
        <v>查询卸船流程</v>
      </c>
      <c r="D356" s="6" t="str">
        <f>项目总控台账!F143</f>
        <v>第二批次</v>
      </c>
      <c r="E356" s="6" t="str">
        <f>项目总控台账!G143</f>
        <v>已完成</v>
      </c>
      <c r="F356" s="17">
        <f>项目总控台账!R143</f>
        <v>46230</v>
      </c>
      <c r="G356" s="17">
        <f>项目总控台账!S143</f>
        <v>46262</v>
      </c>
      <c r="H356" s="70">
        <v>7.5</v>
      </c>
      <c r="I356" s="6" t="str">
        <f>IF(H356="","待估算",IF(E356="已完成","已结束",IF(AND(ISNUMBER(F356),ISNUMBER(G356),F356&lt;=项目驾驶舱!$B$3,G356&gt;=项目驾驶舱!$B$3),"进行中","计划中")))</f>
        <v>已结束</v>
      </c>
      <c r="J356" s="6" t="str">
        <f>IF(I356="待估算",IF(OR(F356="/",G356="/",F356="",G356=""),"补充计划日期","补充投入工时"),IF(AND(G356&lt;项目驾驶舱!$B$3,E356&lt;&gt;"已完成"),"确认延期和后续安排","按计划跟踪"))</f>
        <v>按计划跟踪</v>
      </c>
      <c r="K356" s="8"/>
      <c r="L356" t="s">
        <v>400</v>
      </c>
    </row>
    <row r="357" spans="1:12">
      <c r="A357" s="72" t="s">
        <v>400</v>
      </c>
      <c r="B357" s="6" t="str">
        <f>项目总控台账!A146</f>
        <v>T143</v>
      </c>
      <c r="C357" s="6" t="str">
        <f>IF(AND(项目总控台账!E146&lt;&gt;"",项目总控台账!E146&lt;&gt;"/"),项目总控台账!E146,IF(AND(项目总控台账!D146&lt;&gt;"",项目总控台账!D146&lt;&gt;"/"),项目总控台账!D146,项目总控台账!C146))</f>
        <v>图片上传</v>
      </c>
      <c r="D357" s="6" t="str">
        <f>项目总控台账!F146</f>
        <v>第一批次</v>
      </c>
      <c r="E357" s="6" t="str">
        <f>项目总控台账!G146</f>
        <v>已完成</v>
      </c>
      <c r="F357" s="17">
        <f>项目总控台账!R146</f>
        <v>46237</v>
      </c>
      <c r="G357" s="17">
        <f>项目总控台账!S146</f>
        <v>46252</v>
      </c>
      <c r="H357" s="70">
        <v>4.5</v>
      </c>
      <c r="I357" s="6" t="str">
        <f>IF(H357="","待估算",IF(E357="已完成","已结束",IF(AND(ISNUMBER(F357),ISNUMBER(G357),F357&lt;=项目驾驶舱!$B$3,G357&gt;=项目驾驶舱!$B$3),"进行中","计划中")))</f>
        <v>已结束</v>
      </c>
      <c r="J357" s="6" t="str">
        <f>IF(I357="待估算",IF(OR(F357="/",G357="/",F357="",G357=""),"补充计划日期","补充投入工时"),IF(AND(G357&lt;项目驾驶舱!$B$3,E357&lt;&gt;"已完成"),"确认延期和后续安排","按计划跟踪"))</f>
        <v>按计划跟踪</v>
      </c>
      <c r="K357" s="8"/>
      <c r="L357" t="s">
        <v>400</v>
      </c>
    </row>
    <row r="358" spans="1:12">
      <c r="B358" s="6" t="str">
        <f>项目总控台账!A147</f>
        <v>T144</v>
      </c>
      <c r="C358" s="6" t="str">
        <f>IF(AND(项目总控台账!E147&lt;&gt;"",项目总控台账!E147&lt;&gt;"/"),项目总控台账!E147,IF(AND(项目总控台账!D147&lt;&gt;"",项目总控台账!D147&lt;&gt;"/"),项目总控台账!D147,项目总控台账!C147))</f>
        <v>图片上传</v>
      </c>
      <c r="D358" s="6" t="str">
        <f>项目总控台账!F147</f>
        <v>第一批次</v>
      </c>
      <c r="E358" s="6" t="str">
        <f>项目总控台账!G147</f>
        <v>已完成</v>
      </c>
      <c r="F358" s="17">
        <f>项目总控台账!R147</f>
        <v>46237</v>
      </c>
      <c r="G358" s="17">
        <f>项目总控台账!S147</f>
        <v>46252</v>
      </c>
      <c r="H358" s="70">
        <v>4.5</v>
      </c>
      <c r="I358" s="6" t="str">
        <f>IF(H358="","待估算",IF(E358="已完成","已结束",IF(AND(ISNUMBER(F358),ISNUMBER(G358),F358&lt;=项目驾驶舱!$B$3,G358&gt;=项目驾驶舱!$B$3),"进行中","计划中")))</f>
        <v>已结束</v>
      </c>
      <c r="J358" s="6" t="str">
        <f>IF(I358="待估算",IF(OR(F358="/",G358="/",F358="",G358=""),"补充计划日期","补充投入工时"),IF(AND(G358&lt;项目驾驶舱!$B$3,E358&lt;&gt;"已完成"),"确认延期和后续安排","按计划跟踪"))</f>
        <v>按计划跟踪</v>
      </c>
      <c r="K358" s="8"/>
      <c r="L358" t="s">
        <v>400</v>
      </c>
    </row>
    <row r="359" spans="1:12">
      <c r="B359" s="6" t="str">
        <f>项目总控台账!A148</f>
        <v>T145</v>
      </c>
      <c r="C359" s="6" t="str">
        <f>IF(AND(项目总控台账!E148&lt;&gt;"",项目总控台账!E148&lt;&gt;"/"),项目总控台账!E148,IF(AND(项目总控台账!D148&lt;&gt;"",项目总控台账!D148&lt;&gt;"/"),项目总控台账!D148,项目总控台账!C148))</f>
        <v>图片上传</v>
      </c>
      <c r="D359" s="6" t="str">
        <f>项目总控台账!F148</f>
        <v>第二批次</v>
      </c>
      <c r="E359" s="6" t="str">
        <f>项目总控台账!G148</f>
        <v>已完成</v>
      </c>
      <c r="F359" s="17">
        <f>项目总控台账!R148</f>
        <v>46237</v>
      </c>
      <c r="G359" s="17">
        <f>项目总控台账!S148</f>
        <v>46252</v>
      </c>
      <c r="H359" s="70">
        <v>4</v>
      </c>
      <c r="I359" s="6" t="str">
        <f>IF(H359="","待估算",IF(E359="已完成","已结束",IF(AND(ISNUMBER(F359),ISNUMBER(G359),F359&lt;=项目驾驶舱!$B$3,G359&gt;=项目驾驶舱!$B$3),"进行中","计划中")))</f>
        <v>已结束</v>
      </c>
      <c r="J359" s="6" t="str">
        <f>IF(I359="待估算",IF(OR(F359="/",G359="/",F359="",G359=""),"补充计划日期","补充投入工时"),IF(AND(G359&lt;项目驾驶舱!$B$3,E359&lt;&gt;"已完成"),"确认延期和后续安排","按计划跟踪"))</f>
        <v>按计划跟踪</v>
      </c>
      <c r="K359" s="8"/>
      <c r="L359" t="s">
        <v>400</v>
      </c>
    </row>
    <row r="360" spans="1:12">
      <c r="B360" s="6" t="str">
        <f>项目总控台账!A124</f>
        <v>T121</v>
      </c>
      <c r="C360" s="6" t="str">
        <f>IF(AND(项目总控台账!E124&lt;&gt;"",项目总控台账!E124&lt;&gt;"/"),项目总控台账!E124,IF(AND(项目总控台账!D124&lt;&gt;"",项目总控台账!D124&lt;&gt;"/"),项目总控台账!D124,项目总控台账!C124))</f>
        <v>船舶供应服务查询</v>
      </c>
      <c r="D360" s="6" t="str">
        <f>项目总控台账!F124</f>
        <v>第二批次</v>
      </c>
      <c r="E360" s="6" t="str">
        <f>项目总控台账!G124</f>
        <v>已完成</v>
      </c>
      <c r="F360" s="17">
        <f>项目总控台账!R124</f>
        <v>46265</v>
      </c>
      <c r="G360" s="17">
        <f>项目总控台账!S124</f>
        <v>46269</v>
      </c>
      <c r="H360" s="70">
        <v>8</v>
      </c>
      <c r="I360" s="6" t="str">
        <f>IF(H360="","待估算",IF(E360="已完成","已结束",IF(AND(ISNUMBER(F360),ISNUMBER(G360),F360&lt;=项目驾驶舱!$B$3,G360&gt;=项目驾驶舱!$B$3),"进行中","计划中")))</f>
        <v>已结束</v>
      </c>
      <c r="J360" s="6" t="str">
        <f>IF(I360="待估算",IF(OR(F360="/",G360="/",F360="",G360=""),"补充计划日期","补充投入工时"),IF(AND(G360&lt;项目驾驶舱!$B$3,E360&lt;&gt;"已完成"),"确认延期和后续安排","按计划跟踪"))</f>
        <v>按计划跟踪</v>
      </c>
      <c r="K360" s="8"/>
      <c r="L360" t="s">
        <v>400</v>
      </c>
    </row>
    <row r="361" spans="1:12">
      <c r="B361" s="6" t="str">
        <f>项目总控台账!A125</f>
        <v>T122</v>
      </c>
      <c r="C361" s="6" t="str">
        <f>IF(AND(项目总控台账!E125&lt;&gt;"",项目总控台账!E125&lt;&gt;"/"),项目总控台账!E125,IF(AND(项目总控台账!D125&lt;&gt;"",项目总控台账!D125&lt;&gt;"/"),项目总控台账!D125,项目总控台账!C125))</f>
        <v>船舶预到（内贸）查询</v>
      </c>
      <c r="D361" s="6" t="str">
        <f>项目总控台账!F125</f>
        <v>第二批次</v>
      </c>
      <c r="E361" s="6" t="str">
        <f>项目总控台账!G125</f>
        <v>已完成</v>
      </c>
      <c r="F361" s="17">
        <f>项目总控台账!R125</f>
        <v>46265</v>
      </c>
      <c r="G361" s="17">
        <f>项目总控台账!S125</f>
        <v>46269</v>
      </c>
      <c r="H361" s="70">
        <v>8</v>
      </c>
      <c r="I361" s="6" t="str">
        <f>IF(H361="","待估算",IF(E361="已完成","已结束",IF(AND(ISNUMBER(F361),ISNUMBER(G361),F361&lt;=项目驾驶舱!$B$3,G361&gt;=项目驾驶舱!$B$3),"进行中","计划中")))</f>
        <v>已结束</v>
      </c>
      <c r="J361" s="6" t="str">
        <f>IF(I361="待估算",IF(OR(F361="/",G361="/",F361="",G361=""),"补充计划日期","补充投入工时"),IF(AND(G361&lt;项目驾驶舱!$B$3,E361&lt;&gt;"已完成"),"确认延期和后续安排","按计划跟踪"))</f>
        <v>按计划跟踪</v>
      </c>
      <c r="K361" s="8"/>
      <c r="L361" t="s">
        <v>400</v>
      </c>
    </row>
    <row r="362" spans="1:12">
      <c r="B362" s="6" t="str">
        <f>项目总控台账!A126</f>
        <v>T123</v>
      </c>
      <c r="C362" s="6" t="str">
        <f>IF(AND(项目总控台账!E126&lt;&gt;"",项目总控台账!E126&lt;&gt;"/"),项目总控台账!E126,IF(AND(项目总控台账!D126&lt;&gt;"",项目总控台账!D126&lt;&gt;"/"),项目总控台账!D126,项目总控台账!C126))</f>
        <v>台账查询</v>
      </c>
      <c r="D362" s="6" t="str">
        <f>项目总控台账!F126</f>
        <v>第二批次</v>
      </c>
      <c r="E362" s="6" t="str">
        <f>项目总控台账!G126</f>
        <v>已完成</v>
      </c>
      <c r="F362" s="17">
        <f>项目总控台账!R126</f>
        <v>46265</v>
      </c>
      <c r="G362" s="17">
        <f>项目总控台账!S126</f>
        <v>46269</v>
      </c>
      <c r="H362" s="70">
        <v>8</v>
      </c>
      <c r="I362" s="6" t="str">
        <f>IF(H362="","待估算",IF(E362="已完成","已结束",IF(AND(ISNUMBER(F362),ISNUMBER(G362),F362&lt;=项目驾驶舱!$B$3,G362&gt;=项目驾驶舱!$B$3),"进行中","计划中")))</f>
        <v>已结束</v>
      </c>
      <c r="J362" s="6" t="str">
        <f>IF(I362="待估算",IF(OR(F362="/",G362="/",F362="",G362=""),"补充计划日期","补充投入工时"),IF(AND(G362&lt;项目驾驶舱!$B$3,E362&lt;&gt;"已完成"),"确认延期和后续安排","按计划跟踪"))</f>
        <v>按计划跟踪</v>
      </c>
      <c r="K362" s="8"/>
      <c r="L362" t="s">
        <v>400</v>
      </c>
    </row>
    <row r="363" spans="1:12">
      <c r="B363" s="6" t="str">
        <f>项目总控台账!A127</f>
        <v>T124</v>
      </c>
      <c r="C363" s="6" t="str">
        <f>IF(AND(项目总控台账!E127&lt;&gt;"",项目总控台账!E127&lt;&gt;"/"),项目总控台账!E127,IF(AND(项目总控台账!D127&lt;&gt;"",项目总控台账!D127&lt;&gt;"/"),项目总控台账!D127,项目总控台账!C127))</f>
        <v>停泊费（内贸）查询</v>
      </c>
      <c r="D363" s="6" t="str">
        <f>项目总控台账!F127</f>
        <v>第二批次</v>
      </c>
      <c r="E363" s="6" t="str">
        <f>项目总控台账!G127</f>
        <v>已完成</v>
      </c>
      <c r="F363" s="17">
        <f>项目总控台账!R127</f>
        <v>46265</v>
      </c>
      <c r="G363" s="17">
        <f>项目总控台账!S127</f>
        <v>46269</v>
      </c>
      <c r="H363" s="70">
        <v>8</v>
      </c>
      <c r="I363" s="6" t="str">
        <f>IF(H363="","待估算",IF(E363="已完成","已结束",IF(AND(ISNUMBER(F363),ISNUMBER(G363),F363&lt;=项目驾驶舱!$B$3,G363&gt;=项目驾驶舱!$B$3),"进行中","计划中")))</f>
        <v>已结束</v>
      </c>
      <c r="J363" s="6" t="str">
        <f>IF(I363="待估算",IF(OR(F363="/",G363="/",F363="",G363=""),"补充计划日期","补充投入工时"),IF(AND(G363&lt;项目驾驶舱!$B$3,E363&lt;&gt;"已完成"),"确认延期和后续安排","按计划跟踪"))</f>
        <v>按计划跟踪</v>
      </c>
      <c r="K363" s="8"/>
      <c r="L363" t="s">
        <v>400</v>
      </c>
    </row>
    <row r="364" spans="1:12">
      <c r="B364" s="6" t="str">
        <f>项目总控台账!A128</f>
        <v>T125</v>
      </c>
      <c r="C364" s="6" t="str">
        <f>IF(AND(项目总控台账!E128&lt;&gt;"",项目总控台账!E128&lt;&gt;"/"),项目总控台账!E128,IF(AND(项目总控台账!D128&lt;&gt;"",项目总控台账!D128&lt;&gt;"/"),项目总控台账!D128,项目总控台账!C128))</f>
        <v>船舶供应服务费（内贸）查询</v>
      </c>
      <c r="D364" s="6" t="str">
        <f>项目总控台账!F128</f>
        <v>第二批次</v>
      </c>
      <c r="E364" s="6" t="str">
        <f>项目总控台账!G128</f>
        <v>已完成</v>
      </c>
      <c r="F364" s="17">
        <f>项目总控台账!R128</f>
        <v>46265</v>
      </c>
      <c r="G364" s="17">
        <f>项目总控台账!S128</f>
        <v>46269</v>
      </c>
      <c r="H364" s="70">
        <v>8</v>
      </c>
      <c r="I364" s="6" t="str">
        <f>IF(H364="","待估算",IF(E364="已完成","已结束",IF(AND(ISNUMBER(F364),ISNUMBER(G364),F364&lt;=项目驾驶舱!$B$3,G364&gt;=项目驾驶舱!$B$3),"进行中","计划中")))</f>
        <v>已结束</v>
      </c>
      <c r="J364" s="6" t="str">
        <f>IF(I364="待估算",IF(OR(F364="/",G364="/",F364="",G364=""),"补充计划日期","补充投入工时"),IF(AND(G364&lt;项目驾驶舱!$B$3,E364&lt;&gt;"已完成"),"确认延期和后续安排","按计划跟踪"))</f>
        <v>按计划跟踪</v>
      </c>
      <c r="K364" s="8"/>
      <c r="L364" t="s">
        <v>400</v>
      </c>
    </row>
    <row r="365" spans="1:12">
      <c r="B365" s="6" t="str">
        <f>项目总控台账!A16</f>
        <v>T013</v>
      </c>
      <c r="C365" s="6" t="str">
        <f>IF(AND(项目总控台账!E16&lt;&gt;"",项目总控台账!E16&lt;&gt;"/"),项目总控台账!E16,IF(AND(项目总控台账!D16&lt;&gt;"",项目总控台账!D16&lt;&gt;"/"),项目总控台账!D16,项目总控台账!C16))</f>
        <v>新增结算条款</v>
      </c>
      <c r="D365" s="6" t="str">
        <f>项目总控台账!F16</f>
        <v>第二批次</v>
      </c>
      <c r="E365" s="6" t="str">
        <f>项目总控台账!G16</f>
        <v>未开始</v>
      </c>
      <c r="F365" s="17">
        <f>项目总控台账!R16</f>
        <v>46272</v>
      </c>
      <c r="G365" s="17">
        <f>项目总控台账!S16</f>
        <v>46304</v>
      </c>
      <c r="H365" s="70">
        <v>17.5</v>
      </c>
      <c r="I365" s="6" t="str">
        <f>IF(H365="","待估算",IF(E365="已完成","已结束",IF(AND(ISNUMBER(F365),ISNUMBER(G365),F365&lt;=项目驾驶舱!$B$3,G365&gt;=项目驾驶舱!$B$3),"进行中","计划中")))</f>
        <v>计划中</v>
      </c>
      <c r="J365" s="6" t="str">
        <f>IF(I365="待估算",IF(OR(F365="/",G365="/",F365="",G365=""),"补充计划日期","补充投入工时"),IF(AND(G365&lt;项目驾驶舱!$B$3,E365&lt;&gt;"已完成"),"确认延期和后续安排","按计划跟踪"))</f>
        <v>按计划跟踪</v>
      </c>
      <c r="K365" s="8"/>
      <c r="L365" t="s">
        <v>400</v>
      </c>
    </row>
    <row r="366" spans="1:12">
      <c r="B366" s="6" t="str">
        <f>项目总控台账!A17</f>
        <v>T014</v>
      </c>
      <c r="C366" s="6" t="str">
        <f>IF(AND(项目总控台账!E17&lt;&gt;"",项目总控台账!E17&lt;&gt;"/"),项目总控台账!E17,IF(AND(项目总控台账!D17&lt;&gt;"",项目总控台账!D17&lt;&gt;"/"),项目总控台账!D17,项目总控台账!C17))</f>
        <v>结算条款审批</v>
      </c>
      <c r="D366" s="6" t="str">
        <f>项目总控台账!F17</f>
        <v>第二批次</v>
      </c>
      <c r="E366" s="6" t="str">
        <f>项目总控台账!G17</f>
        <v>未开始</v>
      </c>
      <c r="F366" s="17">
        <f>项目总控台账!R17</f>
        <v>46272</v>
      </c>
      <c r="G366" s="17">
        <f>项目总控台账!S17</f>
        <v>46304</v>
      </c>
      <c r="H366" s="70">
        <v>17.5</v>
      </c>
      <c r="I366" s="6" t="str">
        <f>IF(H366="","待估算",IF(E366="已完成","已结束",IF(AND(ISNUMBER(F366),ISNUMBER(G366),F366&lt;=项目驾驶舱!$B$3,G366&gt;=项目驾驶舱!$B$3),"进行中","计划中")))</f>
        <v>计划中</v>
      </c>
      <c r="J366" s="6" t="str">
        <f>IF(I366="待估算",IF(OR(F366="/",G366="/",F366="",G366=""),"补充计划日期","补充投入工时"),IF(AND(G366&lt;项目驾驶舱!$B$3,E366&lt;&gt;"已完成"),"确认延期和后续安排","按计划跟踪"))</f>
        <v>按计划跟踪</v>
      </c>
      <c r="K366" s="8"/>
      <c r="L366" t="s">
        <v>400</v>
      </c>
    </row>
    <row r="367" spans="1:12">
      <c r="B367" s="6" t="str">
        <f>项目总控台账!A18</f>
        <v>T015</v>
      </c>
      <c r="C367" s="6" t="str">
        <f>IF(AND(项目总控台账!E18&lt;&gt;"",项目总控台账!E18&lt;&gt;"/"),项目总控台账!E18,IF(AND(项目总控台账!D18&lt;&gt;"",项目总控台账!D18&lt;&gt;"/"),项目总控台账!D18,项目总控台账!C18))</f>
        <v>修改结算条款</v>
      </c>
      <c r="D367" s="6" t="str">
        <f>项目总控台账!F18</f>
        <v>第二批次</v>
      </c>
      <c r="E367" s="6" t="str">
        <f>项目总控台账!G18</f>
        <v>未开始</v>
      </c>
      <c r="F367" s="17">
        <f>项目总控台账!R18</f>
        <v>46272</v>
      </c>
      <c r="G367" s="17">
        <f>项目总控台账!S18</f>
        <v>46304</v>
      </c>
      <c r="H367" s="70">
        <v>17.5</v>
      </c>
      <c r="I367" s="6" t="str">
        <f>IF(H367="","待估算",IF(E367="已完成","已结束",IF(AND(ISNUMBER(F367),ISNUMBER(G367),F367&lt;=项目驾驶舱!$B$3,G367&gt;=项目驾驶舱!$B$3),"进行中","计划中")))</f>
        <v>计划中</v>
      </c>
      <c r="J367" s="6" t="str">
        <f>IF(I367="待估算",IF(OR(F367="/",G367="/",F367="",G367=""),"补充计划日期","补充投入工时"),IF(AND(G367&lt;项目驾驶舱!$B$3,E367&lt;&gt;"已完成"),"确认延期和后续安排","按计划跟踪"))</f>
        <v>按计划跟踪</v>
      </c>
      <c r="K367" s="8"/>
      <c r="L367" t="s">
        <v>400</v>
      </c>
    </row>
    <row r="368" spans="1:12">
      <c r="A368" s="71"/>
      <c r="B368" s="6" t="str">
        <f>项目总控台账!A19</f>
        <v>T016</v>
      </c>
      <c r="C368" s="6" t="str">
        <f>IF(AND(项目总控台账!E19&lt;&gt;"",项目总控台账!E19&lt;&gt;"/"),项目总控台账!E19,IF(AND(项目总控台账!D19&lt;&gt;"",项目总控台账!D19&lt;&gt;"/"),项目总控台账!D19,项目总控台账!C19))</f>
        <v>删除结算条款</v>
      </c>
      <c r="D368" s="6" t="str">
        <f>项目总控台账!F19</f>
        <v>第二批次</v>
      </c>
      <c r="E368" s="6" t="str">
        <f>项目总控台账!G19</f>
        <v>未开始</v>
      </c>
      <c r="F368" s="17">
        <f>项目总控台账!R19</f>
        <v>46272</v>
      </c>
      <c r="G368" s="17">
        <f>项目总控台账!S19</f>
        <v>46304</v>
      </c>
      <c r="H368" s="70">
        <v>17.5</v>
      </c>
      <c r="I368" s="6" t="str">
        <f>IF(H368="","待估算",IF(E368="已完成","已结束",IF(AND(ISNUMBER(F368),ISNUMBER(G368),F368&lt;=项目驾驶舱!$B$3,G368&gt;=项目驾驶舱!$B$3),"进行中","计划中")))</f>
        <v>计划中</v>
      </c>
      <c r="J368" s="6" t="str">
        <f>IF(I368="待估算",IF(OR(F368="/",G368="/",F368="",G368=""),"补充计划日期","补充投入工时"),IF(AND(G368&lt;项目驾驶舱!$B$3,E368&lt;&gt;"已完成"),"确认延期和后续安排","按计划跟踪"))</f>
        <v>按计划跟踪</v>
      </c>
      <c r="K368" s="8"/>
      <c r="L368" t="s">
        <v>400</v>
      </c>
    </row>
    <row r="369" spans="1:12">
      <c r="A369" s="72" t="s">
        <v>400</v>
      </c>
      <c r="B369" s="6" t="str">
        <f>项目总控台账!A20</f>
        <v>T017</v>
      </c>
      <c r="C369" s="6" t="str">
        <f>IF(AND(项目总控台账!E20&lt;&gt;"",项目总控台账!E20&lt;&gt;"/"),项目总控台账!E20,IF(AND(项目总控台账!D20&lt;&gt;"",项目总控台账!D20&lt;&gt;"/"),项目总控台账!D20,项目总控台账!C20))</f>
        <v>查询展示结算条款</v>
      </c>
      <c r="D369" s="6" t="str">
        <f>项目总控台账!F20</f>
        <v>第二批次</v>
      </c>
      <c r="E369" s="6" t="str">
        <f>项目总控台账!G20</f>
        <v>未开始</v>
      </c>
      <c r="F369" s="17">
        <f>项目总控台账!R20</f>
        <v>46272</v>
      </c>
      <c r="G369" s="17">
        <f>项目总控台账!S20</f>
        <v>46304</v>
      </c>
      <c r="H369" s="70">
        <v>17.5</v>
      </c>
      <c r="I369" s="6" t="str">
        <f>IF(H369="","待估算",IF(E369="已完成","已结束",IF(AND(ISNUMBER(F369),ISNUMBER(G369),F369&lt;=项目驾驶舱!$B$3,G369&gt;=项目驾驶舱!$B$3),"进行中","计划中")))</f>
        <v>计划中</v>
      </c>
      <c r="J369" s="6" t="str">
        <f>IF(I369="待估算",IF(OR(F369="/",G369="/",F369="",G369=""),"补充计划日期","补充投入工时"),IF(AND(G369&lt;项目驾驶舱!$B$3,E369&lt;&gt;"已完成"),"确认延期和后续安排","按计划跟踪"))</f>
        <v>按计划跟踪</v>
      </c>
      <c r="K369" s="8"/>
      <c r="L369" t="s">
        <v>400</v>
      </c>
    </row>
    <row r="370" spans="1:12">
      <c r="B370" s="6" t="str">
        <f>项目总控台账!A21</f>
        <v>T018</v>
      </c>
      <c r="C370" s="6" t="str">
        <f>IF(AND(项目总控台账!E21&lt;&gt;"",项目总控台账!E21&lt;&gt;"/"),项目总控台账!E21,IF(AND(项目总控台账!D21&lt;&gt;"",项目总控台账!D21&lt;&gt;"/"),项目总控台账!D21,项目总控台账!C21))</f>
        <v>结算条款推送法务系统</v>
      </c>
      <c r="D370" s="6" t="str">
        <f>项目总控台账!F21</f>
        <v>第二批次</v>
      </c>
      <c r="E370" s="6" t="str">
        <f>项目总控台账!G21</f>
        <v>未开始</v>
      </c>
      <c r="F370" s="17">
        <f>项目总控台账!R21</f>
        <v>46272</v>
      </c>
      <c r="G370" s="17">
        <f>项目总控台账!S21</f>
        <v>46304</v>
      </c>
      <c r="H370" s="70">
        <v>17.5</v>
      </c>
      <c r="I370" s="6" t="str">
        <f>IF(H370="","待估算",IF(E370="已完成","已结束",IF(AND(ISNUMBER(F370),ISNUMBER(G370),F370&lt;=项目驾驶舱!$B$3,G370&gt;=项目驾驶舱!$B$3),"进行中","计划中")))</f>
        <v>计划中</v>
      </c>
      <c r="J370" s="6" t="str">
        <f>IF(I370="待估算",IF(OR(F370="/",G370="/",F370="",G370=""),"补充计划日期","补充投入工时"),IF(AND(G370&lt;项目驾驶舱!$B$3,E370&lt;&gt;"已完成"),"确认延期和后续安排","按计划跟踪"))</f>
        <v>按计划跟踪</v>
      </c>
      <c r="K370" s="8"/>
      <c r="L370" t="s">
        <v>400</v>
      </c>
    </row>
    <row r="371" spans="1:12">
      <c r="B371" s="6" t="str">
        <f>项目总控台账!A56</f>
        <v>T053</v>
      </c>
      <c r="C371" s="6" t="str">
        <f>IF(AND(项目总控台账!E56&lt;&gt;"",项目总控台账!E56&lt;&gt;"/"),项目总控台账!E56,IF(AND(项目总控台账!D56&lt;&gt;"",项目总控台账!D56&lt;&gt;"/"),项目总控台账!D56,项目总控台账!C56))</f>
        <v>接入港口侧视频监控</v>
      </c>
      <c r="D371" s="6" t="str">
        <f>项目总控台账!F56</f>
        <v>第二批次</v>
      </c>
      <c r="E371" s="6" t="str">
        <f>项目总控台账!G56</f>
        <v>未开始</v>
      </c>
      <c r="F371" s="17">
        <f>项目总控台账!R56</f>
        <v>46272</v>
      </c>
      <c r="G371" s="17">
        <f>项目总控台账!S56</f>
        <v>46304</v>
      </c>
      <c r="H371" s="70">
        <v>17.5</v>
      </c>
      <c r="I371" s="6" t="str">
        <f>IF(H371="","待估算",IF(E371="已完成","已结束",IF(AND(ISNUMBER(F371),ISNUMBER(G371),F371&lt;=项目驾驶舱!$B$3,G371&gt;=项目驾驶舱!$B$3),"进行中","计划中")))</f>
        <v>计划中</v>
      </c>
      <c r="J371" s="6" t="str">
        <f>IF(I371="待估算",IF(OR(F371="/",G371="/",F371="",G371=""),"补充计划日期","补充投入工时"),IF(AND(G371&lt;项目驾驶舱!$B$3,E371&lt;&gt;"已完成"),"确认延期和后续安排","按计划跟踪"))</f>
        <v>按计划跟踪</v>
      </c>
      <c r="K371" s="8"/>
      <c r="L371" t="s">
        <v>400</v>
      </c>
    </row>
    <row r="372" spans="1:12">
      <c r="B372" s="6" t="str">
        <f>项目总控台账!A57</f>
        <v>T054</v>
      </c>
      <c r="C372" s="6" t="str">
        <f>IF(AND(项目总控台账!E57&lt;&gt;"",项目总控台账!E57&lt;&gt;"/"),项目总控台账!E57,IF(AND(项目总控台账!D57&lt;&gt;"",项目总控台账!D57&lt;&gt;"/"),项目总控台账!D57,项目总控台账!C57))</f>
        <v>视频查看权限申请</v>
      </c>
      <c r="D372" s="6" t="str">
        <f>项目总控台账!F57</f>
        <v>第二批次</v>
      </c>
      <c r="E372" s="6" t="str">
        <f>项目总控台账!G57</f>
        <v>未开始</v>
      </c>
      <c r="F372" s="17">
        <f>项目总控台账!R57</f>
        <v>46272</v>
      </c>
      <c r="G372" s="17">
        <f>项目总控台账!S57</f>
        <v>46304</v>
      </c>
      <c r="H372" s="70">
        <v>17.5</v>
      </c>
      <c r="I372" s="6" t="str">
        <f>IF(H372="","待估算",IF(E372="已完成","已结束",IF(AND(ISNUMBER(F372),ISNUMBER(G372),F372&lt;=项目驾驶舱!$B$3,G372&gt;=项目驾驶舱!$B$3),"进行中","计划中")))</f>
        <v>计划中</v>
      </c>
      <c r="J372" s="6" t="str">
        <f>IF(I372="待估算",IF(OR(F372="/",G372="/",F372="",G372=""),"补充计划日期","补充投入工时"),IF(AND(G372&lt;项目驾驶舱!$B$3,E372&lt;&gt;"已完成"),"确认延期和后续安排","按计划跟踪"))</f>
        <v>按计划跟踪</v>
      </c>
      <c r="K372" s="8"/>
      <c r="L372" t="s">
        <v>400</v>
      </c>
    </row>
    <row r="373" spans="1:12">
      <c r="B373" s="6" t="str">
        <f>项目总控台账!A58</f>
        <v>T055</v>
      </c>
      <c r="C373" s="6" t="str">
        <f>IF(AND(项目总控台账!E58&lt;&gt;"",项目总控台账!E58&lt;&gt;"/"),项目总控台账!E58,IF(AND(项目总控台账!D58&lt;&gt;"",项目总控台账!D58&lt;&gt;"/"),项目总控台账!D58,项目总控台账!C58))</f>
        <v>视频查看权限审批</v>
      </c>
      <c r="D373" s="6" t="str">
        <f>项目总控台账!F58</f>
        <v>第二批次</v>
      </c>
      <c r="E373" s="6" t="str">
        <f>项目总控台账!G58</f>
        <v>未开始</v>
      </c>
      <c r="F373" s="17">
        <f>项目总控台账!R58</f>
        <v>46272</v>
      </c>
      <c r="G373" s="17">
        <f>项目总控台账!S58</f>
        <v>46304</v>
      </c>
      <c r="H373" s="70">
        <v>15</v>
      </c>
      <c r="I373" s="6" t="str">
        <f>IF(H373="","待估算",IF(E373="已完成","已结束",IF(AND(ISNUMBER(F373),ISNUMBER(G373),F373&lt;=项目驾驶舱!$B$3,G373&gt;=项目驾驶舱!$B$3),"进行中","计划中")))</f>
        <v>计划中</v>
      </c>
      <c r="J373" s="6" t="str">
        <f>IF(I373="待估算",IF(OR(F373="/",G373="/",F373="",G373=""),"补充计划日期","补充投入工时"),IF(AND(G373&lt;项目驾驶舱!$B$3,E373&lt;&gt;"已完成"),"确认延期和后续安排","按计划跟踪"))</f>
        <v>按计划跟踪</v>
      </c>
      <c r="K373" s="8"/>
      <c r="L373" t="s">
        <v>400</v>
      </c>
    </row>
    <row r="374" spans="1:12">
      <c r="B374" s="6" t="str">
        <f>项目总控台账!A59</f>
        <v>T056</v>
      </c>
      <c r="C374" s="6" t="str">
        <f>IF(AND(项目总控台账!E59&lt;&gt;"",项目总控台账!E59&lt;&gt;"/"),项目总控台账!E59,IF(AND(项目总控台账!D59&lt;&gt;"",项目总控台账!D59&lt;&gt;"/"),项目总控台账!D59,项目总控台账!C59))</f>
        <v>视频查看权限有效期控制</v>
      </c>
      <c r="D374" s="6" t="str">
        <f>项目总控台账!F59</f>
        <v>第二批次</v>
      </c>
      <c r="E374" s="6" t="str">
        <f>项目总控台账!G59</f>
        <v>未开始</v>
      </c>
      <c r="F374" s="17">
        <f>项目总控台账!R59</f>
        <v>46272</v>
      </c>
      <c r="G374" s="17">
        <f>项目总控台账!S59</f>
        <v>46304</v>
      </c>
      <c r="H374" s="70">
        <v>15</v>
      </c>
      <c r="I374" s="6" t="str">
        <f>IF(H374="","待估算",IF(E374="已完成","已结束",IF(AND(ISNUMBER(F374),ISNUMBER(G374),F374&lt;=项目驾驶舱!$B$3,G374&gt;=项目驾驶舱!$B$3),"进行中","计划中")))</f>
        <v>计划中</v>
      </c>
      <c r="J374" s="6" t="str">
        <f>IF(I374="待估算",IF(OR(F374="/",G374="/",F374="",G374=""),"补充计划日期","补充投入工时"),IF(AND(G374&lt;项目驾驶舱!$B$3,E374&lt;&gt;"已完成"),"确认延期和后续安排","按计划跟踪"))</f>
        <v>按计划跟踪</v>
      </c>
      <c r="K374" s="8"/>
      <c r="L374" t="s">
        <v>400</v>
      </c>
    </row>
    <row r="375" spans="1:12">
      <c r="B375" s="6" t="str">
        <f>项目总控台账!A60</f>
        <v>T057</v>
      </c>
      <c r="C375" s="6" t="str">
        <f>IF(AND(项目总控台账!E60&lt;&gt;"",项目总控台账!E60&lt;&gt;"/"),项目总控台账!E60,IF(AND(项目总控台账!D60&lt;&gt;"",项目总控台账!D60&lt;&gt;"/"),项目总控台账!D60,项目总控台账!C60))</f>
        <v>外网PC端视频监控查询</v>
      </c>
      <c r="D375" s="6" t="str">
        <f>项目总控台账!F60</f>
        <v>第二批次</v>
      </c>
      <c r="E375" s="6" t="str">
        <f>项目总控台账!G60</f>
        <v>未开始</v>
      </c>
      <c r="F375" s="17">
        <f>项目总控台账!R60</f>
        <v>46272</v>
      </c>
      <c r="G375" s="17">
        <f>项目总控台账!S60</f>
        <v>46304</v>
      </c>
      <c r="H375" s="70">
        <v>15</v>
      </c>
      <c r="I375" s="6" t="str">
        <f>IF(H375="","待估算",IF(E375="已完成","已结束",IF(AND(ISNUMBER(F375),ISNUMBER(G375),F375&lt;=项目驾驶舱!$B$3,G375&gt;=项目驾驶舱!$B$3),"进行中","计划中")))</f>
        <v>计划中</v>
      </c>
      <c r="J375" s="6" t="str">
        <f>IF(I375="待估算",IF(OR(F375="/",G375="/",F375="",G375=""),"补充计划日期","补充投入工时"),IF(AND(G375&lt;项目驾驶舱!$B$3,E375&lt;&gt;"已完成"),"确认延期和后续安排","按计划跟踪"))</f>
        <v>按计划跟踪</v>
      </c>
      <c r="K375" s="8"/>
      <c r="L375" t="s">
        <v>400</v>
      </c>
    </row>
    <row r="376" spans="1:12">
      <c r="B376" s="6" t="str">
        <f>项目总控台账!A144</f>
        <v>T141</v>
      </c>
      <c r="C376" s="6" t="str">
        <f>IF(AND(项目总控台账!E144&lt;&gt;"",项目总控台账!E144&lt;&gt;"/"),项目总控台账!E144,IF(AND(项目总控台账!D144&lt;&gt;"",项目总控台账!D144&lt;&gt;"/"),项目总控台账!D144,项目总控台账!C144))</f>
        <v>视频监控查询</v>
      </c>
      <c r="D376" s="6" t="str">
        <f>项目总控台账!F144</f>
        <v>第二批次</v>
      </c>
      <c r="E376" s="6" t="str">
        <f>项目总控台账!G144</f>
        <v>未开始</v>
      </c>
      <c r="F376" s="17">
        <f>项目总控台账!R144</f>
        <v>46272</v>
      </c>
      <c r="G376" s="17">
        <f>项目总控台账!S144</f>
        <v>46304</v>
      </c>
      <c r="H376" s="70">
        <v>15</v>
      </c>
      <c r="I376" s="6" t="str">
        <f>IF(H376="","待估算",IF(E376="已完成","已结束",IF(AND(ISNUMBER(F376),ISNUMBER(G376),F376&lt;=项目驾驶舱!$B$3,G376&gt;=项目驾驶舱!$B$3),"进行中","计划中")))</f>
        <v>计划中</v>
      </c>
      <c r="J376" s="6" t="str">
        <f>IF(I376="待估算",IF(OR(F376="/",G376="/",F376="",G376=""),"补充计划日期","补充投入工时"),IF(AND(G376&lt;项目驾驶舱!$B$3,E376&lt;&gt;"已完成"),"确认延期和后续安排","按计划跟踪"))</f>
        <v>按计划跟踪</v>
      </c>
      <c r="K376" s="8"/>
      <c r="L376" t="s">
        <v>400</v>
      </c>
    </row>
    <row r="377" spans="1:12">
      <c r="B377" s="6" t="str">
        <f>项目总控台账!A8</f>
        <v>T005</v>
      </c>
      <c r="C377" s="6" t="str">
        <f>IF(AND(项目总控台账!E8&lt;&gt;"",项目总控台账!E8&lt;&gt;"/"),项目总控台账!E8,IF(AND(项目总控台账!D8&lt;&gt;"",项目总控台账!D8&lt;&gt;"/"),项目总控台账!D8,项目总控台账!C8))</f>
        <v>船舶唯一性校验</v>
      </c>
      <c r="D377" s="6" t="str">
        <f>项目总控台账!F8</f>
        <v>第二批次</v>
      </c>
      <c r="E377" s="6" t="str">
        <f>项目总控台账!G8</f>
        <v>已完成</v>
      </c>
      <c r="F377" s="17">
        <f>项目总控台账!R8</f>
        <v>46307</v>
      </c>
      <c r="G377" s="17">
        <f>项目总控台账!S8</f>
        <v>46339</v>
      </c>
      <c r="H377" s="70">
        <v>5</v>
      </c>
      <c r="I377" s="6" t="str">
        <f>IF(H377="","待估算",IF(E377="已完成","已结束",IF(AND(ISNUMBER(F377),ISNUMBER(G377),F377&lt;=项目驾驶舱!$B$3,G377&gt;=项目驾驶舱!$B$3),"进行中","计划中")))</f>
        <v>已结束</v>
      </c>
      <c r="J377" s="6" t="str">
        <f>IF(I377="待估算",IF(OR(F377="/",G377="/",F377="",G377=""),"补充计划日期","补充投入工时"),IF(AND(G377&lt;项目驾驶舱!$B$3,E377&lt;&gt;"已完成"),"确认延期和后续安排","按计划跟踪"))</f>
        <v>按计划跟踪</v>
      </c>
      <c r="K377" s="8"/>
      <c r="L377" t="s">
        <v>400</v>
      </c>
    </row>
    <row r="378" spans="1:12">
      <c r="B378" s="6" t="str">
        <f>项目总控台账!A22</f>
        <v>T019</v>
      </c>
      <c r="C378" s="6" t="str">
        <f>IF(AND(项目总控台账!E22&lt;&gt;"",项目总控台账!E22&lt;&gt;"/"),项目总控台账!E22,IF(AND(项目总控台账!D22&lt;&gt;"",项目总控台账!D22&lt;&gt;"/"),项目总控台账!D22,项目总控台账!C22))</f>
        <v>对接卸船计划</v>
      </c>
      <c r="D378" s="6" t="str">
        <f>项目总控台账!F22</f>
        <v>第二批次</v>
      </c>
      <c r="E378" s="6" t="str">
        <f>项目总控台账!G22</f>
        <v>进行中</v>
      </c>
      <c r="F378" s="17">
        <f>项目总控台账!R22</f>
        <v>46307</v>
      </c>
      <c r="G378" s="17">
        <f>项目总控台账!S22</f>
        <v>46339</v>
      </c>
      <c r="H378" s="70">
        <v>5</v>
      </c>
      <c r="I378" s="6" t="str">
        <f>IF(H378="","待估算",IF(E378="已完成","已结束",IF(AND(ISNUMBER(F378),ISNUMBER(G378),F378&lt;=项目驾驶舱!$B$3,G378&gt;=项目驾驶舱!$B$3),"进行中","计划中")))</f>
        <v>计划中</v>
      </c>
      <c r="J378" s="6" t="str">
        <f>IF(I378="待估算",IF(OR(F378="/",G378="/",F378="",G378=""),"补充计划日期","补充投入工时"),IF(AND(G378&lt;项目驾驶舱!$B$3,E378&lt;&gt;"已完成"),"确认延期和后续安排","按计划跟踪"))</f>
        <v>按计划跟踪</v>
      </c>
      <c r="K378" s="8"/>
      <c r="L378" t="s">
        <v>400</v>
      </c>
    </row>
    <row r="379" spans="1:12">
      <c r="B379" s="6" t="str">
        <f>项目总控台账!A23</f>
        <v>T020</v>
      </c>
      <c r="C379" s="6" t="str">
        <f>IF(AND(项目总控台账!E23&lt;&gt;"",项目总控台账!E23&lt;&gt;"/"),项目总控台账!E23,IF(AND(项目总控台账!D23&lt;&gt;"",项目总控台账!D23&lt;&gt;"/"),项目总控台账!D23,项目总控台账!C23))</f>
        <v>查询卸车计划</v>
      </c>
      <c r="D379" s="6" t="str">
        <f>项目总控台账!F23</f>
        <v>第二批次</v>
      </c>
      <c r="E379" s="6" t="str">
        <f>项目总控台账!G23</f>
        <v>进行中</v>
      </c>
      <c r="F379" s="17">
        <f>项目总控台账!R23</f>
        <v>46307</v>
      </c>
      <c r="G379" s="17">
        <f>项目总控台账!S23</f>
        <v>46339</v>
      </c>
      <c r="H379" s="70">
        <v>5</v>
      </c>
      <c r="I379" s="6" t="str">
        <f>IF(H379="","待估算",IF(E379="已完成","已结束",IF(AND(ISNUMBER(F379),ISNUMBER(G379),F379&lt;=项目驾驶舱!$B$3,G379&gt;=项目驾驶舱!$B$3),"进行中","计划中")))</f>
        <v>计划中</v>
      </c>
      <c r="J379" s="6" t="str">
        <f>IF(I379="待估算",IF(OR(F379="/",G379="/",F379="",G379=""),"补充计划日期","补充投入工时"),IF(AND(G379&lt;项目驾驶舱!$B$3,E379&lt;&gt;"已完成"),"确认延期和后续安排","按计划跟踪"))</f>
        <v>按计划跟踪</v>
      </c>
      <c r="K379" s="8"/>
      <c r="L379" t="s">
        <v>400</v>
      </c>
    </row>
    <row r="380" spans="1:12">
      <c r="A380" s="71"/>
      <c r="B380" s="6" t="str">
        <f>项目总控台账!A24</f>
        <v>T021</v>
      </c>
      <c r="C380" s="6" t="str">
        <f>IF(AND(项目总控台账!E24&lt;&gt;"",项目总控台账!E24&lt;&gt;"/"),项目总控台账!E24,IF(AND(项目总控台账!D24&lt;&gt;"",项目总控台账!D24&lt;&gt;"/"),项目总控台账!D24,项目总控台账!C24))</f>
        <v>外部客户确认</v>
      </c>
      <c r="D380" s="6" t="str">
        <f>项目总控台账!F24</f>
        <v>第二批次</v>
      </c>
      <c r="E380" s="6" t="str">
        <f>项目总控台账!G24</f>
        <v>进行中</v>
      </c>
      <c r="F380" s="17">
        <f>项目总控台账!R24</f>
        <v>46307</v>
      </c>
      <c r="G380" s="17">
        <f>项目总控台账!S24</f>
        <v>46339</v>
      </c>
      <c r="H380" s="70">
        <v>5</v>
      </c>
      <c r="I380" s="6" t="str">
        <f>IF(H380="","待估算",IF(E380="已完成","已结束",IF(AND(ISNUMBER(F380),ISNUMBER(G380),F380&lt;=项目驾驶舱!$B$3,G380&gt;=项目驾驶舱!$B$3),"进行中","计划中")))</f>
        <v>计划中</v>
      </c>
      <c r="J380" s="6" t="str">
        <f>IF(I380="待估算",IF(OR(F380="/",G380="/",F380="",G380=""),"补充计划日期","补充投入工时"),IF(AND(G380&lt;项目驾驶舱!$B$3,E380&lt;&gt;"已完成"),"确认延期和后续安排","按计划跟踪"))</f>
        <v>按计划跟踪</v>
      </c>
      <c r="K380" s="8"/>
      <c r="L380" t="s">
        <v>400</v>
      </c>
    </row>
    <row r="381" spans="1:12">
      <c r="A381" s="72" t="s">
        <v>400</v>
      </c>
      <c r="B381" s="6" t="str">
        <f>项目总控台账!A25</f>
        <v>T022</v>
      </c>
      <c r="C381" s="6" t="str">
        <f>IF(AND(项目总控台账!E25&lt;&gt;"",项目总控台账!E25&lt;&gt;"/"),项目总控台账!E25,IF(AND(项目总控台账!D25&lt;&gt;"",项目总控台账!D25&lt;&gt;"/"),项目总控台账!D25,项目总控台账!C25))</f>
        <v>对接卸船作业信息</v>
      </c>
      <c r="D381" s="6" t="str">
        <f>项目总控台账!F25</f>
        <v>第二批次</v>
      </c>
      <c r="E381" s="6" t="str">
        <f>项目总控台账!G25</f>
        <v>未开始</v>
      </c>
      <c r="F381" s="17">
        <f>项目总控台账!R25</f>
        <v>46307</v>
      </c>
      <c r="G381" s="17">
        <f>项目总控台账!S25</f>
        <v>46339</v>
      </c>
      <c r="H381" s="70">
        <v>5</v>
      </c>
      <c r="I381" s="6" t="str">
        <f>IF(H381="","待估算",IF(E381="已完成","已结束",IF(AND(ISNUMBER(F381),ISNUMBER(G381),F381&lt;=项目驾驶舱!$B$3,G381&gt;=项目驾驶舱!$B$3),"进行中","计划中")))</f>
        <v>计划中</v>
      </c>
      <c r="J381" s="6" t="str">
        <f>IF(I381="待估算",IF(OR(F381="/",G381="/",F381="",G381=""),"补充计划日期","补充投入工时"),IF(AND(G381&lt;项目驾驶舱!$B$3,E381&lt;&gt;"已完成"),"确认延期和后续安排","按计划跟踪"))</f>
        <v>按计划跟踪</v>
      </c>
      <c r="K381" s="8"/>
      <c r="L381" t="s">
        <v>400</v>
      </c>
    </row>
    <row r="382" spans="1:12">
      <c r="B382" s="6" t="str">
        <f>项目总控台账!A26</f>
        <v>T023</v>
      </c>
      <c r="C382" s="6" t="str">
        <f>IF(AND(项目总控台账!E26&lt;&gt;"",项目总控台账!E26&lt;&gt;"/"),项目总控台账!E26,IF(AND(项目总控台账!D26&lt;&gt;"",项目总控台账!D26&lt;&gt;"/"),项目总控台账!D26,项目总控台账!C26))</f>
        <v>查询卸船作业信息</v>
      </c>
      <c r="D382" s="6" t="str">
        <f>项目总控台账!F26</f>
        <v>第二批次</v>
      </c>
      <c r="E382" s="6" t="str">
        <f>项目总控台账!G26</f>
        <v>未开始</v>
      </c>
      <c r="F382" s="17">
        <f>项目总控台账!R26</f>
        <v>46307</v>
      </c>
      <c r="G382" s="17">
        <f>项目总控台账!S26</f>
        <v>46339</v>
      </c>
      <c r="H382" s="70">
        <v>5</v>
      </c>
      <c r="I382" s="6" t="str">
        <f>IF(H382="","待估算",IF(E382="已完成","已结束",IF(AND(ISNUMBER(F382),ISNUMBER(G382),F382&lt;=项目驾驶舱!$B$3,G382&gt;=项目驾驶舱!$B$3),"进行中","计划中")))</f>
        <v>计划中</v>
      </c>
      <c r="J382" s="6" t="str">
        <f>IF(I382="待估算",IF(OR(F382="/",G382="/",F382="",G382=""),"补充计划日期","补充投入工时"),IF(AND(G382&lt;项目驾驶舱!$B$3,E382&lt;&gt;"已完成"),"确认延期和后续安排","按计划跟踪"))</f>
        <v>按计划跟踪</v>
      </c>
      <c r="K382" s="8"/>
      <c r="L382" t="s">
        <v>400</v>
      </c>
    </row>
    <row r="383" spans="1:12">
      <c r="B383" s="6" t="str">
        <f>项目总控台账!A27</f>
        <v>T024</v>
      </c>
      <c r="C383" s="6" t="str">
        <f>IF(AND(项目总控台账!E27&lt;&gt;"",项目总控台账!E27&lt;&gt;"/"),项目总控台账!E27,IF(AND(项目总控台账!D27&lt;&gt;"",项目总控台账!D27&lt;&gt;"/"),项目总控台账!D27,项目总控台账!C27))</f>
        <v>卸船查询列表</v>
      </c>
      <c r="D383" s="6" t="str">
        <f>项目总控台账!F27</f>
        <v>第二批次</v>
      </c>
      <c r="E383" s="6" t="str">
        <f>项目总控台账!G27</f>
        <v>未开始</v>
      </c>
      <c r="F383" s="17">
        <f>项目总控台账!R27</f>
        <v>46307</v>
      </c>
      <c r="G383" s="17">
        <f>项目总控台账!S27</f>
        <v>46339</v>
      </c>
      <c r="H383" s="70">
        <v>5</v>
      </c>
      <c r="I383" s="6" t="str">
        <f>IF(H383="","待估算",IF(E383="已完成","已结束",IF(AND(ISNUMBER(F383),ISNUMBER(G383),F383&lt;=项目驾驶舱!$B$3,G383&gt;=项目驾驶舱!$B$3),"进行中","计划中")))</f>
        <v>计划中</v>
      </c>
      <c r="J383" s="6" t="str">
        <f>IF(I383="待估算",IF(OR(F383="/",G383="/",F383="",G383=""),"补充计划日期","补充投入工时"),IF(AND(G383&lt;项目驾驶舱!$B$3,E383&lt;&gt;"已完成"),"确认延期和后续安排","按计划跟踪"))</f>
        <v>按计划跟踪</v>
      </c>
      <c r="K383" s="8"/>
      <c r="L383" t="s">
        <v>400</v>
      </c>
    </row>
    <row r="384" spans="1:12">
      <c r="B384" s="6" t="str">
        <f>项目总控台账!A28</f>
        <v>T025</v>
      </c>
      <c r="C384" s="6" t="str">
        <f>IF(AND(项目总控台账!E28&lt;&gt;"",项目总控台账!E28&lt;&gt;"/"),项目总控台账!E28,IF(AND(项目总控台账!D28&lt;&gt;"",项目总控台账!D28&lt;&gt;"/"),项目总控台账!D28,项目总控台账!C28))</f>
        <v>卸船查询详情</v>
      </c>
      <c r="D384" s="6" t="str">
        <f>项目总控台账!F28</f>
        <v>第二批次</v>
      </c>
      <c r="E384" s="6" t="str">
        <f>项目总控台账!G28</f>
        <v>未开始</v>
      </c>
      <c r="F384" s="17">
        <f>项目总控台账!R28</f>
        <v>46307</v>
      </c>
      <c r="G384" s="17">
        <f>项目总控台账!S28</f>
        <v>46339</v>
      </c>
      <c r="H384" s="70">
        <v>5</v>
      </c>
      <c r="I384" s="6" t="str">
        <f>IF(H384="","待估算",IF(E384="已完成","已结束",IF(AND(ISNUMBER(F384),ISNUMBER(G384),F384&lt;=项目驾驶舱!$B$3,G384&gt;=项目驾驶舱!$B$3),"进行中","计划中")))</f>
        <v>计划中</v>
      </c>
      <c r="J384" s="6" t="str">
        <f>IF(I384="待估算",IF(OR(F384="/",G384="/",F384="",G384=""),"补充计划日期","补充投入工时"),IF(AND(G384&lt;项目驾驶舱!$B$3,E384&lt;&gt;"已完成"),"确认延期和后续安排","按计划跟踪"))</f>
        <v>按计划跟踪</v>
      </c>
      <c r="K384" s="8"/>
      <c r="L384" t="s">
        <v>400</v>
      </c>
    </row>
    <row r="385" spans="1:12">
      <c r="B385" s="6" t="str">
        <f>项目总控台账!A29</f>
        <v>T026</v>
      </c>
      <c r="C385" s="6" t="str">
        <f>IF(AND(项目总控台账!E29&lt;&gt;"",项目总控台账!E29&lt;&gt;"/"),项目总控台账!E29,IF(AND(项目总控台账!D29&lt;&gt;"",项目总控台账!D29&lt;&gt;"/"),项目总控台账!D29,项目总控台账!C29))</f>
        <v>创建卸船作业委托信息</v>
      </c>
      <c r="D385" s="6" t="str">
        <f>项目总控台账!F29</f>
        <v>第二批次</v>
      </c>
      <c r="E385" s="6" t="str">
        <f>项目总控台账!G29</f>
        <v>进行中</v>
      </c>
      <c r="F385" s="17">
        <f>项目总控台账!R29</f>
        <v>46307</v>
      </c>
      <c r="G385" s="17">
        <f>项目总控台账!S29</f>
        <v>46339</v>
      </c>
      <c r="H385" s="70">
        <v>5</v>
      </c>
      <c r="I385" s="6" t="str">
        <f>IF(H385="","待估算",IF(E385="已完成","已结束",IF(AND(ISNUMBER(F385),ISNUMBER(G385),F385&lt;=项目驾驶舱!$B$3,G385&gt;=项目驾驶舱!$B$3),"进行中","计划中")))</f>
        <v>计划中</v>
      </c>
      <c r="J385" s="6" t="str">
        <f>IF(I385="待估算",IF(OR(F385="/",G385="/",F385="",G385=""),"补充计划日期","补充投入工时"),IF(AND(G385&lt;项目驾驶舱!$B$3,E385&lt;&gt;"已完成"),"确认延期和后续安排","按计划跟踪"))</f>
        <v>按计划跟踪</v>
      </c>
      <c r="K385" s="8"/>
      <c r="L385" t="s">
        <v>400</v>
      </c>
    </row>
    <row r="386" spans="1:12">
      <c r="B386" s="6" t="str">
        <f>项目总控台账!A30</f>
        <v>T027</v>
      </c>
      <c r="C386" s="6" t="str">
        <f>IF(AND(项目总控台账!E30&lt;&gt;"",项目总控台账!E30&lt;&gt;"/"),项目总控台账!E30,IF(AND(项目总控台账!D30&lt;&gt;"",项目总控台账!D30&lt;&gt;"/"),项目总控台账!D30,项目总控台账!C30))</f>
        <v>修改卸船作业委托信息</v>
      </c>
      <c r="D386" s="6" t="str">
        <f>项目总控台账!F30</f>
        <v>第二批次</v>
      </c>
      <c r="E386" s="6" t="str">
        <f>项目总控台账!G30</f>
        <v>进行中</v>
      </c>
      <c r="F386" s="17">
        <f>项目总控台账!R30</f>
        <v>46307</v>
      </c>
      <c r="G386" s="17">
        <f>项目总控台账!S30</f>
        <v>46339</v>
      </c>
      <c r="H386" s="70">
        <v>5</v>
      </c>
      <c r="I386" s="6" t="str">
        <f>IF(H386="","待估算",IF(E386="已完成","已结束",IF(AND(ISNUMBER(F386),ISNUMBER(G386),F386&lt;=项目驾驶舱!$B$3,G386&gt;=项目驾驶舱!$B$3),"进行中","计划中")))</f>
        <v>计划中</v>
      </c>
      <c r="J386" s="6" t="str">
        <f>IF(I386="待估算",IF(OR(F386="/",G386="/",F386="",G386=""),"补充计划日期","补充投入工时"),IF(AND(G386&lt;项目驾驶舱!$B$3,E386&lt;&gt;"已完成"),"确认延期和后续安排","按计划跟踪"))</f>
        <v>按计划跟踪</v>
      </c>
      <c r="K386" s="8"/>
      <c r="L386" t="s">
        <v>400</v>
      </c>
    </row>
    <row r="387" spans="1:12">
      <c r="B387" s="6" t="str">
        <f>项目总控台账!A31</f>
        <v>T028</v>
      </c>
      <c r="C387" s="6" t="str">
        <f>IF(AND(项目总控台账!E31&lt;&gt;"",项目总控台账!E31&lt;&gt;"/"),项目总控台账!E31,IF(AND(项目总控台账!D31&lt;&gt;"",项目总控台账!D31&lt;&gt;"/"),项目总控台账!D31,项目总控台账!C31))</f>
        <v>作废卸船作业委托信息</v>
      </c>
      <c r="D387" s="6" t="str">
        <f>项目总控台账!F31</f>
        <v>第二批次</v>
      </c>
      <c r="E387" s="6" t="str">
        <f>项目总控台账!G31</f>
        <v>进行中</v>
      </c>
      <c r="F387" s="17">
        <f>项目总控台账!R31</f>
        <v>46307</v>
      </c>
      <c r="G387" s="17">
        <f>项目总控台账!S31</f>
        <v>46339</v>
      </c>
      <c r="H387" s="70">
        <v>5</v>
      </c>
      <c r="I387" s="6" t="str">
        <f>IF(H387="","待估算",IF(E387="已完成","已结束",IF(AND(ISNUMBER(F387),ISNUMBER(G387),F387&lt;=项目驾驶舱!$B$3,G387&gt;=项目驾驶舱!$B$3),"进行中","计划中")))</f>
        <v>计划中</v>
      </c>
      <c r="J387" s="6" t="str">
        <f>IF(I387="待估算",IF(OR(F387="/",G387="/",F387="",G387=""),"补充计划日期","补充投入工时"),IF(AND(G387&lt;项目驾驶舱!$B$3,E387&lt;&gt;"已完成"),"确认延期和后续安排","按计划跟踪"))</f>
        <v>按计划跟踪</v>
      </c>
      <c r="K387" s="8"/>
      <c r="L387" t="s">
        <v>400</v>
      </c>
    </row>
    <row r="388" spans="1:12">
      <c r="B388" s="6" t="str">
        <f>项目总控台账!A32</f>
        <v>T029</v>
      </c>
      <c r="C388" s="6" t="str">
        <f>IF(AND(项目总控台账!E32&lt;&gt;"",项目总控台账!E32&lt;&gt;"/"),项目总控台账!E32,IF(AND(项目总控台账!D32&lt;&gt;"",项目总控台账!D32&lt;&gt;"/"),项目总控台账!D32,项目总控台账!C32))</f>
        <v>推送卸船作业委托信息</v>
      </c>
      <c r="D388" s="6" t="str">
        <f>项目总控台账!F32</f>
        <v>第二批次</v>
      </c>
      <c r="E388" s="6" t="str">
        <f>项目总控台账!G32</f>
        <v>进行中</v>
      </c>
      <c r="F388" s="17">
        <f>项目总控台账!R32</f>
        <v>46307</v>
      </c>
      <c r="G388" s="17">
        <f>项目总控台账!S32</f>
        <v>46339</v>
      </c>
      <c r="H388" s="70">
        <v>5</v>
      </c>
      <c r="I388" s="6" t="str">
        <f>IF(H388="","待估算",IF(E388="已完成","已结束",IF(AND(ISNUMBER(F388),ISNUMBER(G388),F388&lt;=项目驾驶舱!$B$3,G388&gt;=项目驾驶舱!$B$3),"进行中","计划中")))</f>
        <v>计划中</v>
      </c>
      <c r="J388" s="6" t="str">
        <f>IF(I388="待估算",IF(OR(F388="/",G388="/",F388="",G388=""),"补充计划日期","补充投入工时"),IF(AND(G388&lt;项目驾驶舱!$B$3,E388&lt;&gt;"已完成"),"确认延期和后续安排","按计划跟踪"))</f>
        <v>按计划跟踪</v>
      </c>
      <c r="K388" s="8"/>
      <c r="L388" t="s">
        <v>400</v>
      </c>
    </row>
    <row r="389" spans="1:12">
      <c r="B389" s="6" t="str">
        <f>项目总控台账!A33</f>
        <v>T030</v>
      </c>
      <c r="C389" s="6" t="str">
        <f>IF(AND(项目总控台账!E33&lt;&gt;"",项目总控台账!E33&lt;&gt;"/"),项目总控台账!E33,IF(AND(项目总控台账!D33&lt;&gt;"",项目总控台账!D33&lt;&gt;"/"),项目总控台账!D33,项目总控台账!C33))</f>
        <v>查询卸船作业委托信息</v>
      </c>
      <c r="D389" s="6" t="str">
        <f>项目总控台账!F33</f>
        <v>第二批次</v>
      </c>
      <c r="E389" s="6" t="str">
        <f>项目总控台账!G33</f>
        <v>进行中</v>
      </c>
      <c r="F389" s="17">
        <f>项目总控台账!R33</f>
        <v>46307</v>
      </c>
      <c r="G389" s="17">
        <f>项目总控台账!S33</f>
        <v>46339</v>
      </c>
      <c r="H389" s="70">
        <v>5</v>
      </c>
      <c r="I389" s="6" t="str">
        <f>IF(H389="","待估算",IF(E389="已完成","已结束",IF(AND(ISNUMBER(F389),ISNUMBER(G389),F389&lt;=项目驾驶舱!$B$3,G389&gt;=项目驾驶舱!$B$3),"进行中","计划中")))</f>
        <v>计划中</v>
      </c>
      <c r="J389" s="6" t="str">
        <f>IF(I389="待估算",IF(OR(F389="/",G389="/",F389="",G389=""),"补充计划日期","补充投入工时"),IF(AND(G389&lt;项目驾驶舱!$B$3,E389&lt;&gt;"已完成"),"确认延期和后续安排","按计划跟踪"))</f>
        <v>按计划跟踪</v>
      </c>
      <c r="K389" s="8"/>
      <c r="L389" t="s">
        <v>400</v>
      </c>
    </row>
    <row r="390" spans="1:12">
      <c r="B390" s="6" t="str">
        <f>项目总控台账!A34</f>
        <v>T031</v>
      </c>
      <c r="C390" s="6" t="str">
        <f>IF(AND(项目总控台账!E34&lt;&gt;"",项目总控台账!E34&lt;&gt;"/"),项目总控台账!E34,IF(AND(项目总控台账!D34&lt;&gt;"",项目总控台账!D34&lt;&gt;"/"),项目总控台账!D34,项目总控台账!C34))</f>
        <v>创建外轮转内贸业务信息</v>
      </c>
      <c r="D390" s="6" t="str">
        <f>项目总控台账!F34</f>
        <v>第二批次</v>
      </c>
      <c r="E390" s="6" t="str">
        <f>项目总控台账!G34</f>
        <v>未开始</v>
      </c>
      <c r="F390" s="17">
        <f>项目总控台账!R34</f>
        <v>46307</v>
      </c>
      <c r="G390" s="17">
        <f>项目总控台账!S34</f>
        <v>46339</v>
      </c>
      <c r="H390" s="70">
        <v>5</v>
      </c>
      <c r="I390" s="6" t="str">
        <f>IF(H390="","待估算",IF(E390="已完成","已结束",IF(AND(ISNUMBER(F390),ISNUMBER(G390),F390&lt;=项目驾驶舱!$B$3,G390&gt;=项目驾驶舱!$B$3),"进行中","计划中")))</f>
        <v>计划中</v>
      </c>
      <c r="J390" s="6" t="str">
        <f>IF(I390="待估算",IF(OR(F390="/",G390="/",F390="",G390=""),"补充计划日期","补充投入工时"),IF(AND(G390&lt;项目驾驶舱!$B$3,E390&lt;&gt;"已完成"),"确认延期和后续安排","按计划跟踪"))</f>
        <v>按计划跟踪</v>
      </c>
      <c r="K390" s="8"/>
      <c r="L390" t="s">
        <v>400</v>
      </c>
    </row>
    <row r="391" spans="1:12">
      <c r="B391" s="6" t="str">
        <f>项目总控台账!A35</f>
        <v>T032</v>
      </c>
      <c r="C391" s="6" t="str">
        <f>IF(AND(项目总控台账!E35&lt;&gt;"",项目总控台账!E35&lt;&gt;"/"),项目总控台账!E35,IF(AND(项目总控台账!D35&lt;&gt;"",项目总控台账!D35&lt;&gt;"/"),项目总控台账!D35,项目总控台账!C35))</f>
        <v>作废外轮转内贸业务信息</v>
      </c>
      <c r="D391" s="6" t="str">
        <f>项目总控台账!F35</f>
        <v>第二批次</v>
      </c>
      <c r="E391" s="6" t="str">
        <f>项目总控台账!G35</f>
        <v>未开始</v>
      </c>
      <c r="F391" s="17">
        <f>项目总控台账!R35</f>
        <v>46307</v>
      </c>
      <c r="G391" s="17">
        <f>项目总控台账!S35</f>
        <v>46339</v>
      </c>
      <c r="H391" s="70">
        <v>5</v>
      </c>
      <c r="I391" s="6" t="str">
        <f>IF(H391="","待估算",IF(E391="已完成","已结束",IF(AND(ISNUMBER(F391),ISNUMBER(G391),F391&lt;=项目驾驶舱!$B$3,G391&gt;=项目驾驶舱!$B$3),"进行中","计划中")))</f>
        <v>计划中</v>
      </c>
      <c r="J391" s="6" t="str">
        <f>IF(I391="待估算",IF(OR(F391="/",G391="/",F391="",G391=""),"补充计划日期","补充投入工时"),IF(AND(G391&lt;项目驾驶舱!$B$3,E391&lt;&gt;"已完成"),"确认延期和后续安排","按计划跟踪"))</f>
        <v>按计划跟踪</v>
      </c>
      <c r="K391" s="8"/>
      <c r="L391" t="s">
        <v>400</v>
      </c>
    </row>
    <row r="392" spans="1:12">
      <c r="A392" s="71"/>
      <c r="B392" s="6" t="str">
        <f>项目总控台账!A36</f>
        <v>T033</v>
      </c>
      <c r="C392" s="6" t="str">
        <f>IF(AND(项目总控台账!E36&lt;&gt;"",项目总控台账!E36&lt;&gt;"/"),项目总控台账!E36,IF(AND(项目总控台账!D36&lt;&gt;"",项目总控台账!D36&lt;&gt;"/"),项目总控台账!D36,项目总控台账!C36))</f>
        <v>查询外轮转内贸业务信息</v>
      </c>
      <c r="D392" s="6" t="str">
        <f>项目总控台账!F36</f>
        <v>第二批次</v>
      </c>
      <c r="E392" s="6" t="str">
        <f>项目总控台账!G36</f>
        <v>未开始</v>
      </c>
      <c r="F392" s="17">
        <f>项目总控台账!R36</f>
        <v>46307</v>
      </c>
      <c r="G392" s="17">
        <f>项目总控台账!S36</f>
        <v>46339</v>
      </c>
      <c r="H392" s="70">
        <v>5</v>
      </c>
      <c r="I392" s="6" t="str">
        <f>IF(H392="","待估算",IF(E392="已完成","已结束",IF(AND(ISNUMBER(F392),ISNUMBER(G392),F392&lt;=项目驾驶舱!$B$3,G392&gt;=项目驾驶舱!$B$3),"进行中","计划中")))</f>
        <v>计划中</v>
      </c>
      <c r="J392" s="6" t="str">
        <f>IF(I392="待估算",IF(OR(F392="/",G392="/",F392="",G392=""),"补充计划日期","补充投入工时"),IF(AND(G392&lt;项目驾驶舱!$B$3,E392&lt;&gt;"已完成"),"确认延期和后续安排","按计划跟踪"))</f>
        <v>按计划跟踪</v>
      </c>
      <c r="K392" s="8"/>
      <c r="L392" t="s">
        <v>400</v>
      </c>
    </row>
    <row r="393" spans="1:12">
      <c r="A393" s="72" t="s">
        <v>400</v>
      </c>
      <c r="B393" s="6" t="str">
        <f>项目总控台账!A37</f>
        <v>T034</v>
      </c>
      <c r="C393" s="6" t="str">
        <f>IF(AND(项目总控台账!E37&lt;&gt;"",项目总控台账!E37&lt;&gt;"/"),项目总控台账!E37,IF(AND(项目总控台账!D37&lt;&gt;"",项目总控台账!D37&lt;&gt;"/"),项目总控台账!D37,项目总控台账!C37))</f>
        <v>新增船舶靠泊通知单</v>
      </c>
      <c r="D393" s="6" t="str">
        <f>项目总控台账!F37</f>
        <v>第二批次</v>
      </c>
      <c r="E393" s="6" t="str">
        <f>项目总控台账!G37</f>
        <v>进行中</v>
      </c>
      <c r="F393" s="17">
        <f>项目总控台账!R37</f>
        <v>46307</v>
      </c>
      <c r="G393" s="17">
        <f>项目总控台账!S37</f>
        <v>46339</v>
      </c>
      <c r="H393" s="70">
        <v>5</v>
      </c>
      <c r="I393" s="6" t="str">
        <f>IF(H393="","待估算",IF(E393="已完成","已结束",IF(AND(ISNUMBER(F393),ISNUMBER(G393),F393&lt;=项目驾驶舱!$B$3,G393&gt;=项目驾驶舱!$B$3),"进行中","计划中")))</f>
        <v>计划中</v>
      </c>
      <c r="J393" s="6" t="str">
        <f>IF(I393="待估算",IF(OR(F393="/",G393="/",F393="",G393=""),"补充计划日期","补充投入工时"),IF(AND(G393&lt;项目驾驶舱!$B$3,E393&lt;&gt;"已完成"),"确认延期和后续安排","按计划跟踪"))</f>
        <v>按计划跟踪</v>
      </c>
      <c r="K393" s="8"/>
      <c r="L393" t="s">
        <v>400</v>
      </c>
    </row>
    <row r="394" spans="1:12">
      <c r="B394" s="6" t="str">
        <f>项目总控台账!A38</f>
        <v>T035</v>
      </c>
      <c r="C394" s="6" t="str">
        <f>IF(AND(项目总控台账!E38&lt;&gt;"",项目总控台账!E38&lt;&gt;"/"),项目总控台账!E38,IF(AND(项目总控台账!D38&lt;&gt;"",项目总控台账!D38&lt;&gt;"/"),项目总控台账!D38,项目总控台账!C38))</f>
        <v>审批船舶靠泊通知单</v>
      </c>
      <c r="D394" s="6" t="str">
        <f>项目总控台账!F38</f>
        <v>第二批次</v>
      </c>
      <c r="E394" s="6" t="str">
        <f>项目总控台账!G38</f>
        <v>进行中</v>
      </c>
      <c r="F394" s="17">
        <f>项目总控台账!R38</f>
        <v>46307</v>
      </c>
      <c r="G394" s="17">
        <f>项目总控台账!S38</f>
        <v>46339</v>
      </c>
      <c r="H394" s="70">
        <v>5</v>
      </c>
      <c r="I394" s="6" t="str">
        <f>IF(H394="","待估算",IF(E394="已完成","已结束",IF(AND(ISNUMBER(F394),ISNUMBER(G394),F394&lt;=项目驾驶舱!$B$3,G394&gt;=项目驾驶舱!$B$3),"进行中","计划中")))</f>
        <v>计划中</v>
      </c>
      <c r="J394" s="6" t="str">
        <f>IF(I394="待估算",IF(OR(F394="/",G394="/",F394="",G394=""),"补充计划日期","补充投入工时"),IF(AND(G394&lt;项目驾驶舱!$B$3,E394&lt;&gt;"已完成"),"确认延期和后续安排","按计划跟踪"))</f>
        <v>按计划跟踪</v>
      </c>
      <c r="K394" s="8"/>
      <c r="L394" t="s">
        <v>400</v>
      </c>
    </row>
    <row r="395" spans="1:12">
      <c r="B395" s="6" t="str">
        <f>项目总控台账!A39</f>
        <v>T036</v>
      </c>
      <c r="C395" s="6" t="str">
        <f>IF(AND(项目总控台账!E39&lt;&gt;"",项目总控台账!E39&lt;&gt;"/"),项目总控台账!E39,IF(AND(项目总控台账!D39&lt;&gt;"",项目总控台账!D39&lt;&gt;"/"),项目总控台账!D39,项目总控台账!C39))</f>
        <v>查询船舶靠泊通知单</v>
      </c>
      <c r="D395" s="6" t="str">
        <f>项目总控台账!F39</f>
        <v>第二批次</v>
      </c>
      <c r="E395" s="6" t="str">
        <f>项目总控台账!G39</f>
        <v>进行中</v>
      </c>
      <c r="F395" s="17">
        <f>项目总控台账!R39</f>
        <v>46307</v>
      </c>
      <c r="G395" s="17">
        <f>项目总控台账!S39</f>
        <v>46339</v>
      </c>
      <c r="H395" s="70">
        <v>5</v>
      </c>
      <c r="I395" s="6" t="str">
        <f>IF(H395="","待估算",IF(E395="已完成","已结束",IF(AND(ISNUMBER(F395),ISNUMBER(G395),F395&lt;=项目驾驶舱!$B$3,G395&gt;=项目驾驶舱!$B$3),"进行中","计划中")))</f>
        <v>计划中</v>
      </c>
      <c r="J395" s="6" t="str">
        <f>IF(I395="待估算",IF(OR(F395="/",G395="/",F395="",G395=""),"补充计划日期","补充投入工时"),IF(AND(G395&lt;项目驾驶舱!$B$3,E395&lt;&gt;"已完成"),"确认延期和后续安排","按计划跟踪"))</f>
        <v>按计划跟踪</v>
      </c>
      <c r="K395" s="8"/>
      <c r="L395" t="s">
        <v>400</v>
      </c>
    </row>
    <row r="396" spans="1:12">
      <c r="B396" s="6" t="str">
        <f>项目总控台账!A49</f>
        <v>T046</v>
      </c>
      <c r="C396" s="6" t="str">
        <f>IF(AND(项目总控台账!E49&lt;&gt;"",项目总控台账!E49&lt;&gt;"/"),项目总控台账!E49,IF(AND(项目总控台账!D49&lt;&gt;"",项目总控台账!D49&lt;&gt;"/"),项目总控台账!D49,项目总控台账!C49))</f>
        <v>新增船舶预到（外贸）</v>
      </c>
      <c r="D396" s="6" t="str">
        <f>项目总控台账!F49</f>
        <v>第二批次</v>
      </c>
      <c r="E396" s="6" t="str">
        <f>项目总控台账!G49</f>
        <v>已完成</v>
      </c>
      <c r="F396" s="17">
        <f>项目总控台账!R49</f>
        <v>46307</v>
      </c>
      <c r="G396" s="17">
        <f>项目总控台账!S49</f>
        <v>46339</v>
      </c>
      <c r="H396" s="70">
        <v>5</v>
      </c>
      <c r="I396" s="6" t="str">
        <f>IF(H396="","待估算",IF(E396="已完成","已结束",IF(AND(ISNUMBER(F396),ISNUMBER(G396),F396&lt;=项目驾驶舱!$B$3,G396&gt;=项目驾驶舱!$B$3),"进行中","计划中")))</f>
        <v>已结束</v>
      </c>
      <c r="J396" s="6" t="str">
        <f>IF(I396="待估算",IF(OR(F396="/",G396="/",F396="",G396=""),"补充计划日期","补充投入工时"),IF(AND(G396&lt;项目驾驶舱!$B$3,E396&lt;&gt;"已完成"),"确认延期和后续安排","按计划跟踪"))</f>
        <v>按计划跟踪</v>
      </c>
      <c r="K396" s="8"/>
      <c r="L396" t="s">
        <v>400</v>
      </c>
    </row>
    <row r="397" spans="1:12">
      <c r="B397" s="6" t="str">
        <f>项目总控台账!A50</f>
        <v>T047</v>
      </c>
      <c r="C397" s="6" t="str">
        <f>IF(AND(项目总控台账!E50&lt;&gt;"",项目总控台账!E50&lt;&gt;"/"),项目总控台账!E50,IF(AND(项目总控台账!D50&lt;&gt;"",项目总控台账!D50&lt;&gt;"/"),项目总控台账!D50,项目总控台账!C50))</f>
        <v>退回船舶预到（外贸）</v>
      </c>
      <c r="D397" s="6" t="str">
        <f>项目总控台账!F50</f>
        <v>第二批次</v>
      </c>
      <c r="E397" s="6" t="str">
        <f>项目总控台账!G50</f>
        <v>未开始</v>
      </c>
      <c r="F397" s="17">
        <f>项目总控台账!R50</f>
        <v>46307</v>
      </c>
      <c r="G397" s="17">
        <f>项目总控台账!S50</f>
        <v>46339</v>
      </c>
      <c r="H397" s="70">
        <v>5</v>
      </c>
      <c r="I397" s="6" t="str">
        <f>IF(H397="","待估算",IF(E397="已完成","已结束",IF(AND(ISNUMBER(F397),ISNUMBER(G397),F397&lt;=项目驾驶舱!$B$3,G397&gt;=项目驾驶舱!$B$3),"进行中","计划中")))</f>
        <v>计划中</v>
      </c>
      <c r="J397" s="6" t="str">
        <f>IF(I397="待估算",IF(OR(F397="/",G397="/",F397="",G397=""),"补充计划日期","补充投入工时"),IF(AND(G397&lt;项目驾驶舱!$B$3,E397&lt;&gt;"已完成"),"确认延期和后续安排","按计划跟踪"))</f>
        <v>按计划跟踪</v>
      </c>
      <c r="K397" s="8"/>
      <c r="L397" t="s">
        <v>400</v>
      </c>
    </row>
    <row r="398" spans="1:12">
      <c r="B398" s="6" t="str">
        <f>项目总控台账!A51</f>
        <v>T048</v>
      </c>
      <c r="C398" s="6" t="str">
        <f>IF(AND(项目总控台账!E51&lt;&gt;"",项目总控台账!E51&lt;&gt;"/"),项目总控台账!E51,IF(AND(项目总控台账!D51&lt;&gt;"",项目总控台账!D51&lt;&gt;"/"),项目总控台账!D51,项目总控台账!C51))</f>
        <v>退回船舶预到（外贸）</v>
      </c>
      <c r="D398" s="6" t="str">
        <f>项目总控台账!F51</f>
        <v>第二批次</v>
      </c>
      <c r="E398" s="6" t="str">
        <f>项目总控台账!G51</f>
        <v>未开始</v>
      </c>
      <c r="F398" s="17">
        <f>项目总控台账!R51</f>
        <v>46307</v>
      </c>
      <c r="G398" s="17">
        <f>项目总控台账!S51</f>
        <v>46339</v>
      </c>
      <c r="H398" s="70">
        <v>5</v>
      </c>
      <c r="I398" s="6" t="str">
        <f>IF(H398="","待估算",IF(E398="已完成","已结束",IF(AND(ISNUMBER(F398),ISNUMBER(G398),F398&lt;=项目驾驶舱!$B$3,G398&gt;=项目驾驶舱!$B$3),"进行中","计划中")))</f>
        <v>计划中</v>
      </c>
      <c r="J398" s="6" t="str">
        <f>IF(I398="待估算",IF(OR(F398="/",G398="/",F398="",G398=""),"补充计划日期","补充投入工时"),IF(AND(G398&lt;项目驾驶舱!$B$3,E398&lt;&gt;"已完成"),"确认延期和后续安排","按计划跟踪"))</f>
        <v>按计划跟踪</v>
      </c>
      <c r="K398" s="8"/>
      <c r="L398" t="s">
        <v>400</v>
      </c>
    </row>
    <row r="399" spans="1:12">
      <c r="B399" s="6" t="str">
        <f>项目总控台账!A52</f>
        <v>T049</v>
      </c>
      <c r="C399" s="6" t="str">
        <f>IF(AND(项目总控台账!E52&lt;&gt;"",项目总控台账!E52&lt;&gt;"/"),项目总控台账!E52,IF(AND(项目总控台账!D52&lt;&gt;"",项目总控台账!D52&lt;&gt;"/"),项目总控台账!D52,项目总控台账!C52))</f>
        <v>申请采样申请（外贸）</v>
      </c>
      <c r="D399" s="6" t="str">
        <f>项目总控台账!F52</f>
        <v>第二批次</v>
      </c>
      <c r="E399" s="6" t="str">
        <f>项目总控台账!G52</f>
        <v>已完成</v>
      </c>
      <c r="F399" s="17">
        <f>项目总控台账!R52</f>
        <v>46307</v>
      </c>
      <c r="G399" s="17">
        <f>项目总控台账!S52</f>
        <v>46339</v>
      </c>
      <c r="H399" s="70">
        <v>5</v>
      </c>
      <c r="I399" s="6" t="str">
        <f>IF(H399="","待估算",IF(E399="已完成","已结束",IF(AND(ISNUMBER(F399),ISNUMBER(G399),F399&lt;=项目驾驶舱!$B$3,G399&gt;=项目驾驶舱!$B$3),"进行中","计划中")))</f>
        <v>已结束</v>
      </c>
      <c r="J399" s="6" t="str">
        <f>IF(I399="待估算",IF(OR(F399="/",G399="/",F399="",G399=""),"补充计划日期","补充投入工时"),IF(AND(G399&lt;项目驾驶舱!$B$3,E399&lt;&gt;"已完成"),"确认延期和后续安排","按计划跟踪"))</f>
        <v>按计划跟踪</v>
      </c>
      <c r="K399" s="8"/>
      <c r="L399" t="s">
        <v>400</v>
      </c>
    </row>
    <row r="400" spans="1:12">
      <c r="B400" s="6" t="str">
        <f>项目总控台账!A81</f>
        <v>T078</v>
      </c>
      <c r="C400" s="6" t="str">
        <f>IF(AND(项目总控台账!E81&lt;&gt;"",项目总控台账!E81&lt;&gt;"/"),项目总控台账!E81,IF(AND(项目总控台账!D81&lt;&gt;"",项目总控台账!D81&lt;&gt;"/"),项目总控台账!D81,项目总控台账!C81))</f>
        <v>业务数据合同签订校验</v>
      </c>
      <c r="D400" s="6" t="str">
        <f>项目总控台账!F81</f>
        <v>第二批次</v>
      </c>
      <c r="E400" s="6" t="str">
        <f>项目总控台账!G81</f>
        <v>未开始</v>
      </c>
      <c r="F400" s="17">
        <f>项目总控台账!R81</f>
        <v>46307</v>
      </c>
      <c r="G400" s="17">
        <f>项目总控台账!S81</f>
        <v>46339</v>
      </c>
      <c r="H400" s="70">
        <v>5</v>
      </c>
      <c r="I400" s="6" t="str">
        <f>IF(H400="","待估算",IF(E400="已完成","已结束",IF(AND(ISNUMBER(F400),ISNUMBER(G400),F400&lt;=项目驾驶舱!$B$3,G400&gt;=项目驾驶舱!$B$3),"进行中","计划中")))</f>
        <v>计划中</v>
      </c>
      <c r="J400" s="6" t="str">
        <f>IF(I400="待估算",IF(OR(F400="/",G400="/",F400="",G400=""),"补充计划日期","补充投入工时"),IF(AND(G400&lt;项目驾驶舱!$B$3,E400&lt;&gt;"已完成"),"确认延期和后续安排","按计划跟踪"))</f>
        <v>按计划跟踪</v>
      </c>
      <c r="K400" s="8"/>
      <c r="L400" t="s">
        <v>400</v>
      </c>
    </row>
    <row r="401" spans="1:12">
      <c r="B401" s="6" t="str">
        <f>项目总控台账!A82</f>
        <v>T079</v>
      </c>
      <c r="C401" s="6" t="str">
        <f>IF(AND(项目总控台账!E82&lt;&gt;"",项目总控台账!E82&lt;&gt;"/"),项目总控台账!E82,IF(AND(项目总控台账!D82&lt;&gt;"",项目总控台账!D82&lt;&gt;"/"),项目总控台账!D82,项目总控台账!C82))</f>
        <v>结算数据合同签订校验</v>
      </c>
      <c r="D401" s="6" t="str">
        <f>项目总控台账!F82</f>
        <v>第二批次</v>
      </c>
      <c r="E401" s="6" t="str">
        <f>项目总控台账!G82</f>
        <v>未开始</v>
      </c>
      <c r="F401" s="17">
        <f>项目总控台账!R82</f>
        <v>46307</v>
      </c>
      <c r="G401" s="17">
        <f>项目总控台账!S82</f>
        <v>46339</v>
      </c>
      <c r="H401" s="70">
        <v>5</v>
      </c>
      <c r="I401" s="6" t="str">
        <f>IF(H401="","待估算",IF(E401="已完成","已结束",IF(AND(ISNUMBER(F401),ISNUMBER(G401),F401&lt;=项目驾驶舱!$B$3,G401&gt;=项目驾驶舱!$B$3),"进行中","计划中")))</f>
        <v>计划中</v>
      </c>
      <c r="J401" s="6" t="str">
        <f>IF(I401="待估算",IF(OR(F401="/",G401="/",F401="",G401=""),"补充计划日期","补充投入工时"),IF(AND(G401&lt;项目驾驶舱!$B$3,E401&lt;&gt;"已完成"),"确认延期和后续安排","按计划跟踪"))</f>
        <v>按计划跟踪</v>
      </c>
      <c r="K401" s="8"/>
      <c r="L401" t="s">
        <v>400</v>
      </c>
    </row>
    <row r="402" spans="1:12">
      <c r="B402" s="6" t="str">
        <f>项目总控台账!A83</f>
        <v>T080</v>
      </c>
      <c r="C402" s="6" t="str">
        <f>IF(AND(项目总控台账!E83&lt;&gt;"",项目总控台账!E83&lt;&gt;"/"),项目总控台账!E83,IF(AND(项目总控台账!D83&lt;&gt;"",项目总控台账!D83&lt;&gt;"/"),项目总控台账!D83,项目总控台账!C83))</f>
        <v>合同校验结果查询</v>
      </c>
      <c r="D402" s="6" t="str">
        <f>项目总控台账!F83</f>
        <v>第二批次</v>
      </c>
      <c r="E402" s="6" t="str">
        <f>项目总控台账!G83</f>
        <v>未开始</v>
      </c>
      <c r="F402" s="17">
        <f>项目总控台账!R83</f>
        <v>46307</v>
      </c>
      <c r="G402" s="17">
        <f>项目总控台账!S83</f>
        <v>46339</v>
      </c>
      <c r="H402" s="70">
        <v>5</v>
      </c>
      <c r="I402" s="6" t="str">
        <f>IF(H402="","待估算",IF(E402="已完成","已结束",IF(AND(ISNUMBER(F402),ISNUMBER(G402),F402&lt;=项目驾驶舱!$B$3,G402&gt;=项目驾驶舱!$B$3),"进行中","计划中")))</f>
        <v>计划中</v>
      </c>
      <c r="J402" s="6" t="str">
        <f>IF(I402="待估算",IF(OR(F402="/",G402="/",F402="",G402=""),"补充计划日期","补充投入工时"),IF(AND(G402&lt;项目驾驶舱!$B$3,E402&lt;&gt;"已完成"),"确认延期和后续安排","按计划跟踪"))</f>
        <v>按计划跟踪</v>
      </c>
      <c r="K402" s="8"/>
      <c r="L402" t="s">
        <v>400</v>
      </c>
    </row>
    <row r="403" spans="1:12">
      <c r="B403" s="6" t="str">
        <f>项目总控台账!A84</f>
        <v>T081</v>
      </c>
      <c r="C403" s="6" t="str">
        <f>IF(AND(项目总控台账!E84&lt;&gt;"",项目总控台账!E84&lt;&gt;"/"),项目总控台账!E84,IF(AND(项目总控台账!D84&lt;&gt;"",项目总控台账!D84&lt;&gt;"/"),项目总控台账!D84,项目总控台账!C84))</f>
        <v>数据对接</v>
      </c>
      <c r="D403" s="6" t="str">
        <f>项目总控台账!F84</f>
        <v>第二批次</v>
      </c>
      <c r="E403" s="6" t="str">
        <f>项目总控台账!G84</f>
        <v>未开始</v>
      </c>
      <c r="F403" s="17">
        <f>项目总控台账!R84</f>
        <v>46307</v>
      </c>
      <c r="G403" s="17">
        <f>项目总控台账!S84</f>
        <v>46339</v>
      </c>
      <c r="H403" s="70">
        <v>5</v>
      </c>
      <c r="I403" s="6" t="str">
        <f>IF(H403="","待估算",IF(E403="已完成","已结束",IF(AND(ISNUMBER(F403),ISNUMBER(G403),F403&lt;=项目驾驶舱!$B$3,G403&gt;=项目驾驶舱!$B$3),"进行中","计划中")))</f>
        <v>计划中</v>
      </c>
      <c r="J403" s="6" t="str">
        <f>IF(I403="待估算",IF(OR(F403="/",G403="/",F403="",G403=""),"补充计划日期","补充投入工时"),IF(AND(G403&lt;项目驾驶舱!$B$3,E403&lt;&gt;"已完成"),"确认延期和后续安排","按计划跟踪"))</f>
        <v>按计划跟踪</v>
      </c>
      <c r="K403" s="8"/>
      <c r="L403" t="s">
        <v>400</v>
      </c>
    </row>
    <row r="404" spans="1:12">
      <c r="A404" s="71"/>
      <c r="B404" s="6" t="str">
        <f>项目总控台账!A85</f>
        <v>T082</v>
      </c>
      <c r="C404" s="6" t="str">
        <f>IF(AND(项目总控台账!E85&lt;&gt;"",项目总控台账!E85&lt;&gt;"/"),项目总控台账!E85,IF(AND(项目总控台账!D85&lt;&gt;"",项目总控台账!D85&lt;&gt;"/"),项目总控台账!D85,项目总控台账!C85))</f>
        <v>数据展示</v>
      </c>
      <c r="D404" s="6" t="str">
        <f>项目总控台账!F85</f>
        <v>第二批次</v>
      </c>
      <c r="E404" s="6" t="str">
        <f>项目总控台账!G85</f>
        <v>未开始</v>
      </c>
      <c r="F404" s="17">
        <f>项目总控台账!R85</f>
        <v>46307</v>
      </c>
      <c r="G404" s="17">
        <f>项目总控台账!S85</f>
        <v>46339</v>
      </c>
      <c r="H404" s="70">
        <v>5</v>
      </c>
      <c r="I404" s="6" t="str">
        <f>IF(H404="","待估算",IF(E404="已完成","已结束",IF(AND(ISNUMBER(F404),ISNUMBER(G404),F404&lt;=项目驾驶舱!$B$3,G404&gt;=项目驾驶舱!$B$3),"进行中","计划中")))</f>
        <v>计划中</v>
      </c>
      <c r="J404" s="6" t="str">
        <f>IF(I404="待估算",IF(OR(F404="/",G404="/",F404="",G404=""),"补充计划日期","补充投入工时"),IF(AND(G404&lt;项目驾驶舱!$B$3,E404&lt;&gt;"已完成"),"确认延期和后续安排","按计划跟踪"))</f>
        <v>按计划跟踪</v>
      </c>
      <c r="K404" s="8"/>
      <c r="L404" t="s">
        <v>400</v>
      </c>
    </row>
    <row r="405" spans="1:12">
      <c r="A405" s="72" t="s">
        <v>400</v>
      </c>
      <c r="B405" s="6" t="str">
        <f>项目总控台账!A86</f>
        <v>T083</v>
      </c>
      <c r="C405" s="6" t="str">
        <f>IF(AND(项目总控台账!E86&lt;&gt;"",项目总控台账!E86&lt;&gt;"/"),项目总控台账!E86,IF(AND(项目总控台账!D86&lt;&gt;"",项目总控台账!D86&lt;&gt;"/"),项目总控台账!D86,项目总控台账!C86))</f>
        <v>数据对接</v>
      </c>
      <c r="D405" s="6" t="str">
        <f>项目总控台账!F86</f>
        <v>第二批次</v>
      </c>
      <c r="E405" s="6" t="str">
        <f>项目总控台账!G86</f>
        <v>未开始</v>
      </c>
      <c r="F405" s="17">
        <f>项目总控台账!R86</f>
        <v>46307</v>
      </c>
      <c r="G405" s="17">
        <f>项目总控台账!S86</f>
        <v>46339</v>
      </c>
      <c r="H405" s="70">
        <v>5</v>
      </c>
      <c r="I405" s="6" t="str">
        <f>IF(H405="","待估算",IF(E405="已完成","已结束",IF(AND(ISNUMBER(F405),ISNUMBER(G405),F405&lt;=项目驾驶舱!$B$3,G405&gt;=项目驾驶舱!$B$3),"进行中","计划中")))</f>
        <v>计划中</v>
      </c>
      <c r="J405" s="6" t="str">
        <f>IF(I405="待估算",IF(OR(F405="/",G405="/",F405="",G405=""),"补充计划日期","补充投入工时"),IF(AND(G405&lt;项目驾驶舱!$B$3,E405&lt;&gt;"已完成"),"确认延期和后续安排","按计划跟踪"))</f>
        <v>按计划跟踪</v>
      </c>
      <c r="K405" s="8"/>
      <c r="L405" t="s">
        <v>400</v>
      </c>
    </row>
    <row r="406" spans="1:12">
      <c r="B406" s="6" t="str">
        <f>项目总控台账!A87</f>
        <v>T084</v>
      </c>
      <c r="C406" s="6" t="str">
        <f>IF(AND(项目总控台账!E87&lt;&gt;"",项目总控台账!E87&lt;&gt;"/"),项目总控台账!E87,IF(AND(项目总控台账!D87&lt;&gt;"",项目总控台账!D87&lt;&gt;"/"),项目总控台账!D87,项目总控台账!C87))</f>
        <v>数据产生</v>
      </c>
      <c r="D406" s="6" t="str">
        <f>项目总控台账!F87</f>
        <v>第二批次</v>
      </c>
      <c r="E406" s="6" t="str">
        <f>项目总控台账!G87</f>
        <v>未开始</v>
      </c>
      <c r="F406" s="17">
        <f>项目总控台账!R87</f>
        <v>46307</v>
      </c>
      <c r="G406" s="17">
        <f>项目总控台账!S87</f>
        <v>46339</v>
      </c>
      <c r="H406" s="70">
        <v>2.5</v>
      </c>
      <c r="I406" s="6" t="str">
        <f>IF(H406="","待估算",IF(E406="已完成","已结束",IF(AND(ISNUMBER(F406),ISNUMBER(G406),F406&lt;=项目驾驶舱!$B$3,G406&gt;=项目驾驶舱!$B$3),"进行中","计划中")))</f>
        <v>计划中</v>
      </c>
      <c r="J406" s="6" t="str">
        <f>IF(I406="待估算",IF(OR(F406="/",G406="/",F406="",G406=""),"补充计划日期","补充投入工时"),IF(AND(G406&lt;项目驾驶舱!$B$3,E406&lt;&gt;"已完成"),"确认延期和后续安排","按计划跟踪"))</f>
        <v>按计划跟踪</v>
      </c>
      <c r="K406" s="8"/>
      <c r="L406" t="s">
        <v>400</v>
      </c>
    </row>
    <row r="407" spans="1:12">
      <c r="B407" s="6" t="str">
        <f>项目总控台账!A88</f>
        <v>T085</v>
      </c>
      <c r="C407" s="6" t="str">
        <f>IF(AND(项目总控台账!E88&lt;&gt;"",项目总控台账!E88&lt;&gt;"/"),项目总控台账!E88,IF(AND(项目总控台账!D88&lt;&gt;"",项目总控台账!D88&lt;&gt;"/"),项目总控台账!D88,项目总控台账!C88))</f>
        <v>数据对接</v>
      </c>
      <c r="D407" s="6" t="str">
        <f>项目总控台账!F88</f>
        <v>第二批次</v>
      </c>
      <c r="E407" s="6" t="str">
        <f>项目总控台账!G88</f>
        <v>未开始</v>
      </c>
      <c r="F407" s="17">
        <f>项目总控台账!R88</f>
        <v>46307</v>
      </c>
      <c r="G407" s="17">
        <f>项目总控台账!S88</f>
        <v>46339</v>
      </c>
      <c r="H407" s="70">
        <v>2.5</v>
      </c>
      <c r="I407" s="6" t="str">
        <f>IF(H407="","待估算",IF(E407="已完成","已结束",IF(AND(ISNUMBER(F407),ISNUMBER(G407),F407&lt;=项目驾驶舱!$B$3,G407&gt;=项目驾驶舱!$B$3),"进行中","计划中")))</f>
        <v>计划中</v>
      </c>
      <c r="J407" s="6" t="str">
        <f>IF(I407="待估算",IF(OR(F407="/",G407="/",F407="",G407=""),"补充计划日期","补充投入工时"),IF(AND(G407&lt;项目驾驶舱!$B$3,E407&lt;&gt;"已完成"),"确认延期和后续安排","按计划跟踪"))</f>
        <v>按计划跟踪</v>
      </c>
      <c r="K407" s="8"/>
      <c r="L407" t="s">
        <v>400</v>
      </c>
    </row>
    <row r="408" spans="1:12">
      <c r="B408" s="6" t="str">
        <f>项目总控台账!A89</f>
        <v>T086</v>
      </c>
      <c r="C408" s="6" t="str">
        <f>IF(AND(项目总控台账!E89&lt;&gt;"",项目总控台账!E89&lt;&gt;"/"),项目总控台账!E89,IF(AND(项目总控台账!D89&lt;&gt;"",项目总控台账!D89&lt;&gt;"/"),项目总控台账!D89,项目总控台账!C89))</f>
        <v>数据展示</v>
      </c>
      <c r="D408" s="6" t="str">
        <f>项目总控台账!F89</f>
        <v>第二批次</v>
      </c>
      <c r="E408" s="6" t="str">
        <f>项目总控台账!G89</f>
        <v>未开始</v>
      </c>
      <c r="F408" s="17">
        <f>项目总控台账!R89</f>
        <v>46307</v>
      </c>
      <c r="G408" s="17">
        <f>项目总控台账!S89</f>
        <v>46339</v>
      </c>
      <c r="H408" s="70">
        <v>2.5</v>
      </c>
      <c r="I408" s="6" t="str">
        <f>IF(H408="","待估算",IF(E408="已完成","已结束",IF(AND(ISNUMBER(F408),ISNUMBER(G408),F408&lt;=项目驾驶舱!$B$3,G408&gt;=项目驾驶舱!$B$3),"进行中","计划中")))</f>
        <v>计划中</v>
      </c>
      <c r="J408" s="6" t="str">
        <f>IF(I408="待估算",IF(OR(F408="/",G408="/",F408="",G408=""),"补充计划日期","补充投入工时"),IF(AND(G408&lt;项目驾驶舱!$B$3,E408&lt;&gt;"已完成"),"确认延期和后续安排","按计划跟踪"))</f>
        <v>按计划跟踪</v>
      </c>
      <c r="K408" s="8"/>
      <c r="L408" t="s">
        <v>400</v>
      </c>
    </row>
    <row r="409" spans="1:12">
      <c r="B409" s="6" t="str">
        <f>项目总控台账!A90</f>
        <v>T087</v>
      </c>
      <c r="C409" s="6" t="str">
        <f>IF(AND(项目总控台账!E90&lt;&gt;"",项目总控台账!E90&lt;&gt;"/"),项目总控台账!E90,IF(AND(项目总控台账!D90&lt;&gt;"",项目总控台账!D90&lt;&gt;"/"),项目总控台账!D90,项目总控台账!C90))</f>
        <v>数据对接</v>
      </c>
      <c r="D409" s="6" t="str">
        <f>项目总控台账!F90</f>
        <v>第二批次</v>
      </c>
      <c r="E409" s="6" t="str">
        <f>项目总控台账!G90</f>
        <v>未开始</v>
      </c>
      <c r="F409" s="17">
        <f>项目总控台账!R90</f>
        <v>46307</v>
      </c>
      <c r="G409" s="17">
        <f>项目总控台账!S90</f>
        <v>46339</v>
      </c>
      <c r="H409" s="70">
        <v>2.5</v>
      </c>
      <c r="I409" s="6" t="str">
        <f>IF(H409="","待估算",IF(E409="已完成","已结束",IF(AND(ISNUMBER(F409),ISNUMBER(G409),F409&lt;=项目驾驶舱!$B$3,G409&gt;=项目驾驶舱!$B$3),"进行中","计划中")))</f>
        <v>计划中</v>
      </c>
      <c r="J409" s="6" t="str">
        <f>IF(I409="待估算",IF(OR(F409="/",G409="/",F409="",G409=""),"补充计划日期","补充投入工时"),IF(AND(G409&lt;项目驾驶舱!$B$3,E409&lt;&gt;"已完成"),"确认延期和后续安排","按计划跟踪"))</f>
        <v>按计划跟踪</v>
      </c>
      <c r="K409" s="8"/>
      <c r="L409" t="s">
        <v>400</v>
      </c>
    </row>
    <row r="410" spans="1:12">
      <c r="B410" s="6" t="str">
        <f>项目总控台账!A91</f>
        <v>T088</v>
      </c>
      <c r="C410" s="6" t="str">
        <f>IF(AND(项目总控台账!E91&lt;&gt;"",项目总控台账!E91&lt;&gt;"/"),项目总控台账!E91,IF(AND(项目总控台账!D91&lt;&gt;"",项目总控台账!D91&lt;&gt;"/"),项目总控台账!D91,项目总控台账!C91))</f>
        <v>数据展示</v>
      </c>
      <c r="D410" s="6" t="str">
        <f>项目总控台账!F91</f>
        <v>第二批次</v>
      </c>
      <c r="E410" s="6" t="str">
        <f>项目总控台账!G91</f>
        <v>未开始</v>
      </c>
      <c r="F410" s="17">
        <f>项目总控台账!R91</f>
        <v>46307</v>
      </c>
      <c r="G410" s="17">
        <f>项目总控台账!S91</f>
        <v>46339</v>
      </c>
      <c r="H410" s="70">
        <v>2.5</v>
      </c>
      <c r="I410" s="6" t="str">
        <f>IF(H410="","待估算",IF(E410="已完成","已结束",IF(AND(ISNUMBER(F410),ISNUMBER(G410),F410&lt;=项目驾驶舱!$B$3,G410&gt;=项目驾驶舱!$B$3),"进行中","计划中")))</f>
        <v>计划中</v>
      </c>
      <c r="J410" s="6" t="str">
        <f>IF(I410="待估算",IF(OR(F410="/",G410="/",F410="",G410=""),"补充计划日期","补充投入工时"),IF(AND(G410&lt;项目驾驶舱!$B$3,E410&lt;&gt;"已完成"),"确认延期和后续安排","按计划跟踪"))</f>
        <v>按计划跟踪</v>
      </c>
      <c r="K410" s="8"/>
      <c r="L410" t="s">
        <v>400</v>
      </c>
    </row>
    <row r="411" spans="1:12">
      <c r="B411" s="6" t="str">
        <f>项目总控台账!A92</f>
        <v>T089</v>
      </c>
      <c r="C411" s="6" t="str">
        <f>IF(AND(项目总控台账!E92&lt;&gt;"",项目总控台账!E92&lt;&gt;"/"),项目总控台账!E92,IF(AND(项目总控台账!D92&lt;&gt;"",项目总控台账!D92&lt;&gt;"/"),项目总控台账!D92,项目总控台账!C92))</f>
        <v>新增采样服务费（外贸）</v>
      </c>
      <c r="D411" s="6" t="str">
        <f>项目总控台账!F92</f>
        <v>第二批次</v>
      </c>
      <c r="E411" s="6" t="str">
        <f>项目总控台账!G92</f>
        <v>未开始</v>
      </c>
      <c r="F411" s="17">
        <f>项目总控台账!R92</f>
        <v>46307</v>
      </c>
      <c r="G411" s="17">
        <f>项目总控台账!S92</f>
        <v>46339</v>
      </c>
      <c r="H411" s="70">
        <v>2.5</v>
      </c>
      <c r="I411" s="6" t="str">
        <f>IF(H411="","待估算",IF(E411="已完成","已结束",IF(AND(ISNUMBER(F411),ISNUMBER(G411),F411&lt;=项目驾驶舱!$B$3,G411&gt;=项目驾驶舱!$B$3),"进行中","计划中")))</f>
        <v>计划中</v>
      </c>
      <c r="J411" s="6" t="str">
        <f>IF(I411="待估算",IF(OR(F411="/",G411="/",F411="",G411=""),"补充计划日期","补充投入工时"),IF(AND(G411&lt;项目驾驶舱!$B$3,E411&lt;&gt;"已完成"),"确认延期和后续安排","按计划跟踪"))</f>
        <v>按计划跟踪</v>
      </c>
      <c r="K411" s="8"/>
      <c r="L411" t="s">
        <v>400</v>
      </c>
    </row>
    <row r="412" spans="1:12">
      <c r="B412" s="6" t="str">
        <f>项目总控台账!A93</f>
        <v>T090</v>
      </c>
      <c r="C412" s="6" t="str">
        <f>IF(AND(项目总控台账!E93&lt;&gt;"",项目总控台账!E93&lt;&gt;"/"),项目总控台账!E93,IF(AND(项目总控台账!D93&lt;&gt;"",项目总控台账!D93&lt;&gt;"/"),项目总控台账!D93,项目总控台账!C93))</f>
        <v>审批采样服务费（外贸）</v>
      </c>
      <c r="D412" s="6" t="str">
        <f>项目总控台账!F93</f>
        <v>第二批次</v>
      </c>
      <c r="E412" s="6" t="str">
        <f>项目总控台账!G93</f>
        <v>未开始</v>
      </c>
      <c r="F412" s="17">
        <f>项目总控台账!R93</f>
        <v>46307</v>
      </c>
      <c r="G412" s="17">
        <f>项目总控台账!S93</f>
        <v>46339</v>
      </c>
      <c r="H412" s="70">
        <v>2.5</v>
      </c>
      <c r="I412" s="6" t="str">
        <f>IF(H412="","待估算",IF(E412="已完成","已结束",IF(AND(ISNUMBER(F412),ISNUMBER(G412),F412&lt;=项目驾驶舱!$B$3,G412&gt;=项目驾驶舱!$B$3),"进行中","计划中")))</f>
        <v>计划中</v>
      </c>
      <c r="J412" s="6" t="str">
        <f>IF(I412="待估算",IF(OR(F412="/",G412="/",F412="",G412=""),"补充计划日期","补充投入工时"),IF(AND(G412&lt;项目驾驶舱!$B$3,E412&lt;&gt;"已完成"),"确认延期和后续安排","按计划跟踪"))</f>
        <v>按计划跟踪</v>
      </c>
      <c r="K412" s="8"/>
      <c r="L412" t="s">
        <v>400</v>
      </c>
    </row>
    <row r="413" spans="1:12">
      <c r="B413" s="6" t="str">
        <f>项目总控台账!A94</f>
        <v>T091</v>
      </c>
      <c r="C413" s="6" t="str">
        <f>IF(AND(项目总控台账!E94&lt;&gt;"",项目总控台账!E94&lt;&gt;"/"),项目总控台账!E94,IF(AND(项目总控台账!D94&lt;&gt;"",项目总控台账!D94&lt;&gt;"/"),项目总控台账!D94,项目总控台账!C94))</f>
        <v>单据签章</v>
      </c>
      <c r="D413" s="6" t="str">
        <f>项目总控台账!F94</f>
        <v>第二批次</v>
      </c>
      <c r="E413" s="6" t="str">
        <f>项目总控台账!G94</f>
        <v>未开始</v>
      </c>
      <c r="F413" s="17">
        <f>项目总控台账!R94</f>
        <v>46307</v>
      </c>
      <c r="G413" s="17">
        <f>项目总控台账!S94</f>
        <v>46339</v>
      </c>
      <c r="H413" s="70">
        <v>2.5</v>
      </c>
      <c r="I413" s="6" t="str">
        <f>IF(H413="","待估算",IF(E413="已完成","已结束",IF(AND(ISNUMBER(F413),ISNUMBER(G413),F413&lt;=项目驾驶舱!$B$3,G413&gt;=项目驾驶舱!$B$3),"进行中","计划中")))</f>
        <v>计划中</v>
      </c>
      <c r="J413" s="6" t="str">
        <f>IF(I413="待估算",IF(OR(F413="/",G413="/",F413="",G413=""),"补充计划日期","补充投入工时"),IF(AND(G413&lt;项目驾驶舱!$B$3,E413&lt;&gt;"已完成"),"确认延期和后续安排","按计划跟踪"))</f>
        <v>按计划跟踪</v>
      </c>
      <c r="K413" s="8"/>
      <c r="L413" t="s">
        <v>400</v>
      </c>
    </row>
    <row r="414" spans="1:12">
      <c r="B414" s="6" t="str">
        <f>项目总控台账!A95</f>
        <v>T092</v>
      </c>
      <c r="C414" s="6" t="str">
        <f>IF(AND(项目总控台账!E95&lt;&gt;"",项目总控台账!E95&lt;&gt;"/"),项目总控台账!E95,IF(AND(项目总控台账!D95&lt;&gt;"",项目总控台账!D95&lt;&gt;"/"),项目总控台账!D95,项目总控台账!C95))</f>
        <v>数据推送</v>
      </c>
      <c r="D414" s="6" t="str">
        <f>项目总控台账!F95</f>
        <v>第二批次</v>
      </c>
      <c r="E414" s="6" t="str">
        <f>项目总控台账!G95</f>
        <v>未开始</v>
      </c>
      <c r="F414" s="17">
        <f>项目总控台账!R95</f>
        <v>46307</v>
      </c>
      <c r="G414" s="17">
        <f>项目总控台账!S95</f>
        <v>46339</v>
      </c>
      <c r="H414" s="70">
        <v>2.5</v>
      </c>
      <c r="I414" s="6" t="str">
        <f>IF(H414="","待估算",IF(E414="已完成","已结束",IF(AND(ISNUMBER(F414),ISNUMBER(G414),F414&lt;=项目驾驶舱!$B$3,G414&gt;=项目驾驶舱!$B$3),"进行中","计划中")))</f>
        <v>计划中</v>
      </c>
      <c r="J414" s="6" t="str">
        <f>IF(I414="待估算",IF(OR(F414="/",G414="/",F414="",G414=""),"补充计划日期","补充投入工时"),IF(AND(G414&lt;项目驾驶舱!$B$3,E414&lt;&gt;"已完成"),"确认延期和后续安排","按计划跟踪"))</f>
        <v>按计划跟踪</v>
      </c>
      <c r="K414" s="8"/>
      <c r="L414" t="s">
        <v>400</v>
      </c>
    </row>
    <row r="415" spans="1:12">
      <c r="B415" s="6" t="str">
        <f>项目总控台账!A96</f>
        <v>T093</v>
      </c>
      <c r="C415" s="6" t="str">
        <f>IF(AND(项目总控台账!E96&lt;&gt;"",项目总控台账!E96&lt;&gt;"/"),项目总控台账!E96,IF(AND(项目总控台账!D96&lt;&gt;"",项目总控台账!D96&lt;&gt;"/"),项目总控台账!D96,项目总控台账!C96))</f>
        <v>数据对接</v>
      </c>
      <c r="D415" s="6" t="str">
        <f>项目总控台账!F96</f>
        <v>第二批次</v>
      </c>
      <c r="E415" s="6" t="str">
        <f>项目总控台账!G96</f>
        <v>未开始</v>
      </c>
      <c r="F415" s="17">
        <f>项目总控台账!R96</f>
        <v>46307</v>
      </c>
      <c r="G415" s="17">
        <f>项目总控台账!S96</f>
        <v>46339</v>
      </c>
      <c r="H415" s="70">
        <v>2.5</v>
      </c>
      <c r="I415" s="6" t="str">
        <f>IF(H415="","待估算",IF(E415="已完成","已结束",IF(AND(ISNUMBER(F415),ISNUMBER(G415),F415&lt;=项目驾驶舱!$B$3,G415&gt;=项目驾驶舱!$B$3),"进行中","计划中")))</f>
        <v>计划中</v>
      </c>
      <c r="J415" s="6" t="str">
        <f>IF(I415="待估算",IF(OR(F415="/",G415="/",F415="",G415=""),"补充计划日期","补充投入工时"),IF(AND(G415&lt;项目驾驶舱!$B$3,E415&lt;&gt;"已完成"),"确认延期和后续安排","按计划跟踪"))</f>
        <v>按计划跟踪</v>
      </c>
      <c r="K415" s="8"/>
      <c r="L415" t="s">
        <v>400</v>
      </c>
    </row>
    <row r="416" spans="1:12">
      <c r="A416" s="71"/>
      <c r="B416" s="6" t="str">
        <f>项目总控台账!A97</f>
        <v>T094</v>
      </c>
      <c r="C416" s="6" t="str">
        <f>IF(AND(项目总控台账!E97&lt;&gt;"",项目总控台账!E97&lt;&gt;"/"),项目总控台账!E97,IF(AND(项目总控台账!D97&lt;&gt;"",项目总控台账!D97&lt;&gt;"/"),项目总控台账!D97,项目总控台账!C97))</f>
        <v>数据展示</v>
      </c>
      <c r="D416" s="6" t="str">
        <f>项目总控台账!F97</f>
        <v>第二批次</v>
      </c>
      <c r="E416" s="6" t="str">
        <f>项目总控台账!G97</f>
        <v>未开始</v>
      </c>
      <c r="F416" s="17">
        <f>项目总控台账!R97</f>
        <v>46307</v>
      </c>
      <c r="G416" s="17">
        <f>项目总控台账!S97</f>
        <v>46339</v>
      </c>
      <c r="H416" s="70">
        <v>2.5</v>
      </c>
      <c r="I416" s="6" t="str">
        <f>IF(H416="","待估算",IF(E416="已完成","已结束",IF(AND(ISNUMBER(F416),ISNUMBER(G416),F416&lt;=项目驾驶舱!$B$3,G416&gt;=项目驾驶舱!$B$3),"进行中","计划中")))</f>
        <v>计划中</v>
      </c>
      <c r="J416" s="6" t="str">
        <f>IF(I416="待估算",IF(OR(F416="/",G416="/",F416="",G416=""),"补充计划日期","补充投入工时"),IF(AND(G416&lt;项目驾驶舱!$B$3,E416&lt;&gt;"已完成"),"确认延期和后续安排","按计划跟踪"))</f>
        <v>按计划跟踪</v>
      </c>
      <c r="K416" s="8"/>
      <c r="L416" t="s">
        <v>400</v>
      </c>
    </row>
    <row r="417" spans="1:12">
      <c r="A417" s="72" t="s">
        <v>400</v>
      </c>
      <c r="B417" s="6" t="str">
        <f>项目总控台账!A129</f>
        <v>T126</v>
      </c>
      <c r="C417" s="6" t="str">
        <f>IF(AND(项目总控台账!E129&lt;&gt;"",项目总控台账!E129&lt;&gt;"/"),项目总控台账!E129,IF(AND(项目总控台账!D129&lt;&gt;"",项目总控台账!D129&lt;&gt;"/"),项目总控台账!D129,项目总控台账!C129))</f>
        <v>停泊费（外贸）查询</v>
      </c>
      <c r="D417" s="6" t="str">
        <f>项目总控台账!F129</f>
        <v>第二批次</v>
      </c>
      <c r="E417" s="6" t="str">
        <f>项目总控台账!G129</f>
        <v>未开始</v>
      </c>
      <c r="F417" s="17">
        <f>项目总控台账!R129</f>
        <v>46307</v>
      </c>
      <c r="G417" s="17">
        <f>项目总控台账!S129</f>
        <v>46339</v>
      </c>
      <c r="H417" s="70">
        <v>2.5</v>
      </c>
      <c r="I417" s="6" t="str">
        <f>IF(H417="","待估算",IF(E417="已完成","已结束",IF(AND(ISNUMBER(F417),ISNUMBER(G417),F417&lt;=项目驾驶舱!$B$3,G417&gt;=项目驾驶舱!$B$3),"进行中","计划中")))</f>
        <v>计划中</v>
      </c>
      <c r="J417" s="6" t="str">
        <f>IF(I417="待估算",IF(OR(F417="/",G417="/",F417="",G417=""),"补充计划日期","补充投入工时"),IF(AND(G417&lt;项目驾驶舱!$B$3,E417&lt;&gt;"已完成"),"确认延期和后续安排","按计划跟踪"))</f>
        <v>按计划跟踪</v>
      </c>
      <c r="K417" s="8"/>
      <c r="L417" t="s">
        <v>400</v>
      </c>
    </row>
    <row r="418" spans="1:12">
      <c r="B418" s="6" t="str">
        <f>项目总控台账!A130</f>
        <v>T127</v>
      </c>
      <c r="C418" s="6" t="str">
        <f>IF(AND(项目总控台账!E130&lt;&gt;"",项目总控台账!E130&lt;&gt;"/"),项目总控台账!E130,IF(AND(项目总控台账!D130&lt;&gt;"",项目总控台账!D130&lt;&gt;"/"),项目总控台账!D130,项目总控台账!C130))</f>
        <v>锚泊费（外贸）查询</v>
      </c>
      <c r="D418" s="6" t="str">
        <f>项目总控台账!F130</f>
        <v>第二批次</v>
      </c>
      <c r="E418" s="6" t="str">
        <f>项目总控台账!G130</f>
        <v>未开始</v>
      </c>
      <c r="F418" s="17">
        <f>项目总控台账!R130</f>
        <v>46307</v>
      </c>
      <c r="G418" s="17">
        <f>项目总控台账!S130</f>
        <v>46339</v>
      </c>
      <c r="H418" s="70">
        <v>2.5</v>
      </c>
      <c r="I418" s="6" t="str">
        <f>IF(H418="","待估算",IF(E418="已完成","已结束",IF(AND(ISNUMBER(F418),ISNUMBER(G418),F418&lt;=项目驾驶舱!$B$3,G418&gt;=项目驾驶舱!$B$3),"进行中","计划中")))</f>
        <v>计划中</v>
      </c>
      <c r="J418" s="6" t="str">
        <f>IF(I418="待估算",IF(OR(F418="/",G418="/",F418="",G418=""),"补充计划日期","补充投入工时"),IF(AND(G418&lt;项目驾驶舱!$B$3,E418&lt;&gt;"已完成"),"确认延期和后续安排","按计划跟踪"))</f>
        <v>按计划跟踪</v>
      </c>
      <c r="K418" s="8"/>
      <c r="L418" t="s">
        <v>400</v>
      </c>
    </row>
    <row r="419" spans="1:12">
      <c r="B419" s="6" t="str">
        <f>项目总控台账!A131</f>
        <v>T128</v>
      </c>
      <c r="C419" s="6" t="str">
        <f>IF(AND(项目总控台账!E131&lt;&gt;"",项目总控台账!E131&lt;&gt;"/"),项目总控台账!E131,IF(AND(项目总控台账!D131&lt;&gt;"",项目总控台账!D131&lt;&gt;"/"),项目总控台账!D131,项目总控台账!C131))</f>
        <v>堆存费（外贸）查询</v>
      </c>
      <c r="D419" s="6" t="str">
        <f>项目总控台账!F131</f>
        <v>第二批次</v>
      </c>
      <c r="E419" s="6" t="str">
        <f>项目总控台账!G131</f>
        <v>未开始</v>
      </c>
      <c r="F419" s="17">
        <f>项目总控台账!R131</f>
        <v>46307</v>
      </c>
      <c r="G419" s="17">
        <f>项目总控台账!S131</f>
        <v>46339</v>
      </c>
      <c r="H419" s="70">
        <v>2.5</v>
      </c>
      <c r="I419" s="6" t="str">
        <f>IF(H419="","待估算",IF(E419="已完成","已结束",IF(AND(ISNUMBER(F419),ISNUMBER(G419),F419&lt;=项目驾驶舱!$B$3,G419&gt;=项目驾驶舱!$B$3),"进行中","计划中")))</f>
        <v>计划中</v>
      </c>
      <c r="J419" s="6" t="str">
        <f>IF(I419="待估算",IF(OR(F419="/",G419="/",F419="",G419=""),"补充计划日期","补充投入工时"),IF(AND(G419&lt;项目驾驶舱!$B$3,E419&lt;&gt;"已完成"),"确认延期和后续安排","按计划跟踪"))</f>
        <v>按计划跟踪</v>
      </c>
      <c r="K419" s="8"/>
      <c r="L419" t="s">
        <v>400</v>
      </c>
    </row>
    <row r="420" spans="1:12">
      <c r="B420" s="6" t="str">
        <f>项目总控台账!A132</f>
        <v>T129</v>
      </c>
      <c r="C420" s="6" t="str">
        <f>IF(AND(项目总控台账!E132&lt;&gt;"",项目总控台账!E132&lt;&gt;"/"),项目总控台账!E132,IF(AND(项目总控台账!D132&lt;&gt;"",项目总控台账!D132&lt;&gt;"/"),项目总控台账!D132,项目总控台账!C132))</f>
        <v>卸船费（外贸）查询</v>
      </c>
      <c r="D420" s="6" t="str">
        <f>项目总控台账!F132</f>
        <v>第二批次</v>
      </c>
      <c r="E420" s="6" t="str">
        <f>项目总控台账!G132</f>
        <v>未开始</v>
      </c>
      <c r="F420" s="17">
        <f>项目总控台账!R132</f>
        <v>46307</v>
      </c>
      <c r="G420" s="17">
        <f>项目总控台账!S132</f>
        <v>46339</v>
      </c>
      <c r="H420" s="70">
        <v>2.5</v>
      </c>
      <c r="I420" s="6" t="str">
        <f>IF(H420="","待估算",IF(E420="已完成","已结束",IF(AND(ISNUMBER(F420),ISNUMBER(G420),F420&lt;=项目驾驶舱!$B$3,G420&gt;=项目驾驶舱!$B$3),"进行中","计划中")))</f>
        <v>计划中</v>
      </c>
      <c r="J420" s="6" t="str">
        <f>IF(I420="待估算",IF(OR(F420="/",G420="/",F420="",G420=""),"补充计划日期","补充投入工时"),IF(AND(G420&lt;项目驾驶舱!$B$3,E420&lt;&gt;"已完成"),"确认延期和后续安排","按计划跟踪"))</f>
        <v>按计划跟踪</v>
      </c>
      <c r="K420" s="8"/>
      <c r="L420" t="s">
        <v>400</v>
      </c>
    </row>
    <row r="421" spans="1:12">
      <c r="B421" s="6" t="str">
        <f>项目总控台账!A133</f>
        <v>T130</v>
      </c>
      <c r="C421" s="6" t="str">
        <f>IF(AND(项目总控台账!E133&lt;&gt;"",项目总控台账!E133&lt;&gt;"/"),项目总控台账!E133,IF(AND(项目总控台账!D133&lt;&gt;"",项目总控台账!D133&lt;&gt;"/"),项目总控台账!D133,项目总控台账!C133))</f>
        <v>采样服务费（外贸）查询</v>
      </c>
      <c r="D421" s="6" t="str">
        <f>项目总控台账!F133</f>
        <v>第二批次</v>
      </c>
      <c r="E421" s="6" t="str">
        <f>项目总控台账!G133</f>
        <v>未开始</v>
      </c>
      <c r="F421" s="17">
        <f>项目总控台账!R133</f>
        <v>46307</v>
      </c>
      <c r="G421" s="17">
        <f>项目总控台账!S133</f>
        <v>46339</v>
      </c>
      <c r="H421" s="70">
        <v>2.5</v>
      </c>
      <c r="I421" s="6" t="str">
        <f>IF(H421="","待估算",IF(E421="已完成","已结束",IF(AND(ISNUMBER(F421),ISNUMBER(G421),F421&lt;=项目驾驶舱!$B$3,G421&gt;=项目驾驶舱!$B$3),"进行中","计划中")))</f>
        <v>计划中</v>
      </c>
      <c r="J421" s="6" t="str">
        <f>IF(I421="待估算",IF(OR(F421="/",G421="/",F421="",G421=""),"补充计划日期","补充投入工时"),IF(AND(G421&lt;项目驾驶舱!$B$3,E421&lt;&gt;"已完成"),"确认延期和后续安排","按计划跟踪"))</f>
        <v>按计划跟踪</v>
      </c>
      <c r="K421" s="8"/>
      <c r="L421" t="s">
        <v>400</v>
      </c>
    </row>
    <row r="422" spans="1:12">
      <c r="B422" s="6" t="str">
        <f>项目总控台账!A134</f>
        <v>T131</v>
      </c>
      <c r="C422" s="6" t="str">
        <f>IF(AND(项目总控台账!E134&lt;&gt;"",项目总控台账!E134&lt;&gt;"/"),项目总控台账!E134,IF(AND(项目总控台账!D134&lt;&gt;"",项目总控台账!D134&lt;&gt;"/"),项目总控台账!D134,项目总控台账!C134))</f>
        <v>船舶供应服务费（外贸）查询</v>
      </c>
      <c r="D422" s="6" t="str">
        <f>项目总控台账!F134</f>
        <v>第二批次</v>
      </c>
      <c r="E422" s="6" t="str">
        <f>项目总控台账!G134</f>
        <v>未开始</v>
      </c>
      <c r="F422" s="17">
        <f>项目总控台账!R134</f>
        <v>46307</v>
      </c>
      <c r="G422" s="17">
        <f>项目总控台账!S134</f>
        <v>46339</v>
      </c>
      <c r="H422" s="70">
        <v>2.5</v>
      </c>
      <c r="I422" s="6" t="str">
        <f>IF(H422="","待估算",IF(E422="已完成","已结束",IF(AND(ISNUMBER(F422),ISNUMBER(G422),F422&lt;=项目驾驶舱!$B$3,G422&gt;=项目驾驶舱!$B$3),"进行中","计划中")))</f>
        <v>计划中</v>
      </c>
      <c r="J422" s="6" t="str">
        <f>IF(I422="待估算",IF(OR(F422="/",G422="/",F422="",G422=""),"补充计划日期","补充投入工时"),IF(AND(G422&lt;项目驾驶舱!$B$3,E422&lt;&gt;"已完成"),"确认延期和后续安排","按计划跟踪"))</f>
        <v>按计划跟踪</v>
      </c>
      <c r="K422" s="8"/>
      <c r="L422" t="s">
        <v>400</v>
      </c>
    </row>
    <row r="423" spans="1:12">
      <c r="B423" s="6" t="str">
        <f>项目总控台账!A135</f>
        <v>T132</v>
      </c>
      <c r="C423" s="6" t="str">
        <f>IF(AND(项目总控台账!E135&lt;&gt;"",项目总控台账!E135&lt;&gt;"/"),项目总控台账!E135,IF(AND(项目总控台账!D135&lt;&gt;"",项目总控台账!D135&lt;&gt;"/"),项目总控台账!D135,项目总控台账!C135))</f>
        <v>新增船舶靠泊通知单</v>
      </c>
      <c r="D423" s="6" t="str">
        <f>项目总控台账!F135</f>
        <v>第二批次</v>
      </c>
      <c r="E423" s="6" t="str">
        <f>项目总控台账!G135</f>
        <v>未开始</v>
      </c>
      <c r="F423" s="17">
        <f>项目总控台账!R135</f>
        <v>46307</v>
      </c>
      <c r="G423" s="17">
        <f>项目总控台账!S135</f>
        <v>46339</v>
      </c>
      <c r="H423" s="70">
        <v>2.5</v>
      </c>
      <c r="I423" s="6" t="str">
        <f>IF(H423="","待估算",IF(E423="已完成","已结束",IF(AND(ISNUMBER(F423),ISNUMBER(G423),F423&lt;=项目驾驶舱!$B$3,G423&gt;=项目驾驶舱!$B$3),"进行中","计划中")))</f>
        <v>计划中</v>
      </c>
      <c r="J423" s="6" t="str">
        <f>IF(I423="待估算",IF(OR(F423="/",G423="/",F423="",G423=""),"补充计划日期","补充投入工时"),IF(AND(G423&lt;项目驾驶舱!$B$3,E423&lt;&gt;"已完成"),"确认延期和后续安排","按计划跟踪"))</f>
        <v>按计划跟踪</v>
      </c>
      <c r="K423" s="8"/>
      <c r="L423" t="s">
        <v>400</v>
      </c>
    </row>
    <row r="424" spans="1:12">
      <c r="B424" s="6" t="str">
        <f>项目总控台账!A136</f>
        <v>T133</v>
      </c>
      <c r="C424" s="6" t="str">
        <f>IF(AND(项目总控台账!E136&lt;&gt;"",项目总控台账!E136&lt;&gt;"/"),项目总控台账!E136,IF(AND(项目总控台账!D136&lt;&gt;"",项目总控台账!D136&lt;&gt;"/"),项目总控台账!D136,项目总控台账!C136))</f>
        <v>查询船舶靠泊通知单</v>
      </c>
      <c r="D424" s="6" t="str">
        <f>项目总控台账!F136</f>
        <v>第二批次</v>
      </c>
      <c r="E424" s="6" t="str">
        <f>项目总控台账!G136</f>
        <v>未开始</v>
      </c>
      <c r="F424" s="17">
        <f>项目总控台账!R136</f>
        <v>46307</v>
      </c>
      <c r="G424" s="17">
        <f>项目总控台账!S136</f>
        <v>46339</v>
      </c>
      <c r="H424" s="70">
        <v>2.5</v>
      </c>
      <c r="I424" s="6" t="str">
        <f>IF(H424="","待估算",IF(E424="已完成","已结束",IF(AND(ISNUMBER(F424),ISNUMBER(G424),F424&lt;=项目驾驶舱!$B$3,G424&gt;=项目驾驶舱!$B$3),"进行中","计划中")))</f>
        <v>计划中</v>
      </c>
      <c r="J424" s="6" t="str">
        <f>IF(I424="待估算",IF(OR(F424="/",G424="/",F424="",G424=""),"补充计划日期","补充投入工时"),IF(AND(G424&lt;项目驾驶舱!$B$3,E424&lt;&gt;"已完成"),"确认延期和后续安排","按计划跟踪"))</f>
        <v>按计划跟踪</v>
      </c>
      <c r="K424" s="8"/>
      <c r="L424" t="s">
        <v>400</v>
      </c>
    </row>
    <row r="425" spans="1:12">
      <c r="B425" s="6" t="str">
        <f>项目总控台账!A139</f>
        <v>T136</v>
      </c>
      <c r="C425" s="6" t="str">
        <f>IF(AND(项目总控台账!E139&lt;&gt;"",项目总控台账!E139&lt;&gt;"/"),项目总控台账!E139,IF(AND(项目总控台账!D139&lt;&gt;"",项目总控台账!D139&lt;&gt;"/"),项目总控台账!D139,项目总控台账!C139))</f>
        <v>卸船作业委托</v>
      </c>
      <c r="D425" s="6" t="str">
        <f>项目总控台账!F139</f>
        <v>第二批次</v>
      </c>
      <c r="E425" s="6" t="str">
        <f>项目总控台账!G139</f>
        <v>未开始</v>
      </c>
      <c r="F425" s="17">
        <f>项目总控台账!R139</f>
        <v>46307</v>
      </c>
      <c r="G425" s="17">
        <f>项目总控台账!S139</f>
        <v>46339</v>
      </c>
      <c r="H425" s="70">
        <v>2.5</v>
      </c>
      <c r="I425" s="6" t="str">
        <f>IF(H425="","待估算",IF(E425="已完成","已结束",IF(AND(ISNUMBER(F425),ISNUMBER(G425),F425&lt;=项目驾驶舱!$B$3,G425&gt;=项目驾驶舱!$B$3),"进行中","计划中")))</f>
        <v>计划中</v>
      </c>
      <c r="J425" s="6" t="str">
        <f>IF(I425="待估算",IF(OR(F425="/",G425="/",F425="",G425=""),"补充计划日期","补充投入工时"),IF(AND(G425&lt;项目驾驶舱!$B$3,E425&lt;&gt;"已完成"),"确认延期和后续安排","按计划跟踪"))</f>
        <v>按计划跟踪</v>
      </c>
      <c r="K425" s="8"/>
      <c r="L425" t="s">
        <v>400</v>
      </c>
    </row>
    <row r="426" spans="1:12">
      <c r="B426" s="6" t="str">
        <f>项目总控台账!A140</f>
        <v>T137</v>
      </c>
      <c r="C426" s="6" t="str">
        <f>IF(AND(项目总控台账!E140&lt;&gt;"",项目总控台账!E140&lt;&gt;"/"),项目总控台账!E140,IF(AND(项目总控台账!D140&lt;&gt;"",项目总控台账!D140&lt;&gt;"/"),项目总控台账!D140,项目总控台账!C140))</f>
        <v>外轮转内贸业务查询</v>
      </c>
      <c r="D426" s="6" t="str">
        <f>项目总控台账!F140</f>
        <v>第二批次</v>
      </c>
      <c r="E426" s="6" t="str">
        <f>项目总控台账!G140</f>
        <v>未开始</v>
      </c>
      <c r="F426" s="17">
        <f>项目总控台账!R140</f>
        <v>46307</v>
      </c>
      <c r="G426" s="17">
        <f>项目总控台账!S140</f>
        <v>46339</v>
      </c>
      <c r="H426" s="70">
        <v>2.5</v>
      </c>
      <c r="I426" s="6" t="str">
        <f>IF(H426="","待估算",IF(E426="已完成","已结束",IF(AND(ISNUMBER(F426),ISNUMBER(G426),F426&lt;=项目驾驶舱!$B$3,G426&gt;=项目驾驶舱!$B$3),"进行中","计划中")))</f>
        <v>计划中</v>
      </c>
      <c r="J426" s="6" t="str">
        <f>IF(I426="待估算",IF(OR(F426="/",G426="/",F426="",G426=""),"补充计划日期","补充投入工时"),IF(AND(G426&lt;项目驾驶舱!$B$3,E426&lt;&gt;"已完成"),"确认延期和后续安排","按计划跟踪"))</f>
        <v>按计划跟踪</v>
      </c>
      <c r="K426" s="8"/>
      <c r="L426" t="s">
        <v>400</v>
      </c>
    </row>
    <row r="427" ht="17.55" spans="1:12">
      <c r="A427" s="71"/>
      <c r="B427" s="6" t="str">
        <f>项目总控台账!A145</f>
        <v>T142</v>
      </c>
      <c r="C427" s="6" t="str">
        <f>IF(AND(项目总控台账!E145&lt;&gt;"",项目总控台账!E145&lt;&gt;"/"),项目总控台账!E145,IF(AND(项目总控台账!D145&lt;&gt;"",项目总控台账!D145&lt;&gt;"/"),项目总控台账!D145,项目总控台账!C145))</f>
        <v>审批船舶靠泊通知单</v>
      </c>
      <c r="D427" s="6" t="str">
        <f>项目总控台账!F145</f>
        <v>第二批次</v>
      </c>
      <c r="E427" s="6" t="str">
        <f>项目总控台账!G145</f>
        <v>未开始</v>
      </c>
      <c r="F427" s="17">
        <f>项目总控台账!R145</f>
        <v>46307</v>
      </c>
      <c r="G427" s="17">
        <f>项目总控台账!S145</f>
        <v>46339</v>
      </c>
      <c r="H427" s="70">
        <v>2.5</v>
      </c>
      <c r="I427" s="6" t="str">
        <f>IF(H427="","待估算",IF(E427="已完成","已结束",IF(AND(ISNUMBER(F427),ISNUMBER(G427),F427&lt;=项目驾驶舱!$B$3,G427&gt;=项目驾驶舱!$B$3),"进行中","计划中")))</f>
        <v>计划中</v>
      </c>
      <c r="J427" s="6" t="str">
        <f>IF(I427="待估算",IF(OR(F427="/",G427="/",F427="",G427=""),"补充计划日期","补充投入工时"),IF(AND(G427&lt;项目驾驶舱!$B$3,E427&lt;&gt;"已完成"),"确认延期和后续安排","按计划跟踪"))</f>
        <v>按计划跟踪</v>
      </c>
      <c r="K427" s="8"/>
      <c r="L427" t="s">
        <v>400</v>
      </c>
    </row>
    <row r="428" spans="1:12">
      <c r="A428" s="65" t="s">
        <v>68</v>
      </c>
      <c r="B428" s="66" t="str">
        <f>项目总控台账!A61</f>
        <v>T058</v>
      </c>
      <c r="C428" s="66" t="str">
        <f>IF(AND(项目总控台账!E61&lt;&gt;"",项目总控台账!E61&lt;&gt;"/"),项目总控台账!E61,IF(AND(项目总控台账!D61&lt;&gt;"",项目总控台账!D61&lt;&gt;"/"),项目总控台账!D61,项目总控台账!C61))</f>
        <v>OCR识别及编辑</v>
      </c>
      <c r="D428" s="66" t="str">
        <f>项目总控台账!F61</f>
        <v>第一批次</v>
      </c>
      <c r="E428" s="66" t="str">
        <f>项目总控台账!G61</f>
        <v>已完成</v>
      </c>
      <c r="F428" s="67">
        <f>项目总控台账!Z61</f>
        <v>46202</v>
      </c>
      <c r="G428" s="67">
        <f>项目总控台账!AA61</f>
        <v>46213</v>
      </c>
      <c r="H428" s="68">
        <v>27</v>
      </c>
      <c r="I428" s="66" t="str">
        <f>IF(H428="","待估算",IF(E428="已完成","已结束",IF(AND(ISNUMBER(F428),ISNUMBER(G428),F428&lt;=项目驾驶舱!$B$3,G428&gt;=项目驾驶舱!$B$3),"进行中","计划中")))</f>
        <v>已结束</v>
      </c>
      <c r="J428" s="66" t="str">
        <f>IF(I428="待估算",IF(OR(F428="/",G428="/",F428="",G428=""),"补充计划日期","补充投入工时"),IF(AND(G428&lt;项目驾驶舱!$B$3,E428&lt;&gt;"已完成"),"确认延期和后续安排","按计划跟踪"))</f>
        <v>按计划跟踪</v>
      </c>
      <c r="K428" s="69"/>
      <c r="L428" t="s">
        <v>68</v>
      </c>
    </row>
    <row r="429" spans="1:12">
      <c r="B429" s="6" t="str">
        <f>项目总控台账!A73</f>
        <v>T070</v>
      </c>
      <c r="C429" s="6" t="str">
        <f>IF(AND(项目总控台账!E73&lt;&gt;"",项目总控台账!E73&lt;&gt;"/"),项目总控台账!E73,IF(AND(项目总控台账!D73&lt;&gt;"",项目总控台账!D73&lt;&gt;"/"),项目总控台账!D73,项目总控台账!C73))</f>
        <v>生成报告</v>
      </c>
      <c r="D429" s="6" t="str">
        <f>项目总控台账!F73</f>
        <v>第一批次</v>
      </c>
      <c r="E429" s="6" t="str">
        <f>项目总控台账!G73</f>
        <v>已完成</v>
      </c>
      <c r="F429" s="17">
        <f>项目总控台账!Z73</f>
        <v>46202</v>
      </c>
      <c r="G429" s="17">
        <f>项目总控台账!AA73</f>
        <v>46213</v>
      </c>
      <c r="H429" s="70">
        <v>27</v>
      </c>
      <c r="I429" s="6" t="str">
        <f>IF(H429="","待估算",IF(E429="已完成","已结束",IF(AND(ISNUMBER(F429),ISNUMBER(G429),F429&lt;=项目驾驶舱!$B$3,G429&gt;=项目驾驶舱!$B$3),"进行中","计划中")))</f>
        <v>已结束</v>
      </c>
      <c r="J429" s="6" t="str">
        <f>IF(I429="待估算",IF(OR(F429="/",G429="/",F429="",G429=""),"补充计划日期","补充投入工时"),IF(AND(G429&lt;项目驾驶舱!$B$3,E429&lt;&gt;"已完成"),"确认延期和后续安排","按计划跟踪"))</f>
        <v>按计划跟踪</v>
      </c>
      <c r="K429" s="8"/>
      <c r="L429" t="s">
        <v>68</v>
      </c>
    </row>
    <row r="430" spans="1:12">
      <c r="B430" s="6" t="str">
        <f>项目总控台账!A74</f>
        <v>T071</v>
      </c>
      <c r="C430" s="6" t="str">
        <f>IF(AND(项目总控台账!E74&lt;&gt;"",项目总控台账!E74&lt;&gt;"/"),项目总控台账!E74,IF(AND(项目总控台账!D74&lt;&gt;"",项目总控台账!D74&lt;&gt;"/"),项目总控台账!D74,项目总控台账!C74))</f>
        <v>装船作业信息录入优化（太仓）</v>
      </c>
      <c r="D430" s="6" t="str">
        <f>项目总控台账!F74</f>
        <v>第一批次</v>
      </c>
      <c r="E430" s="6" t="str">
        <f>项目总控台账!G74</f>
        <v>已完成</v>
      </c>
      <c r="F430" s="17">
        <f>项目总控台账!Z74</f>
        <v>46202</v>
      </c>
      <c r="G430" s="17">
        <f>项目总控台账!AA74</f>
        <v>46213</v>
      </c>
      <c r="H430" s="70">
        <v>26</v>
      </c>
      <c r="I430" s="6" t="str">
        <f>IF(H430="","待估算",IF(E430="已完成","已结束",IF(AND(ISNUMBER(F430),ISNUMBER(G430),F430&lt;=项目驾驶舱!$B$3,G430&gt;=项目驾驶舱!$B$3),"进行中","计划中")))</f>
        <v>已结束</v>
      </c>
      <c r="J430" s="6" t="str">
        <f>IF(I430="待估算",IF(OR(F430="/",G430="/",F430="",G430=""),"补充计划日期","补充投入工时"),IF(AND(G430&lt;项目驾驶舱!$B$3,E430&lt;&gt;"已完成"),"确认延期和后续安排","按计划跟踪"))</f>
        <v>按计划跟踪</v>
      </c>
      <c r="K430" s="8"/>
      <c r="L430" t="s">
        <v>68</v>
      </c>
    </row>
    <row r="431" spans="1:12">
      <c r="B431" s="6" t="str">
        <f>项目总控台账!A4</f>
        <v>T001</v>
      </c>
      <c r="C431" s="6" t="str">
        <f>IF(AND(项目总控台账!E4&lt;&gt;"",项目总控台账!E4&lt;&gt;"/"),项目总控台账!E4,IF(AND(项目总控台账!D4&lt;&gt;"",项目总控台账!D4&lt;&gt;"/"),项目总控台账!D4,项目总控台账!C4))</f>
        <v>新增车辆信息</v>
      </c>
      <c r="D431" s="6" t="str">
        <f>项目总控台账!F4</f>
        <v>第一批次</v>
      </c>
      <c r="E431" s="6" t="str">
        <f>项目总控台账!G4</f>
        <v>已完成</v>
      </c>
      <c r="F431" s="17">
        <f>项目总控台账!Z4</f>
        <v>46216</v>
      </c>
      <c r="G431" s="17">
        <f>项目总控台账!AA4</f>
        <v>46234</v>
      </c>
      <c r="H431" s="70">
        <v>4.5</v>
      </c>
      <c r="I431" s="6" t="str">
        <f>IF(H431="","待估算",IF(E431="已完成","已结束",IF(AND(ISNUMBER(F431),ISNUMBER(G431),F431&lt;=项目驾驶舱!$B$3,G431&gt;=项目驾驶舱!$B$3),"进行中","计划中")))</f>
        <v>已结束</v>
      </c>
      <c r="J431" s="6" t="str">
        <f>IF(I431="待估算",IF(OR(F431="/",G431="/",F431="",G431=""),"补充计划日期","补充投入工时"),IF(AND(G431&lt;项目驾驶舱!$B$3,E431&lt;&gt;"已完成"),"确认延期和后续安排","按计划跟踪"))</f>
        <v>按计划跟踪</v>
      </c>
      <c r="K431" s="8"/>
      <c r="L431" t="s">
        <v>68</v>
      </c>
    </row>
    <row r="432" spans="1:12">
      <c r="B432" s="6" t="str">
        <f>项目总控台账!A5</f>
        <v>T002</v>
      </c>
      <c r="C432" s="6" t="str">
        <f>IF(AND(项目总控台账!E5&lt;&gt;"",项目总控台账!E5&lt;&gt;"/"),项目总控台账!E5,IF(AND(项目总控台账!D5&lt;&gt;"",项目总控台账!D5&lt;&gt;"/"),项目总控台账!D5,项目总控台账!C5))</f>
        <v>修改车辆信息</v>
      </c>
      <c r="D432" s="6" t="str">
        <f>项目总控台账!F5</f>
        <v>第一批次</v>
      </c>
      <c r="E432" s="6" t="str">
        <f>项目总控台账!G5</f>
        <v>已完成</v>
      </c>
      <c r="F432" s="17">
        <f>项目总控台账!Z5</f>
        <v>46216</v>
      </c>
      <c r="G432" s="17">
        <f>项目总控台账!AA5</f>
        <v>46234</v>
      </c>
      <c r="H432" s="70">
        <v>4.5</v>
      </c>
      <c r="I432" s="6" t="str">
        <f>IF(H432="","待估算",IF(E432="已完成","已结束",IF(AND(ISNUMBER(F432),ISNUMBER(G432),F432&lt;=项目驾驶舱!$B$3,G432&gt;=项目驾驶舱!$B$3),"进行中","计划中")))</f>
        <v>已结束</v>
      </c>
      <c r="J432" s="6" t="str">
        <f>IF(I432="待估算",IF(OR(F432="/",G432="/",F432="",G432=""),"补充计划日期","补充投入工时"),IF(AND(G432&lt;项目驾驶舱!$B$3,E432&lt;&gt;"已完成"),"确认延期和后续安排","按计划跟踪"))</f>
        <v>按计划跟踪</v>
      </c>
      <c r="K432" s="8"/>
      <c r="L432" t="s">
        <v>68</v>
      </c>
    </row>
    <row r="433" spans="1:12">
      <c r="B433" s="6" t="str">
        <f>项目总控台账!A6</f>
        <v>T003</v>
      </c>
      <c r="C433" s="6" t="str">
        <f>IF(AND(项目总控台账!E6&lt;&gt;"",项目总控台账!E6&lt;&gt;"/"),项目总控台账!E6,IF(AND(项目总控台账!D6&lt;&gt;"",项目总控台账!D6&lt;&gt;"/"),项目总控台账!D6,项目总控台账!C6))</f>
        <v>删除车辆信息</v>
      </c>
      <c r="D433" s="6" t="str">
        <f>项目总控台账!F6</f>
        <v>第一批次</v>
      </c>
      <c r="E433" s="6" t="str">
        <f>项目总控台账!G6</f>
        <v>已完成</v>
      </c>
      <c r="F433" s="17">
        <f>项目总控台账!Z6</f>
        <v>46216</v>
      </c>
      <c r="G433" s="17">
        <f>项目总控台账!AA6</f>
        <v>46234</v>
      </c>
      <c r="H433" s="70">
        <v>4.5</v>
      </c>
      <c r="I433" s="6" t="str">
        <f>IF(H433="","待估算",IF(E433="已完成","已结束",IF(AND(ISNUMBER(F433),ISNUMBER(G433),F433&lt;=项目驾驶舱!$B$3,G433&gt;=项目驾驶舱!$B$3),"进行中","计划中")))</f>
        <v>已结束</v>
      </c>
      <c r="J433" s="6" t="str">
        <f>IF(I433="待估算",IF(OR(F433="/",G433="/",F433="",G433=""),"补充计划日期","补充投入工时"),IF(AND(G433&lt;项目驾驶舱!$B$3,E433&lt;&gt;"已完成"),"确认延期和后续安排","按计划跟踪"))</f>
        <v>按计划跟踪</v>
      </c>
      <c r="K433" s="8"/>
      <c r="L433" t="s">
        <v>68</v>
      </c>
    </row>
    <row r="434" spans="1:12">
      <c r="B434" s="6" t="str">
        <f>项目总控台账!A7</f>
        <v>T004</v>
      </c>
      <c r="C434" s="6" t="str">
        <f>IF(AND(项目总控台账!E7&lt;&gt;"",项目总控台账!E7&lt;&gt;"/"),项目总控台账!E7,IF(AND(项目总控台账!D7&lt;&gt;"",项目总控台账!D7&lt;&gt;"/"),项目总控台账!D7,项目总控台账!C7))</f>
        <v>查询展示车辆信息</v>
      </c>
      <c r="D434" s="6" t="str">
        <f>项目总控台账!F7</f>
        <v>第一批次</v>
      </c>
      <c r="E434" s="6" t="str">
        <f>项目总控台账!G7</f>
        <v>已完成</v>
      </c>
      <c r="F434" s="17">
        <f>项目总控台账!Z7</f>
        <v>46216</v>
      </c>
      <c r="G434" s="17">
        <f>项目总控台账!AA7</f>
        <v>46234</v>
      </c>
      <c r="H434" s="70">
        <v>4.5</v>
      </c>
      <c r="I434" s="6" t="str">
        <f>IF(H434="","待估算",IF(E434="已完成","已结束",IF(AND(ISNUMBER(F434),ISNUMBER(G434),F434&lt;=项目驾驶舱!$B$3,G434&gt;=项目驾驶舱!$B$3),"进行中","计划中")))</f>
        <v>已结束</v>
      </c>
      <c r="J434" s="6" t="str">
        <f>IF(I434="待估算",IF(OR(F434="/",G434="/",F434="",G434=""),"补充计划日期","补充投入工时"),IF(AND(G434&lt;项目驾驶舱!$B$3,E434&lt;&gt;"已完成"),"确认延期和后续安排","按计划跟踪"))</f>
        <v>按计划跟踪</v>
      </c>
      <c r="K434" s="8"/>
      <c r="L434" t="s">
        <v>68</v>
      </c>
    </row>
    <row r="435" spans="1:12">
      <c r="B435" s="6" t="str">
        <f>项目总控台账!A9</f>
        <v>T006</v>
      </c>
      <c r="C435" s="6" t="str">
        <f>IF(AND(项目总控台账!E9&lt;&gt;"",项目总控台账!E9&lt;&gt;"/"),项目总控台账!E9,IF(AND(项目总控台账!D9&lt;&gt;"",项目总控台账!D9&lt;&gt;"/"),项目总控台账!D9,项目总控台账!C9))</f>
        <v>优化收费标准（装卸费）新增</v>
      </c>
      <c r="D435" s="6" t="str">
        <f>项目总控台账!F9</f>
        <v>第一批次</v>
      </c>
      <c r="E435" s="6" t="str">
        <f>项目总控台账!G9</f>
        <v>已完成</v>
      </c>
      <c r="F435" s="17">
        <f>项目总控台账!Z9</f>
        <v>46216</v>
      </c>
      <c r="G435" s="17">
        <f>项目总控台账!AA9</f>
        <v>46234</v>
      </c>
      <c r="H435" s="70">
        <v>4.5</v>
      </c>
      <c r="I435" s="6" t="str">
        <f>IF(H435="","待估算",IF(E435="已完成","已结束",IF(AND(ISNUMBER(F435),ISNUMBER(G435),F435&lt;=项目驾驶舱!$B$3,G435&gt;=项目驾驶舱!$B$3),"进行中","计划中")))</f>
        <v>已结束</v>
      </c>
      <c r="J435" s="6" t="str">
        <f>IF(I435="待估算",IF(OR(F435="/",G435="/",F435="",G435=""),"补充计划日期","补充投入工时"),IF(AND(G435&lt;项目驾驶舱!$B$3,E435&lt;&gt;"已完成"),"确认延期和后续安排","按计划跟踪"))</f>
        <v>按计划跟踪</v>
      </c>
      <c r="K435" s="8"/>
      <c r="L435" t="s">
        <v>68</v>
      </c>
    </row>
    <row r="436" spans="1:12">
      <c r="B436" s="6" t="str">
        <f>项目总控台账!A10</f>
        <v>T007</v>
      </c>
      <c r="C436" s="6" t="str">
        <f>IF(AND(项目总控台账!E10&lt;&gt;"",项目总控台账!E10&lt;&gt;"/"),项目总控台账!E10,IF(AND(项目总控台账!D10&lt;&gt;"",项目总控台账!D10&lt;&gt;"/"),项目总控台账!D10,项目总控台账!C10))</f>
        <v>优化收费标准（装卸费）编辑</v>
      </c>
      <c r="D436" s="6" t="str">
        <f>项目总控台账!F10</f>
        <v>第一批次</v>
      </c>
      <c r="E436" s="6" t="str">
        <f>项目总控台账!G10</f>
        <v>已完成</v>
      </c>
      <c r="F436" s="17">
        <f>项目总控台账!Z10</f>
        <v>46216</v>
      </c>
      <c r="G436" s="17">
        <f>项目总控台账!AA10</f>
        <v>46234</v>
      </c>
      <c r="H436" s="70">
        <v>4.5</v>
      </c>
      <c r="I436" s="6" t="str">
        <f>IF(H436="","待估算",IF(E436="已完成","已结束",IF(AND(ISNUMBER(F436),ISNUMBER(G436),F436&lt;=项目驾驶舱!$B$3,G436&gt;=项目驾驶舱!$B$3),"进行中","计划中")))</f>
        <v>已结束</v>
      </c>
      <c r="J436" s="6" t="str">
        <f>IF(I436="待估算",IF(OR(F436="/",G436="/",F436="",G436=""),"补充计划日期","补充投入工时"),IF(AND(G436&lt;项目驾驶舱!$B$3,E436&lt;&gt;"已完成"),"确认延期和后续安排","按计划跟踪"))</f>
        <v>按计划跟踪</v>
      </c>
      <c r="K436" s="8"/>
      <c r="L436" t="s">
        <v>68</v>
      </c>
    </row>
    <row r="437" spans="1:12">
      <c r="B437" s="6" t="str">
        <f>项目总控台账!A11</f>
        <v>T008</v>
      </c>
      <c r="C437" s="6" t="str">
        <f>IF(AND(项目总控台账!E11&lt;&gt;"",项目总控台账!E11&lt;&gt;"/"),项目总控台账!E11,IF(AND(项目总控台账!D11&lt;&gt;"",项目总控台账!D11&lt;&gt;"/"),项目总控台账!D11,项目总控台账!C11))</f>
        <v>优化收费标准（装卸费）详情</v>
      </c>
      <c r="D437" s="6" t="str">
        <f>项目总控台账!F11</f>
        <v>第一批次</v>
      </c>
      <c r="E437" s="6" t="str">
        <f>项目总控台账!G11</f>
        <v>已完成</v>
      </c>
      <c r="F437" s="17">
        <f>项目总控台账!Z11</f>
        <v>46216</v>
      </c>
      <c r="G437" s="17">
        <f>项目总控台账!AA11</f>
        <v>46234</v>
      </c>
      <c r="H437" s="70">
        <v>4.5</v>
      </c>
      <c r="I437" s="6" t="str">
        <f>IF(H437="","待估算",IF(E437="已完成","已结束",IF(AND(ISNUMBER(F437),ISNUMBER(G437),F437&lt;=项目驾驶舱!$B$3,G437&gt;=项目驾驶舱!$B$3),"进行中","计划中")))</f>
        <v>已结束</v>
      </c>
      <c r="J437" s="6" t="str">
        <f>IF(I437="待估算",IF(OR(F437="/",G437="/",F437="",G437=""),"补充计划日期","补充投入工时"),IF(AND(G437&lt;项目驾驶舱!$B$3,E437&lt;&gt;"已完成"),"确认延期和后续安排","按计划跟踪"))</f>
        <v>按计划跟踪</v>
      </c>
      <c r="K437" s="8"/>
      <c r="L437" t="s">
        <v>68</v>
      </c>
    </row>
    <row r="438" spans="1:12">
      <c r="B438" s="6" t="str">
        <f>项目总控台账!A12</f>
        <v>T009</v>
      </c>
      <c r="C438" s="6" t="str">
        <f>IF(AND(项目总控台账!E12&lt;&gt;"",项目总控台账!E12&lt;&gt;"/"),项目总控台账!E12,IF(AND(项目总控台账!D12&lt;&gt;"",项目总控台账!D12&lt;&gt;"/"),项目总控台账!D12,项目总控台账!C12))</f>
        <v>优化采样方式新增</v>
      </c>
      <c r="D438" s="6" t="str">
        <f>项目总控台账!F12</f>
        <v>第一批次</v>
      </c>
      <c r="E438" s="6" t="str">
        <f>项目总控台账!G12</f>
        <v>已完成</v>
      </c>
      <c r="F438" s="17">
        <f>项目总控台账!Z12</f>
        <v>46216</v>
      </c>
      <c r="G438" s="17">
        <f>项目总控台账!AA12</f>
        <v>46234</v>
      </c>
      <c r="H438" s="70">
        <v>4.5</v>
      </c>
      <c r="I438" s="6" t="str">
        <f>IF(H438="","待估算",IF(E438="已完成","已结束",IF(AND(ISNUMBER(F438),ISNUMBER(G438),F438&lt;=项目驾驶舱!$B$3,G438&gt;=项目驾驶舱!$B$3),"进行中","计划中")))</f>
        <v>已结束</v>
      </c>
      <c r="J438" s="6" t="str">
        <f>IF(I438="待估算",IF(OR(F438="/",G438="/",F438="",G438=""),"补充计划日期","补充投入工时"),IF(AND(G438&lt;项目驾驶舱!$B$3,E438&lt;&gt;"已完成"),"确认延期和后续安排","按计划跟踪"))</f>
        <v>按计划跟踪</v>
      </c>
      <c r="K438" s="8"/>
      <c r="L438" t="s">
        <v>68</v>
      </c>
    </row>
    <row r="439" spans="1:12">
      <c r="A439" s="71"/>
      <c r="B439" s="6" t="str">
        <f>项目总控台账!A13</f>
        <v>T010</v>
      </c>
      <c r="C439" s="6" t="str">
        <f>IF(AND(项目总控台账!E13&lt;&gt;"",项目总控台账!E13&lt;&gt;"/"),项目总控台账!E13,IF(AND(项目总控台账!D13&lt;&gt;"",项目总控台账!D13&lt;&gt;"/"),项目总控台账!D13,项目总控台账!C13))</f>
        <v>优化采样方式编辑</v>
      </c>
      <c r="D439" s="6" t="str">
        <f>项目总控台账!F13</f>
        <v>第一批次</v>
      </c>
      <c r="E439" s="6" t="str">
        <f>项目总控台账!G13</f>
        <v>已完成</v>
      </c>
      <c r="F439" s="17">
        <f>项目总控台账!Z13</f>
        <v>46216</v>
      </c>
      <c r="G439" s="17">
        <f>项目总控台账!AA13</f>
        <v>46234</v>
      </c>
      <c r="H439" s="70">
        <v>4.5</v>
      </c>
      <c r="I439" s="6" t="str">
        <f>IF(H439="","待估算",IF(E439="已完成","已结束",IF(AND(ISNUMBER(F439),ISNUMBER(G439),F439&lt;=项目驾驶舱!$B$3,G439&gt;=项目驾驶舱!$B$3),"进行中","计划中")))</f>
        <v>已结束</v>
      </c>
      <c r="J439" s="6" t="str">
        <f>IF(I439="待估算",IF(OR(F439="/",G439="/",F439="",G439=""),"补充计划日期","补充投入工时"),IF(AND(G439&lt;项目驾驶舱!$B$3,E439&lt;&gt;"已完成"),"确认延期和后续安排","按计划跟踪"))</f>
        <v>按计划跟踪</v>
      </c>
      <c r="K439" s="8"/>
      <c r="L439" t="s">
        <v>68</v>
      </c>
    </row>
    <row r="440" spans="1:12">
      <c r="A440" s="72" t="s">
        <v>68</v>
      </c>
      <c r="B440" s="6" t="str">
        <f>项目总控台账!A14</f>
        <v>T011</v>
      </c>
      <c r="C440" s="6" t="str">
        <f>IF(AND(项目总控台账!E14&lt;&gt;"",项目总控台账!E14&lt;&gt;"/"),项目总控台账!E14,IF(AND(项目总控台账!D14&lt;&gt;"",项目总控台账!D14&lt;&gt;"/"),项目总控台账!D14,项目总控台账!C14))</f>
        <v>获取报单数据及展示</v>
      </c>
      <c r="D440" s="6" t="str">
        <f>项目总控台账!F14</f>
        <v>第一批次</v>
      </c>
      <c r="E440" s="6" t="str">
        <f>项目总控台账!G14</f>
        <v>已完成</v>
      </c>
      <c r="F440" s="17">
        <f>项目总控台账!Z14</f>
        <v>46216</v>
      </c>
      <c r="G440" s="17">
        <f>项目总控台账!AA14</f>
        <v>46234</v>
      </c>
      <c r="H440" s="70">
        <v>4.5</v>
      </c>
      <c r="I440" s="6" t="str">
        <f>IF(H440="","待估算",IF(E440="已完成","已结束",IF(AND(ISNUMBER(F440),ISNUMBER(G440),F440&lt;=项目驾驶舱!$B$3,G440&gt;=项目驾驶舱!$B$3),"进行中","计划中")))</f>
        <v>已结束</v>
      </c>
      <c r="J440" s="6" t="str">
        <f>IF(I440="待估算",IF(OR(F440="/",G440="/",F440="",G440=""),"补充计划日期","补充投入工时"),IF(AND(G440&lt;项目驾驶舱!$B$3,E440&lt;&gt;"已完成"),"确认延期和后续安排","按计划跟踪"))</f>
        <v>按计划跟踪</v>
      </c>
      <c r="K440" s="8"/>
      <c r="L440" t="s">
        <v>68</v>
      </c>
    </row>
    <row r="441" spans="1:12">
      <c r="B441" s="6" t="str">
        <f>项目总控台账!A15</f>
        <v>T012</v>
      </c>
      <c r="C441" s="6" t="str">
        <f>IF(AND(项目总控台账!E15&lt;&gt;"",项目总控台账!E15&lt;&gt;"/"),项目总控台账!E15,IF(AND(项目总控台账!D15&lt;&gt;"",项目总控台账!D15&lt;&gt;"/"),项目总控台账!D15,项目总控台账!C15))</f>
        <v>应单入口</v>
      </c>
      <c r="D441" s="6" t="str">
        <f>项目总控台账!F15</f>
        <v>第一批次</v>
      </c>
      <c r="E441" s="6" t="str">
        <f>项目总控台账!G15</f>
        <v>已完成</v>
      </c>
      <c r="F441" s="17">
        <f>项目总控台账!Z15</f>
        <v>46216</v>
      </c>
      <c r="G441" s="17">
        <f>项目总控台账!AA15</f>
        <v>46234</v>
      </c>
      <c r="H441" s="70">
        <v>3</v>
      </c>
      <c r="I441" s="6" t="str">
        <f>IF(H441="","待估算",IF(E441="已完成","已结束",IF(AND(ISNUMBER(F441),ISNUMBER(G441),F441&lt;=项目驾驶舱!$B$3,G441&gt;=项目驾驶舱!$B$3),"进行中","计划中")))</f>
        <v>已结束</v>
      </c>
      <c r="J441" s="6" t="str">
        <f>IF(I441="待估算",IF(OR(F441="/",G441="/",F441="",G441=""),"补充计划日期","补充投入工时"),IF(AND(G441&lt;项目驾驶舱!$B$3,E441&lt;&gt;"已完成"),"确认延期和后续安排","按计划跟踪"))</f>
        <v>按计划跟踪</v>
      </c>
      <c r="K441" s="8"/>
      <c r="L441" t="s">
        <v>68</v>
      </c>
    </row>
    <row r="442" spans="1:12">
      <c r="B442" s="6" t="str">
        <f>项目总控台账!A53</f>
        <v>T050</v>
      </c>
      <c r="C442" s="6" t="str">
        <f>IF(AND(项目总控台账!E53&lt;&gt;"",项目总控台账!E53&lt;&gt;"/"),项目总控台账!E53,IF(AND(项目总控台账!D53&lt;&gt;"",项目总控台账!D53&lt;&gt;"/"),项目总控台账!D53,项目总控台账!C53))</f>
        <v>维护需跟踪船舶清单</v>
      </c>
      <c r="D442" s="6" t="str">
        <f>项目总控台账!F53</f>
        <v>第一批次</v>
      </c>
      <c r="E442" s="6" t="str">
        <f>项目总控台账!G53</f>
        <v>进行中</v>
      </c>
      <c r="F442" s="17">
        <f>项目总控台账!Z53</f>
        <v>46216</v>
      </c>
      <c r="G442" s="17">
        <f>项目总控台账!AA53</f>
        <v>46234</v>
      </c>
      <c r="H442" s="70">
        <v>3</v>
      </c>
      <c r="I442" s="6" t="str">
        <f>IF(H442="","待估算",IF(E442="已完成","已结束",IF(AND(ISNUMBER(F442),ISNUMBER(G442),F442&lt;=项目驾驶舱!$B$3,G442&gt;=项目驾驶舱!$B$3),"进行中","计划中")))</f>
        <v>计划中</v>
      </c>
      <c r="J442" s="6" t="str">
        <f>IF(I442="待估算",IF(OR(F442="/",G442="/",F442="",G442=""),"补充计划日期","补充投入工时"),IF(AND(G442&lt;项目驾驶舱!$B$3,E442&lt;&gt;"已完成"),"确认延期和后续安排","按计划跟踪"))</f>
        <v>确认延期和后续安排</v>
      </c>
      <c r="K442" s="8"/>
      <c r="L442" t="s">
        <v>68</v>
      </c>
    </row>
    <row r="443" spans="1:12">
      <c r="B443" s="6" t="str">
        <f>项目总控台账!A54</f>
        <v>T051</v>
      </c>
      <c r="C443" s="6" t="str">
        <f>IF(AND(项目总控台账!E54&lt;&gt;"",项目总控台账!E54&lt;&gt;"/"),项目总控台账!E54,IF(AND(项目总控台账!D54&lt;&gt;"",项目总控台账!D54&lt;&gt;"/"),项目总控台账!D54,项目总控台账!C54))</f>
        <v>根据船舶清单更新第三方系统推送数据船舶清单</v>
      </c>
      <c r="D443" s="6" t="str">
        <f>项目总控台账!F54</f>
        <v>第一批次</v>
      </c>
      <c r="E443" s="6" t="str">
        <f>项目总控台账!G54</f>
        <v>进行中</v>
      </c>
      <c r="F443" s="17">
        <f>项目总控台账!Z54</f>
        <v>46216</v>
      </c>
      <c r="G443" s="17">
        <f>项目总控台账!AA54</f>
        <v>46234</v>
      </c>
      <c r="H443" s="70">
        <v>3</v>
      </c>
      <c r="I443" s="6" t="str">
        <f>IF(H443="","待估算",IF(E443="已完成","已结束",IF(AND(ISNUMBER(F443),ISNUMBER(G443),F443&lt;=项目驾驶舱!$B$3,G443&gt;=项目驾驶舱!$B$3),"进行中","计划中")))</f>
        <v>计划中</v>
      </c>
      <c r="J443" s="6" t="str">
        <f>IF(I443="待估算",IF(OR(F443="/",G443="/",F443="",G443=""),"补充计划日期","补充投入工时"),IF(AND(G443&lt;项目驾驶舱!$B$3,E443&lt;&gt;"已完成"),"确认延期和后续安排","按计划跟踪"))</f>
        <v>确认延期和后续安排</v>
      </c>
      <c r="K443" s="8"/>
      <c r="L443" t="s">
        <v>68</v>
      </c>
    </row>
    <row r="444" spans="1:12">
      <c r="B444" s="6" t="str">
        <f>项目总控台账!A55</f>
        <v>T052</v>
      </c>
      <c r="C444" s="6" t="str">
        <f>IF(AND(项目总控台账!E55&lt;&gt;"",项目总控台账!E55&lt;&gt;"/"),项目总控台账!E55,IF(AND(项目总控台账!D55&lt;&gt;"",项目总控台账!D55&lt;&gt;"/"),项目总控台账!D55,项目总控台账!C55))</f>
        <v>船舶轨迹跟踪</v>
      </c>
      <c r="D444" s="6" t="str">
        <f>项目总控台账!F55</f>
        <v>第一批次</v>
      </c>
      <c r="E444" s="6" t="str">
        <f>项目总控台账!G55</f>
        <v>进行中</v>
      </c>
      <c r="F444" s="17">
        <f>项目总控台账!Z55</f>
        <v>46216</v>
      </c>
      <c r="G444" s="17">
        <f>项目总控台账!AA55</f>
        <v>46234</v>
      </c>
      <c r="H444" s="70">
        <v>3</v>
      </c>
      <c r="I444" s="6" t="str">
        <f>IF(H444="","待估算",IF(E444="已完成","已结束",IF(AND(ISNUMBER(F444),ISNUMBER(G444),F444&lt;=项目驾驶舱!$B$3,G444&gt;=项目驾驶舱!$B$3),"进行中","计划中")))</f>
        <v>计划中</v>
      </c>
      <c r="J444" s="6" t="str">
        <f>IF(I444="待估算",IF(OR(F444="/",G444="/",F444="",G444=""),"补充计划日期","补充投入工时"),IF(AND(G444&lt;项目驾驶舱!$B$3,E444&lt;&gt;"已完成"),"确认延期和后续安排","按计划跟踪"))</f>
        <v>确认延期和后续安排</v>
      </c>
      <c r="K444" s="8"/>
      <c r="L444" t="s">
        <v>68</v>
      </c>
    </row>
    <row r="445" spans="1:12">
      <c r="B445" s="6" t="str">
        <f>项目总控台账!A63</f>
        <v>T060</v>
      </c>
      <c r="C445" s="6" t="str">
        <f>IF(AND(项目总控台账!E63&lt;&gt;"",项目总控台账!E63&lt;&gt;"/"),项目总控台账!E63,IF(AND(项目总控台账!D63&lt;&gt;"",项目总控台账!D63&lt;&gt;"/"),项目总控台账!D63,项目总控台账!C63))</f>
        <v>货权录入</v>
      </c>
      <c r="D445" s="6" t="str">
        <f>项目总控台账!F63</f>
        <v>第一批次</v>
      </c>
      <c r="E445" s="6" t="str">
        <f>项目总控台账!G63</f>
        <v>已完成</v>
      </c>
      <c r="F445" s="17">
        <f>项目总控台账!Z63</f>
        <v>46216</v>
      </c>
      <c r="G445" s="17">
        <f>项目总控台账!AA63</f>
        <v>46234</v>
      </c>
      <c r="H445" s="70">
        <v>3</v>
      </c>
      <c r="I445" s="6" t="str">
        <f>IF(H445="","待估算",IF(E445="已完成","已结束",IF(AND(ISNUMBER(F445),ISNUMBER(G445),F445&lt;=项目驾驶舱!$B$3,G445&gt;=项目驾驶舱!$B$3),"进行中","计划中")))</f>
        <v>已结束</v>
      </c>
      <c r="J445" s="6" t="str">
        <f>IF(I445="待估算",IF(OR(F445="/",G445="/",F445="",G445=""),"补充计划日期","补充投入工时"),IF(AND(G445&lt;项目驾驶舱!$B$3,E445&lt;&gt;"已完成"),"确认延期和后续安排","按计划跟踪"))</f>
        <v>按计划跟踪</v>
      </c>
      <c r="K445" s="8"/>
      <c r="L445" t="s">
        <v>68</v>
      </c>
    </row>
    <row r="446" spans="1:12">
      <c r="B446" s="6" t="str">
        <f>项目总控台账!A64</f>
        <v>T061</v>
      </c>
      <c r="C446" s="6" t="str">
        <f>IF(AND(项目总控台账!E64&lt;&gt;"",项目总控台账!E64&lt;&gt;"/"),项目总控台账!E64,IF(AND(项目总控台账!D64&lt;&gt;"",项目总控台账!D64&lt;&gt;"/"),项目总控台账!D64,项目总控台账!C64))</f>
        <v>货权修改</v>
      </c>
      <c r="D446" s="6" t="str">
        <f>项目总控台账!F64</f>
        <v>第一批次</v>
      </c>
      <c r="E446" s="6" t="str">
        <f>项目总控台账!G64</f>
        <v>已完成</v>
      </c>
      <c r="F446" s="17">
        <f>项目总控台账!Z64</f>
        <v>46216</v>
      </c>
      <c r="G446" s="17">
        <f>项目总控台账!AA64</f>
        <v>46234</v>
      </c>
      <c r="H446" s="70">
        <v>3</v>
      </c>
      <c r="I446" s="6" t="str">
        <f>IF(H446="","待估算",IF(E446="已完成","已结束",IF(AND(ISNUMBER(F446),ISNUMBER(G446),F446&lt;=项目驾驶舱!$B$3,G446&gt;=项目驾驶舱!$B$3),"进行中","计划中")))</f>
        <v>已结束</v>
      </c>
      <c r="J446" s="6" t="str">
        <f>IF(I446="待估算",IF(OR(F446="/",G446="/",F446="",G446=""),"补充计划日期","补充投入工时"),IF(AND(G446&lt;项目驾驶舱!$B$3,E446&lt;&gt;"已完成"),"确认延期和后续安排","按计划跟踪"))</f>
        <v>按计划跟踪</v>
      </c>
      <c r="K446" s="8"/>
      <c r="L446" t="s">
        <v>68</v>
      </c>
    </row>
    <row r="447" spans="1:12">
      <c r="B447" s="6" t="str">
        <f>项目总控台账!A65</f>
        <v>T062</v>
      </c>
      <c r="C447" s="6" t="str">
        <f>IF(AND(项目总控台账!E65&lt;&gt;"",项目总控台账!E65&lt;&gt;"/"),项目总控台账!E65,IF(AND(项目总控台账!D65&lt;&gt;"",项目总控台账!D65&lt;&gt;"/"),项目总控台账!D65,项目总控台账!C65))</f>
        <v>获取查询</v>
      </c>
      <c r="D447" s="6" t="str">
        <f>项目总控台账!F65</f>
        <v>第一批次</v>
      </c>
      <c r="E447" s="6" t="str">
        <f>项目总控台账!G65</f>
        <v>已完成</v>
      </c>
      <c r="F447" s="17">
        <f>项目总控台账!Z65</f>
        <v>46216</v>
      </c>
      <c r="G447" s="17">
        <f>项目总控台账!AA65</f>
        <v>46234</v>
      </c>
      <c r="H447" s="70">
        <v>3</v>
      </c>
      <c r="I447" s="6" t="str">
        <f>IF(H447="","待估算",IF(E447="已完成","已结束",IF(AND(ISNUMBER(F447),ISNUMBER(G447),F447&lt;=项目驾驶舱!$B$3,G447&gt;=项目驾驶舱!$B$3),"进行中","计划中")))</f>
        <v>已结束</v>
      </c>
      <c r="J447" s="6" t="str">
        <f>IF(I447="待估算",IF(OR(F447="/",G447="/",F447="",G447=""),"补充计划日期","补充投入工时"),IF(AND(G447&lt;项目驾驶舱!$B$3,E447&lt;&gt;"已完成"),"确认延期和后续安排","按计划跟踪"))</f>
        <v>按计划跟踪</v>
      </c>
      <c r="K447" s="8"/>
      <c r="L447" t="s">
        <v>68</v>
      </c>
    </row>
    <row r="448" spans="1:12">
      <c r="B448" s="6" t="str">
        <f>项目总控台账!A66</f>
        <v>T063</v>
      </c>
      <c r="C448" s="6" t="str">
        <f>IF(AND(项目总控台账!E66&lt;&gt;"",项目总控台账!E66&lt;&gt;"/"),项目总控台账!E66,IF(AND(项目总控台账!D66&lt;&gt;"",项目总控台账!D66&lt;&gt;"/"),项目总控台账!D66,项目总控台账!C66))</f>
        <v>卸船作业货权跟踪</v>
      </c>
      <c r="D448" s="6" t="str">
        <f>项目总控台账!F66</f>
        <v>第一批次</v>
      </c>
      <c r="E448" s="6" t="str">
        <f>项目总控台账!G66</f>
        <v>已完成</v>
      </c>
      <c r="F448" s="17">
        <f>项目总控台账!Z66</f>
        <v>46216</v>
      </c>
      <c r="G448" s="17">
        <f>项目总控台账!AA66</f>
        <v>46234</v>
      </c>
      <c r="H448" s="70">
        <v>3</v>
      </c>
      <c r="I448" s="6" t="str">
        <f>IF(H448="","待估算",IF(E448="已完成","已结束",IF(AND(ISNUMBER(F448),ISNUMBER(G448),F448&lt;=项目驾驶舱!$B$3,G448&gt;=项目驾驶舱!$B$3),"进行中","计划中")))</f>
        <v>已结束</v>
      </c>
      <c r="J448" s="6" t="str">
        <f>IF(I448="待估算",IF(OR(F448="/",G448="/",F448="",G448=""),"补充计划日期","补充投入工时"),IF(AND(G448&lt;项目驾驶舱!$B$3,E448&lt;&gt;"已完成"),"确认延期和后续安排","按计划跟踪"))</f>
        <v>按计划跟踪</v>
      </c>
      <c r="K448" s="8"/>
      <c r="L448" t="s">
        <v>68</v>
      </c>
    </row>
    <row r="449" spans="1:12">
      <c r="B449" s="6" t="str">
        <f>项目总控台账!A67</f>
        <v>T064</v>
      </c>
      <c r="C449" s="6" t="str">
        <f>IF(AND(项目总控台账!E67&lt;&gt;"",项目总控台账!E67&lt;&gt;"/"),项目总控台账!E67,IF(AND(项目总控台账!D67&lt;&gt;"",项目总控台账!D67&lt;&gt;"/"),项目总控台账!D67,项目总控台账!C67))</f>
        <v>卸船作业货权跟踪</v>
      </c>
      <c r="D449" s="6" t="str">
        <f>项目总控台账!F67</f>
        <v>第一批次</v>
      </c>
      <c r="E449" s="6" t="str">
        <f>项目总控台账!G67</f>
        <v>已完成</v>
      </c>
      <c r="F449" s="17">
        <f>项目总控台账!Z67</f>
        <v>46216</v>
      </c>
      <c r="G449" s="17">
        <f>项目总控台账!AA67</f>
        <v>46234</v>
      </c>
      <c r="H449" s="70">
        <v>3</v>
      </c>
      <c r="I449" s="6" t="str">
        <f>IF(H449="","待估算",IF(E449="已完成","已结束",IF(AND(ISNUMBER(F449),ISNUMBER(G449),F449&lt;=项目驾驶舱!$B$3,G449&gt;=项目驾驶舱!$B$3),"进行中","计划中")))</f>
        <v>已结束</v>
      </c>
      <c r="J449" s="6" t="str">
        <f>IF(I449="待估算",IF(OR(F449="/",G449="/",F449="",G449=""),"补充计划日期","补充投入工时"),IF(AND(G449&lt;项目驾驶舱!$B$3,E449&lt;&gt;"已完成"),"确认延期和后续安排","按计划跟踪"))</f>
        <v>按计划跟踪</v>
      </c>
      <c r="K449" s="8"/>
      <c r="L449" t="s">
        <v>68</v>
      </c>
    </row>
    <row r="450" spans="1:12">
      <c r="B450" s="6" t="str">
        <f>项目总控台账!A68</f>
        <v>T065</v>
      </c>
      <c r="C450" s="6" t="str">
        <f>IF(AND(项目总控台账!E68&lt;&gt;"",项目总控台账!E68&lt;&gt;"/"),项目总控台账!E68,IF(AND(项目总控台账!D68&lt;&gt;"",项目总控台账!D68&lt;&gt;"/"),项目总控台账!D68,项目总控台账!C68))</f>
        <v>装船作业货权跟踪</v>
      </c>
      <c r="D450" s="6" t="str">
        <f>项目总控台账!F68</f>
        <v>第一批次</v>
      </c>
      <c r="E450" s="6" t="str">
        <f>项目总控台账!G68</f>
        <v>已完成</v>
      </c>
      <c r="F450" s="17">
        <f>项目总控台账!Z68</f>
        <v>46216</v>
      </c>
      <c r="G450" s="17">
        <f>项目总控台账!AA68</f>
        <v>46234</v>
      </c>
      <c r="H450" s="70">
        <v>3</v>
      </c>
      <c r="I450" s="6" t="str">
        <f>IF(H450="","待估算",IF(E450="已完成","已结束",IF(AND(ISNUMBER(F450),ISNUMBER(G450),F450&lt;=项目驾驶舱!$B$3,G450&gt;=项目驾驶舱!$B$3),"进行中","计划中")))</f>
        <v>已结束</v>
      </c>
      <c r="J450" s="6" t="str">
        <f>IF(I450="待估算",IF(OR(F450="/",G450="/",F450="",G450=""),"补充计划日期","补充投入工时"),IF(AND(G450&lt;项目驾驶舱!$B$3,E450&lt;&gt;"已完成"),"确认延期和后续安排","按计划跟踪"))</f>
        <v>按计划跟踪</v>
      </c>
      <c r="K450" s="8"/>
      <c r="L450" t="s">
        <v>68</v>
      </c>
    </row>
    <row r="451" spans="1:12">
      <c r="A451" s="71"/>
      <c r="B451" s="6" t="str">
        <f>项目总控台账!A69</f>
        <v>T066</v>
      </c>
      <c r="C451" s="6" t="str">
        <f>IF(AND(项目总控台账!E69&lt;&gt;"",项目总控台账!E69&lt;&gt;"/"),项目总控台账!E69,IF(AND(项目总控台账!D69&lt;&gt;"",项目总控台账!D69&lt;&gt;"/"),项目总控台账!D69,项目总控台账!C69))</f>
        <v>装船作业货权跟踪</v>
      </c>
      <c r="D451" s="6" t="str">
        <f>项目总控台账!F69</f>
        <v>第一批次</v>
      </c>
      <c r="E451" s="6" t="str">
        <f>项目总控台账!G69</f>
        <v>已完成</v>
      </c>
      <c r="F451" s="17">
        <f>项目总控台账!Z69</f>
        <v>46216</v>
      </c>
      <c r="G451" s="17">
        <f>项目总控台账!AA69</f>
        <v>46234</v>
      </c>
      <c r="H451" s="70">
        <v>3</v>
      </c>
      <c r="I451" s="6" t="str">
        <f>IF(H451="","待估算",IF(E451="已完成","已结束",IF(AND(ISNUMBER(F451),ISNUMBER(G451),F451&lt;=项目驾驶舱!$B$3,G451&gt;=项目驾驶舱!$B$3),"进行中","计划中")))</f>
        <v>已结束</v>
      </c>
      <c r="J451" s="6" t="str">
        <f>IF(I451="待估算",IF(OR(F451="/",G451="/",F451="",G451=""),"补充计划日期","补充投入工时"),IF(AND(G451&lt;项目驾驶舱!$B$3,E451&lt;&gt;"已完成"),"确认延期和后续安排","按计划跟踪"))</f>
        <v>按计划跟踪</v>
      </c>
      <c r="K451" s="8"/>
      <c r="L451" t="s">
        <v>68</v>
      </c>
    </row>
    <row r="452" spans="1:12">
      <c r="A452" s="72" t="s">
        <v>68</v>
      </c>
      <c r="B452" s="6" t="str">
        <f>项目总控台账!A70</f>
        <v>T067</v>
      </c>
      <c r="C452" s="6" t="str">
        <f>IF(AND(项目总控台账!E70&lt;&gt;"",项目总控台账!E70&lt;&gt;"/"),项目总控台账!E70,IF(AND(项目总控台账!D70&lt;&gt;"",项目总控台账!D70&lt;&gt;"/"),项目总控台账!D70,项目总控台账!C70))</f>
        <v>装船作业货权跟踪</v>
      </c>
      <c r="D452" s="6" t="str">
        <f>项目总控台账!F70</f>
        <v>第一批次</v>
      </c>
      <c r="E452" s="6" t="str">
        <f>项目总控台账!G70</f>
        <v>已完成</v>
      </c>
      <c r="F452" s="17">
        <f>项目总控台账!Z70</f>
        <v>46216</v>
      </c>
      <c r="G452" s="17">
        <f>项目总控台账!AA70</f>
        <v>46234</v>
      </c>
      <c r="H452" s="70">
        <v>3</v>
      </c>
      <c r="I452" s="6" t="str">
        <f>IF(H452="","待估算",IF(E452="已完成","已结束",IF(AND(ISNUMBER(F452),ISNUMBER(G452),F452&lt;=项目驾驶舱!$B$3,G452&gt;=项目驾驶舱!$B$3),"进行中","计划中")))</f>
        <v>已结束</v>
      </c>
      <c r="J452" s="6" t="str">
        <f>IF(I452="待估算",IF(OR(F452="/",G452="/",F452="",G452=""),"补充计划日期","补充投入工时"),IF(AND(G452&lt;项目驾驶舱!$B$3,E452&lt;&gt;"已完成"),"确认延期和后续安排","按计划跟踪"))</f>
        <v>按计划跟踪</v>
      </c>
      <c r="K452" s="8"/>
      <c r="L452" t="s">
        <v>68</v>
      </c>
    </row>
    <row r="453" spans="1:12">
      <c r="B453" s="6" t="str">
        <f>项目总控台账!A71</f>
        <v>T068</v>
      </c>
      <c r="C453" s="6" t="str">
        <f>IF(AND(项目总控台账!E71&lt;&gt;"",项目总控台账!E71&lt;&gt;"/"),项目总控台账!E71,IF(AND(项目总控台账!D71&lt;&gt;"",项目总控台账!D71&lt;&gt;"/"),项目总控台账!D71,项目总控台账!C71))</f>
        <v>装船作业货权跟踪</v>
      </c>
      <c r="D453" s="6" t="str">
        <f>项目总控台账!F71</f>
        <v>第一批次</v>
      </c>
      <c r="E453" s="6" t="str">
        <f>项目总控台账!G71</f>
        <v>已完成</v>
      </c>
      <c r="F453" s="17">
        <f>项目总控台账!Z71</f>
        <v>46216</v>
      </c>
      <c r="G453" s="17">
        <f>项目总控台账!AA71</f>
        <v>46234</v>
      </c>
      <c r="H453" s="70">
        <v>3</v>
      </c>
      <c r="I453" s="6" t="str">
        <f>IF(H453="","待估算",IF(E453="已完成","已结束",IF(AND(ISNUMBER(F453),ISNUMBER(G453),F453&lt;=项目驾驶舱!$B$3,G453&gt;=项目驾驶舱!$B$3),"进行中","计划中")))</f>
        <v>已结束</v>
      </c>
      <c r="J453" s="6" t="str">
        <f>IF(I453="待估算",IF(OR(F453="/",G453="/",F453="",G453=""),"补充计划日期","补充投入工时"),IF(AND(G453&lt;项目驾驶舱!$B$3,E453&lt;&gt;"已完成"),"确认延期和后续安排","按计划跟踪"))</f>
        <v>按计划跟踪</v>
      </c>
      <c r="K453" s="8"/>
      <c r="L453" t="s">
        <v>68</v>
      </c>
    </row>
    <row r="454" spans="1:12">
      <c r="B454" s="6" t="str">
        <f>项目总控台账!A72</f>
        <v>T069</v>
      </c>
      <c r="C454" s="6" t="str">
        <f>IF(AND(项目总控台账!E72&lt;&gt;"",项目总控台账!E72&lt;&gt;"/"),项目总控台账!E72,IF(AND(项目总控台账!D72&lt;&gt;"",项目总控台账!D72&lt;&gt;"/"),项目总控台账!D72,项目总控台账!C72))</f>
        <v>新增、详情、修改页内容调整</v>
      </c>
      <c r="D454" s="6" t="str">
        <f>项目总控台账!F72</f>
        <v>第一批次</v>
      </c>
      <c r="E454" s="6" t="str">
        <f>项目总控台账!G72</f>
        <v>已完成</v>
      </c>
      <c r="F454" s="17">
        <f>项目总控台账!Z72</f>
        <v>46216</v>
      </c>
      <c r="G454" s="17">
        <f>项目总控台账!AA72</f>
        <v>46234</v>
      </c>
      <c r="H454" s="70">
        <v>3</v>
      </c>
      <c r="I454" s="6" t="str">
        <f>IF(H454="","待估算",IF(E454="已完成","已结束",IF(AND(ISNUMBER(F454),ISNUMBER(G454),F454&lt;=项目驾驶舱!$B$3,G454&gt;=项目驾驶舱!$B$3),"进行中","计划中")))</f>
        <v>已结束</v>
      </c>
      <c r="J454" s="6" t="str">
        <f>IF(I454="待估算",IF(OR(F454="/",G454="/",F454="",G454=""),"补充计划日期","补充投入工时"),IF(AND(G454&lt;项目驾驶舱!$B$3,E454&lt;&gt;"已完成"),"确认延期和后续安排","按计划跟踪"))</f>
        <v>按计划跟踪</v>
      </c>
      <c r="K454" s="8"/>
      <c r="L454" t="s">
        <v>68</v>
      </c>
    </row>
    <row r="455" spans="1:12">
      <c r="B455" s="6" t="str">
        <f>项目总控台账!A75</f>
        <v>T072</v>
      </c>
      <c r="C455" s="6" t="str">
        <f>IF(AND(项目总控台账!E75&lt;&gt;"",项目总控台账!E75&lt;&gt;"/"),项目总控台账!E75,IF(AND(项目总控台账!D75&lt;&gt;"",项目总控台账!D75&lt;&gt;"/"),项目总控台账!D75,项目总控台账!C75))</f>
        <v>OCR识别</v>
      </c>
      <c r="D455" s="6" t="str">
        <f>项目总控台账!F75</f>
        <v>第一批次</v>
      </c>
      <c r="E455" s="6" t="str">
        <f>项目总控台账!G75</f>
        <v>已完成</v>
      </c>
      <c r="F455" s="17">
        <f>项目总控台账!Z75</f>
        <v>46216</v>
      </c>
      <c r="G455" s="17">
        <f>项目总控台账!AA75</f>
        <v>46234</v>
      </c>
      <c r="H455" s="70">
        <v>3</v>
      </c>
      <c r="I455" s="6" t="str">
        <f>IF(H455="","待估算",IF(E455="已完成","已结束",IF(AND(ISNUMBER(F455),ISNUMBER(G455),F455&lt;=项目驾驶舱!$B$3,G455&gt;=项目驾驶舱!$B$3),"进行中","计划中")))</f>
        <v>已结束</v>
      </c>
      <c r="J455" s="6" t="str">
        <f>IF(I455="待估算",IF(OR(F455="/",G455="/",F455="",G455=""),"补充计划日期","补充投入工时"),IF(AND(G455&lt;项目驾驶舱!$B$3,E455&lt;&gt;"已完成"),"确认延期和后续安排","按计划跟踪"))</f>
        <v>按计划跟踪</v>
      </c>
      <c r="K455" s="8"/>
      <c r="L455" t="s">
        <v>68</v>
      </c>
    </row>
    <row r="456" spans="1:12">
      <c r="B456" s="6" t="str">
        <f>项目总控台账!A76</f>
        <v>T073</v>
      </c>
      <c r="C456" s="6" t="str">
        <f>IF(AND(项目总控台账!E76&lt;&gt;"",项目总控台账!E76&lt;&gt;"/"),项目总控台账!E76,IF(AND(项目总控台账!D76&lt;&gt;"",项目总控台账!D76&lt;&gt;"/"),项目总控台账!D76,项目总控台账!C76))</f>
        <v>采样作业信息录入新增</v>
      </c>
      <c r="D456" s="6" t="str">
        <f>项目总控台账!F76</f>
        <v>第一批次</v>
      </c>
      <c r="E456" s="6" t="str">
        <f>项目总控台账!G76</f>
        <v>已完成</v>
      </c>
      <c r="F456" s="17">
        <f>项目总控台账!Z76</f>
        <v>46216</v>
      </c>
      <c r="G456" s="17">
        <f>项目总控台账!AA76</f>
        <v>46234</v>
      </c>
      <c r="H456" s="70">
        <v>3</v>
      </c>
      <c r="I456" s="6" t="str">
        <f>IF(H456="","待估算",IF(E456="已完成","已结束",IF(AND(ISNUMBER(F456),ISNUMBER(G456),F456&lt;=项目驾驶舱!$B$3,G456&gt;=项目驾驶舱!$B$3),"进行中","计划中")))</f>
        <v>已结束</v>
      </c>
      <c r="J456" s="6" t="str">
        <f>IF(I456="待估算",IF(OR(F456="/",G456="/",F456="",G456=""),"补充计划日期","补充投入工时"),IF(AND(G456&lt;项目驾驶舱!$B$3,E456&lt;&gt;"已完成"),"确认延期和后续安排","按计划跟踪"))</f>
        <v>按计划跟踪</v>
      </c>
      <c r="K456" s="8"/>
      <c r="L456" t="s">
        <v>68</v>
      </c>
    </row>
    <row r="457" spans="1:12">
      <c r="B457" s="6" t="str">
        <f>项目总控台账!A77</f>
        <v>T074</v>
      </c>
      <c r="C457" s="6" t="str">
        <f>IF(AND(项目总控台账!E77&lt;&gt;"",项目总控台账!E77&lt;&gt;"/"),项目总控台账!E77,IF(AND(项目总控台账!D77&lt;&gt;"",项目总控台账!D77&lt;&gt;"/"),项目总控台账!D77,项目总控台账!C77))</f>
        <v>采样作业信息录入编辑</v>
      </c>
      <c r="D457" s="6" t="str">
        <f>项目总控台账!F77</f>
        <v>第一批次</v>
      </c>
      <c r="E457" s="6" t="str">
        <f>项目总控台账!G77</f>
        <v>已完成</v>
      </c>
      <c r="F457" s="17">
        <f>项目总控台账!Z77</f>
        <v>46216</v>
      </c>
      <c r="G457" s="17">
        <f>项目总控台账!AA77</f>
        <v>46234</v>
      </c>
      <c r="H457" s="70">
        <v>3</v>
      </c>
      <c r="I457" s="6" t="str">
        <f>IF(H457="","待估算",IF(E457="已完成","已结束",IF(AND(ISNUMBER(F457),ISNUMBER(G457),F457&lt;=项目驾驶舱!$B$3,G457&gt;=项目驾驶舱!$B$3),"进行中","计划中")))</f>
        <v>已结束</v>
      </c>
      <c r="J457" s="6" t="str">
        <f>IF(I457="待估算",IF(OR(F457="/",G457="/",F457="",G457=""),"补充计划日期","补充投入工时"),IF(AND(G457&lt;项目驾驶舱!$B$3,E457&lt;&gt;"已完成"),"确认延期和后续安排","按计划跟踪"))</f>
        <v>按计划跟踪</v>
      </c>
      <c r="K457" s="8"/>
      <c r="L457" t="s">
        <v>68</v>
      </c>
    </row>
    <row r="458" spans="1:12">
      <c r="B458" s="6" t="str">
        <f>项目总控台账!A78</f>
        <v>T075</v>
      </c>
      <c r="C458" s="6" t="str">
        <f>IF(AND(项目总控台账!E78&lt;&gt;"",项目总控台账!E78&lt;&gt;"/"),项目总控台账!E78,IF(AND(项目总控台账!D78&lt;&gt;"",项目总控台账!D78&lt;&gt;"/"),项目总控台账!D78,项目总控台账!C78))</f>
        <v>采样作业信息录入详情</v>
      </c>
      <c r="D458" s="6" t="str">
        <f>项目总控台账!F78</f>
        <v>第一批次</v>
      </c>
      <c r="E458" s="6" t="str">
        <f>项目总控台账!G78</f>
        <v>已完成</v>
      </c>
      <c r="F458" s="17">
        <f>项目总控台账!Z78</f>
        <v>46216</v>
      </c>
      <c r="G458" s="17">
        <f>项目总控台账!AA78</f>
        <v>46234</v>
      </c>
      <c r="H458" s="70">
        <v>3</v>
      </c>
      <c r="I458" s="6" t="str">
        <f>IF(H458="","待估算",IF(E458="已完成","已结束",IF(AND(ISNUMBER(F458),ISNUMBER(G458),F458&lt;=项目驾驶舱!$B$3,G458&gt;=项目驾驶舱!$B$3),"进行中","计划中")))</f>
        <v>已结束</v>
      </c>
      <c r="J458" s="6" t="str">
        <f>IF(I458="待估算",IF(OR(F458="/",G458="/",F458="",G458=""),"补充计划日期","补充投入工时"),IF(AND(G458&lt;项目驾驶舱!$B$3,E458&lt;&gt;"已完成"),"确认延期和后续安排","按计划跟踪"))</f>
        <v>按计划跟踪</v>
      </c>
      <c r="K458" s="8"/>
      <c r="L458" t="s">
        <v>68</v>
      </c>
    </row>
    <row r="459" spans="1:12">
      <c r="B459" s="6" t="str">
        <f>项目总控台账!A79</f>
        <v>T076</v>
      </c>
      <c r="C459" s="6" t="str">
        <f>IF(AND(项目总控台账!E79&lt;&gt;"",项目总控台账!E79&lt;&gt;"/"),项目总控台账!E79,IF(AND(项目总控台账!D79&lt;&gt;"",项目总控台账!D79&lt;&gt;"/"),项目总控台账!D79,项目总控台账!C79))</f>
        <v>采样作业信息录入删除</v>
      </c>
      <c r="D459" s="6" t="str">
        <f>项目总控台账!F79</f>
        <v>第一批次</v>
      </c>
      <c r="E459" s="6" t="str">
        <f>项目总控台账!G79</f>
        <v>已完成</v>
      </c>
      <c r="F459" s="17">
        <f>项目总控台账!Z79</f>
        <v>46216</v>
      </c>
      <c r="G459" s="17">
        <f>项目总控台账!AA79</f>
        <v>46234</v>
      </c>
      <c r="H459" s="70">
        <v>3</v>
      </c>
      <c r="I459" s="6" t="str">
        <f>IF(H459="","待估算",IF(E459="已完成","已结束",IF(AND(ISNUMBER(F459),ISNUMBER(G459),F459&lt;=项目驾驶舱!$B$3,G459&gt;=项目驾驶舱!$B$3),"进行中","计划中")))</f>
        <v>已结束</v>
      </c>
      <c r="J459" s="6" t="str">
        <f>IF(I459="待估算",IF(OR(F459="/",G459="/",F459="",G459=""),"补充计划日期","补充投入工时"),IF(AND(G459&lt;项目驾驶舱!$B$3,E459&lt;&gt;"已完成"),"确认延期和后续安排","按计划跟踪"))</f>
        <v>按计划跟踪</v>
      </c>
      <c r="K459" s="8"/>
      <c r="L459" t="s">
        <v>68</v>
      </c>
    </row>
    <row r="460" spans="1:12">
      <c r="B460" s="6" t="str">
        <f>项目总控台账!A80</f>
        <v>T077</v>
      </c>
      <c r="C460" s="6" t="str">
        <f>IF(AND(项目总控台账!E80&lt;&gt;"",项目总控台账!E80&lt;&gt;"/"),项目总控台账!E80,IF(AND(项目总控台账!D80&lt;&gt;"",项目总控台账!D80&lt;&gt;"/"),项目总控台账!D80,项目总控台账!C80))</f>
        <v>采样作业信息录入列表</v>
      </c>
      <c r="D460" s="6" t="str">
        <f>项目总控台账!F80</f>
        <v>第一批次</v>
      </c>
      <c r="E460" s="6" t="str">
        <f>项目总控台账!G80</f>
        <v>已完成</v>
      </c>
      <c r="F460" s="17">
        <f>项目总控台账!Z80</f>
        <v>46216</v>
      </c>
      <c r="G460" s="17">
        <f>项目总控台账!AA80</f>
        <v>46234</v>
      </c>
      <c r="H460" s="70">
        <v>3</v>
      </c>
      <c r="I460" s="6" t="str">
        <f>IF(H460="","待估算",IF(E460="已完成","已结束",IF(AND(ISNUMBER(F460),ISNUMBER(G460),F460&lt;=项目驾驶舱!$B$3,G460&gt;=项目驾驶舱!$B$3),"进行中","计划中")))</f>
        <v>已结束</v>
      </c>
      <c r="J460" s="6" t="str">
        <f>IF(I460="待估算",IF(OR(F460="/",G460="/",F460="",G460=""),"补充计划日期","补充投入工时"),IF(AND(G460&lt;项目驾驶舱!$B$3,E460&lt;&gt;"已完成"),"确认延期和后续安排","按计划跟踪"))</f>
        <v>按计划跟踪</v>
      </c>
      <c r="K460" s="8"/>
      <c r="L460" t="s">
        <v>68</v>
      </c>
    </row>
    <row r="461" spans="1:12">
      <c r="B461" s="6" t="str">
        <f>项目总控台账!A98</f>
        <v>T095</v>
      </c>
      <c r="C461" s="6" t="str">
        <f>IF(AND(项目总控台账!E98&lt;&gt;"",项目总控台账!E98&lt;&gt;"/"),项目总控台账!E98,IF(AND(项目总控台账!D98&lt;&gt;"",项目总控台账!D98&lt;&gt;"/"),项目总控台账!D98,项目总控台账!C98))</f>
        <v>自动生成堆存费</v>
      </c>
      <c r="D461" s="6" t="str">
        <f>项目总控台账!F98</f>
        <v>第一批次</v>
      </c>
      <c r="E461" s="6" t="str">
        <f>项目总控台账!G98</f>
        <v>进行中</v>
      </c>
      <c r="F461" s="17">
        <f>项目总控台账!Z98</f>
        <v>46216</v>
      </c>
      <c r="G461" s="17">
        <f>项目总控台账!AA98</f>
        <v>46234</v>
      </c>
      <c r="H461" s="70">
        <v>3</v>
      </c>
      <c r="I461" s="6" t="str">
        <f>IF(H461="","待估算",IF(E461="已完成","已结束",IF(AND(ISNUMBER(F461),ISNUMBER(G461),F461&lt;=项目驾驶舱!$B$3,G461&gt;=项目驾驶舱!$B$3),"进行中","计划中")))</f>
        <v>计划中</v>
      </c>
      <c r="J461" s="6" t="str">
        <f>IF(I461="待估算",IF(OR(F461="/",G461="/",F461="",G461=""),"补充计划日期","补充投入工时"),IF(AND(G461&lt;项目驾驶舱!$B$3,E461&lt;&gt;"已完成"),"确认延期和后续安排","按计划跟踪"))</f>
        <v>确认延期和后续安排</v>
      </c>
      <c r="K461" s="8"/>
      <c r="L461" t="s">
        <v>68</v>
      </c>
    </row>
    <row r="462" spans="1:12">
      <c r="B462" s="6" t="str">
        <f>项目总控台账!A99</f>
        <v>T096</v>
      </c>
      <c r="C462" s="6" t="str">
        <f>IF(AND(项目总控台账!E99&lt;&gt;"",项目总控台账!E99&lt;&gt;"/"),项目总控台账!E99,IF(AND(项目总控台账!D99&lt;&gt;"",项目总控台账!D99&lt;&gt;"/"),项目总控台账!D99,项目总控台账!C99))</f>
        <v>自动生成装船港杂费</v>
      </c>
      <c r="D462" s="6" t="str">
        <f>项目总控台账!F99</f>
        <v>第一批次</v>
      </c>
      <c r="E462" s="6" t="str">
        <f>项目总控台账!G99</f>
        <v>已完成</v>
      </c>
      <c r="F462" s="17">
        <f>项目总控台账!Z99</f>
        <v>46216</v>
      </c>
      <c r="G462" s="17">
        <f>项目总控台账!AA99</f>
        <v>46234</v>
      </c>
      <c r="H462" s="70">
        <v>3</v>
      </c>
      <c r="I462" s="6" t="str">
        <f>IF(H462="","待估算",IF(E462="已完成","已结束",IF(AND(ISNUMBER(F462),ISNUMBER(G462),F462&lt;=项目驾驶舱!$B$3,G462&gt;=项目驾驶舱!$B$3),"进行中","计划中")))</f>
        <v>已结束</v>
      </c>
      <c r="J462" s="6" t="str">
        <f>IF(I462="待估算",IF(OR(F462="/",G462="/",F462="",G462=""),"补充计划日期","补充投入工时"),IF(AND(G462&lt;项目驾驶舱!$B$3,E462&lt;&gt;"已完成"),"确认延期和后续安排","按计划跟踪"))</f>
        <v>按计划跟踪</v>
      </c>
      <c r="K462" s="8"/>
      <c r="L462" t="s">
        <v>68</v>
      </c>
    </row>
    <row r="463" spans="1:12">
      <c r="A463" s="71"/>
      <c r="B463" s="6" t="str">
        <f>项目总控台账!A100</f>
        <v>T097</v>
      </c>
      <c r="C463" s="6" t="str">
        <f>IF(AND(项目总控台账!E100&lt;&gt;"",项目总控台账!E100&lt;&gt;"/"),项目总控台账!E100,IF(AND(项目总控台账!D100&lt;&gt;"",项目总控台账!D100&lt;&gt;"/"),项目总控台账!D100,项目总控台账!C100))</f>
        <v>自动生成租赁费</v>
      </c>
      <c r="D463" s="6" t="str">
        <f>项目总控台账!F100</f>
        <v>第一批次</v>
      </c>
      <c r="E463" s="6" t="str">
        <f>项目总控台账!G100</f>
        <v>已完成</v>
      </c>
      <c r="F463" s="17">
        <f>项目总控台账!Z100</f>
        <v>46216</v>
      </c>
      <c r="G463" s="17">
        <f>项目总控台账!AA100</f>
        <v>46234</v>
      </c>
      <c r="H463" s="70">
        <v>3</v>
      </c>
      <c r="I463" s="6" t="str">
        <f>IF(H463="","待估算",IF(E463="已完成","已结束",IF(AND(ISNUMBER(F463),ISNUMBER(G463),F463&lt;=项目驾驶舱!$B$3,G463&gt;=项目驾驶舱!$B$3),"进行中","计划中")))</f>
        <v>已结束</v>
      </c>
      <c r="J463" s="6" t="str">
        <f>IF(I463="待估算",IF(OR(F463="/",G463="/",F463="",G463=""),"补充计划日期","补充投入工时"),IF(AND(G463&lt;项目驾驶舱!$B$3,E463&lt;&gt;"已完成"),"确认延期和后续安排","按计划跟踪"))</f>
        <v>按计划跟踪</v>
      </c>
      <c r="K463" s="8"/>
      <c r="L463" t="s">
        <v>68</v>
      </c>
    </row>
    <row r="464" spans="1:12">
      <c r="A464" s="72" t="s">
        <v>68</v>
      </c>
      <c r="B464" s="6" t="str">
        <f>项目总控台账!A101</f>
        <v>T098</v>
      </c>
      <c r="C464" s="6" t="str">
        <f>IF(AND(项目总控台账!E101&lt;&gt;"",项目总控台账!E101&lt;&gt;"/"),项目总控台账!E101,IF(AND(项目总控台账!D101&lt;&gt;"",项目总控台账!D101&lt;&gt;"/"),项目总控台账!D101,项目总控台账!C101))</f>
        <v>优化装卸费新增</v>
      </c>
      <c r="D464" s="6" t="str">
        <f>项目总控台账!F101</f>
        <v>第一批次</v>
      </c>
      <c r="E464" s="6" t="str">
        <f>项目总控台账!G101</f>
        <v>已完成</v>
      </c>
      <c r="F464" s="17">
        <f>项目总控台账!Z101</f>
        <v>46216</v>
      </c>
      <c r="G464" s="17">
        <f>项目总控台账!AA101</f>
        <v>46234</v>
      </c>
      <c r="H464" s="70">
        <v>3</v>
      </c>
      <c r="I464" s="6" t="str">
        <f>IF(H464="","待估算",IF(E464="已完成","已结束",IF(AND(ISNUMBER(F464),ISNUMBER(G464),F464&lt;=项目驾驶舱!$B$3,G464&gt;=项目驾驶舱!$B$3),"进行中","计划中")))</f>
        <v>已结束</v>
      </c>
      <c r="J464" s="6" t="str">
        <f>IF(I464="待估算",IF(OR(F464="/",G464="/",F464="",G464=""),"补充计划日期","补充投入工时"),IF(AND(G464&lt;项目驾驶舱!$B$3,E464&lt;&gt;"已完成"),"确认延期和后续安排","按计划跟踪"))</f>
        <v>按计划跟踪</v>
      </c>
      <c r="K464" s="8"/>
      <c r="L464" t="s">
        <v>68</v>
      </c>
    </row>
    <row r="465" spans="1:12">
      <c r="B465" s="6" t="str">
        <f>项目总控台账!A102</f>
        <v>T099</v>
      </c>
      <c r="C465" s="6" t="str">
        <f>IF(AND(项目总控台账!E102&lt;&gt;"",项目总控台账!E102&lt;&gt;"/"),项目总控台账!E102,IF(AND(项目总控台账!D102&lt;&gt;"",项目总控台账!D102&lt;&gt;"/"),项目总控台账!D102,项目总控台账!C102))</f>
        <v>优化装卸费编辑</v>
      </c>
      <c r="D465" s="6" t="str">
        <f>项目总控台账!F102</f>
        <v>第一批次</v>
      </c>
      <c r="E465" s="6" t="str">
        <f>项目总控台账!G102</f>
        <v>已完成</v>
      </c>
      <c r="F465" s="17">
        <f>项目总控台账!Z102</f>
        <v>46216</v>
      </c>
      <c r="G465" s="17">
        <f>项目总控台账!AA102</f>
        <v>46234</v>
      </c>
      <c r="H465" s="70">
        <v>3</v>
      </c>
      <c r="I465" s="6" t="str">
        <f>IF(H465="","待估算",IF(E465="已完成","已结束",IF(AND(ISNUMBER(F465),ISNUMBER(G465),F465&lt;=项目驾驶舱!$B$3,G465&gt;=项目驾驶舱!$B$3),"进行中","计划中")))</f>
        <v>已结束</v>
      </c>
      <c r="J465" s="6" t="str">
        <f>IF(I465="待估算",IF(OR(F465="/",G465="/",F465="",G465=""),"补充计划日期","补充投入工时"),IF(AND(G465&lt;项目驾驶舱!$B$3,E465&lt;&gt;"已完成"),"确认延期和后续安排","按计划跟踪"))</f>
        <v>按计划跟踪</v>
      </c>
      <c r="K465" s="8"/>
      <c r="L465" t="s">
        <v>68</v>
      </c>
    </row>
    <row r="466" spans="1:12">
      <c r="B466" s="6" t="str">
        <f>项目总控台账!A146</f>
        <v>T143</v>
      </c>
      <c r="C466" s="6" t="str">
        <f>IF(AND(项目总控台账!E146&lt;&gt;"",项目总控台账!E146&lt;&gt;"/"),项目总控台账!E146,IF(AND(项目总控台账!D146&lt;&gt;"",项目总控台账!D146&lt;&gt;"/"),项目总控台账!D146,项目总控台账!C146))</f>
        <v>图片上传</v>
      </c>
      <c r="D466" s="6" t="str">
        <f>项目总控台账!F146</f>
        <v>第一批次</v>
      </c>
      <c r="E466" s="6" t="str">
        <f>项目总控台账!G146</f>
        <v>已完成</v>
      </c>
      <c r="F466" s="17">
        <f>项目总控台账!Z146</f>
        <v>46251</v>
      </c>
      <c r="G466" s="17">
        <f>项目总控台账!AA146</f>
        <v>46269</v>
      </c>
      <c r="H466" s="70">
        <v>4.5</v>
      </c>
      <c r="I466" s="6" t="str">
        <f>IF(H466="","待估算",IF(E466="已完成","已结束",IF(AND(ISNUMBER(F466),ISNUMBER(G466),F466&lt;=项目驾驶舱!$B$3,G466&gt;=项目驾驶舱!$B$3),"进行中","计划中")))</f>
        <v>已结束</v>
      </c>
      <c r="J466" s="6" t="str">
        <f>IF(I466="待估算",IF(OR(F466="/",G466="/",F466="",G466=""),"补充计划日期","补充投入工时"),IF(AND(G466&lt;项目驾驶舱!$B$3,E466&lt;&gt;"已完成"),"确认延期和后续安排","按计划跟踪"))</f>
        <v>按计划跟踪</v>
      </c>
      <c r="K466" s="8"/>
      <c r="L466" t="s">
        <v>68</v>
      </c>
    </row>
    <row r="467" spans="1:12">
      <c r="B467" s="6" t="str">
        <f>项目总控台账!A147</f>
        <v>T144</v>
      </c>
      <c r="C467" s="6" t="str">
        <f>IF(AND(项目总控台账!E147&lt;&gt;"",项目总控台账!E147&lt;&gt;"/"),项目总控台账!E147,IF(AND(项目总控台账!D147&lt;&gt;"",项目总控台账!D147&lt;&gt;"/"),项目总控台账!D147,项目总控台账!C147))</f>
        <v>图片上传</v>
      </c>
      <c r="D467" s="6" t="str">
        <f>项目总控台账!F147</f>
        <v>第一批次</v>
      </c>
      <c r="E467" s="6" t="str">
        <f>项目总控台账!G147</f>
        <v>已完成</v>
      </c>
      <c r="F467" s="17">
        <f>项目总控台账!Z147</f>
        <v>46251</v>
      </c>
      <c r="G467" s="17">
        <f>项目总控台账!AA147</f>
        <v>46269</v>
      </c>
      <c r="H467" s="70">
        <v>4.5</v>
      </c>
      <c r="I467" s="6" t="str">
        <f>IF(H467="","待估算",IF(E467="已完成","已结束",IF(AND(ISNUMBER(F467),ISNUMBER(G467),F467&lt;=项目驾驶舱!$B$3,G467&gt;=项目驾驶舱!$B$3),"进行中","计划中")))</f>
        <v>已结束</v>
      </c>
      <c r="J467" s="6" t="str">
        <f>IF(I467="待估算",IF(OR(F467="/",G467="/",F467="",G467=""),"补充计划日期","补充投入工时"),IF(AND(G467&lt;项目驾驶舱!$B$3,E467&lt;&gt;"已完成"),"确认延期和后续安排","按计划跟踪"))</f>
        <v>按计划跟踪</v>
      </c>
      <c r="K467" s="8"/>
      <c r="L467" t="s">
        <v>68</v>
      </c>
    </row>
    <row r="468" spans="1:12">
      <c r="B468" s="6" t="str">
        <f>项目总控台账!A148</f>
        <v>T145</v>
      </c>
      <c r="C468" s="6" t="str">
        <f>IF(AND(项目总控台账!E148&lt;&gt;"",项目总控台账!E148&lt;&gt;"/"),项目总控台账!E148,IF(AND(项目总控台账!D148&lt;&gt;"",项目总控台账!D148&lt;&gt;"/"),项目总控台账!D148,项目总控台账!C148))</f>
        <v>图片上传</v>
      </c>
      <c r="D468" s="6" t="str">
        <f>项目总控台账!F148</f>
        <v>第二批次</v>
      </c>
      <c r="E468" s="6" t="str">
        <f>项目总控台账!G148</f>
        <v>已完成</v>
      </c>
      <c r="F468" s="17">
        <f>项目总控台账!Z148</f>
        <v>46251</v>
      </c>
      <c r="G468" s="17">
        <f>项目总控台账!AA148</f>
        <v>46269</v>
      </c>
      <c r="H468" s="70">
        <v>3</v>
      </c>
      <c r="I468" s="6" t="str">
        <f>IF(H468="","待估算",IF(E468="已完成","已结束",IF(AND(ISNUMBER(F468),ISNUMBER(G468),F468&lt;=项目驾驶舱!$B$3,G468&gt;=项目驾驶舱!$B$3),"进行中","计划中")))</f>
        <v>已结束</v>
      </c>
      <c r="J468" s="6" t="str">
        <f>IF(I468="待估算",IF(OR(F468="/",G468="/",F468="",G468=""),"补充计划日期","补充投入工时"),IF(AND(G468&lt;项目驾驶舱!$B$3,E468&lt;&gt;"已完成"),"确认延期和后续安排","按计划跟踪"))</f>
        <v>按计划跟踪</v>
      </c>
      <c r="K468" s="8"/>
      <c r="L468" t="s">
        <v>68</v>
      </c>
    </row>
    <row r="469" spans="1:12">
      <c r="B469" s="6" t="str">
        <f>项目总控台账!A40</f>
        <v>T037</v>
      </c>
      <c r="C469" s="6" t="str">
        <f>IF(AND(项目总控台账!E40&lt;&gt;"",项目总控台账!E40&lt;&gt;"/"),项目总控台账!E40,IF(AND(项目总控台账!D40&lt;&gt;"",项目总控台账!D40&lt;&gt;"/"),项目总控台账!D40,项目总控台账!C40))</f>
        <v>创建卸车流程</v>
      </c>
      <c r="D469" s="6" t="str">
        <f>项目总控台账!F40</f>
        <v>第一批次</v>
      </c>
      <c r="E469" s="6" t="str">
        <f>项目总控台账!G40</f>
        <v>已完成</v>
      </c>
      <c r="F469" s="17">
        <f>项目总控台账!Z40</f>
        <v>46253</v>
      </c>
      <c r="G469" s="17">
        <f>项目总控台账!AA40</f>
        <v>46269</v>
      </c>
      <c r="H469" s="70">
        <v>4.5</v>
      </c>
      <c r="I469" s="6" t="str">
        <f>IF(H469="","待估算",IF(E469="已完成","已结束",IF(AND(ISNUMBER(F469),ISNUMBER(G469),F469&lt;=项目驾驶舱!$B$3,G469&gt;=项目驾驶舱!$B$3),"进行中","计划中")))</f>
        <v>已结束</v>
      </c>
      <c r="J469" s="6" t="str">
        <f>IF(I469="待估算",IF(OR(F469="/",G469="/",F469="",G469=""),"补充计划日期","补充投入工时"),IF(AND(G469&lt;项目驾驶舱!$B$3,E469&lt;&gt;"已完成"),"确认延期和后续安排","按计划跟踪"))</f>
        <v>按计划跟踪</v>
      </c>
      <c r="K469" s="8"/>
      <c r="L469" t="s">
        <v>68</v>
      </c>
    </row>
    <row r="470" spans="1:12">
      <c r="B470" s="6" t="str">
        <f>项目总控台账!A41</f>
        <v>T038</v>
      </c>
      <c r="C470" s="6" t="str">
        <f>IF(AND(项目总控台账!E41&lt;&gt;"",项目总控台账!E41&lt;&gt;"/"),项目总控台账!E41,IF(AND(项目总控台账!D41&lt;&gt;"",项目总控台账!D41&lt;&gt;"/"),项目总控台账!D41,项目总控台账!C41))</f>
        <v>查询卸车流程</v>
      </c>
      <c r="D470" s="6" t="str">
        <f>项目总控台账!F41</f>
        <v>第一批次</v>
      </c>
      <c r="E470" s="6" t="str">
        <f>项目总控台账!G41</f>
        <v>已完成</v>
      </c>
      <c r="F470" s="17">
        <f>项目总控台账!Z41</f>
        <v>46253</v>
      </c>
      <c r="G470" s="17">
        <f>项目总控台账!AA41</f>
        <v>46269</v>
      </c>
      <c r="H470" s="70">
        <v>4.5</v>
      </c>
      <c r="I470" s="6" t="str">
        <f>IF(H470="","待估算",IF(E470="已完成","已结束",IF(AND(ISNUMBER(F470),ISNUMBER(G470),F470&lt;=项目驾驶舱!$B$3,G470&gt;=项目驾驶舱!$B$3),"进行中","计划中")))</f>
        <v>已结束</v>
      </c>
      <c r="J470" s="6" t="str">
        <f>IF(I470="待估算",IF(OR(F470="/",G470="/",F470="",G470=""),"补充计划日期","补充投入工时"),IF(AND(G470&lt;项目驾驶舱!$B$3,E470&lt;&gt;"已完成"),"确认延期和后续安排","按计划跟踪"))</f>
        <v>按计划跟踪</v>
      </c>
      <c r="K470" s="8"/>
      <c r="L470" t="s">
        <v>68</v>
      </c>
    </row>
    <row r="471" spans="1:12">
      <c r="B471" s="6" t="str">
        <f>项目总控台账!A42</f>
        <v>T039</v>
      </c>
      <c r="C471" s="6" t="str">
        <f>IF(AND(项目总控台账!E42&lt;&gt;"",项目总控台账!E42&lt;&gt;"/"),项目总控台账!E42,IF(AND(项目总控台账!D42&lt;&gt;"",项目总控台账!D42&lt;&gt;"/"),项目总控台账!D42,项目总控台账!C42))</f>
        <v>修改卸车流程</v>
      </c>
      <c r="D471" s="6" t="str">
        <f>项目总控台账!F42</f>
        <v>第一批次</v>
      </c>
      <c r="E471" s="6" t="str">
        <f>项目总控台账!G42</f>
        <v>已完成</v>
      </c>
      <c r="F471" s="17">
        <f>项目总控台账!Z42</f>
        <v>46253</v>
      </c>
      <c r="G471" s="17">
        <f>项目总控台账!AA42</f>
        <v>46269</v>
      </c>
      <c r="H471" s="70">
        <v>4.5</v>
      </c>
      <c r="I471" s="6" t="str">
        <f>IF(H471="","待估算",IF(E471="已完成","已结束",IF(AND(ISNUMBER(F471),ISNUMBER(G471),F471&lt;=项目驾驶舱!$B$3,G471&gt;=项目驾驶舱!$B$3),"进行中","计划中")))</f>
        <v>已结束</v>
      </c>
      <c r="J471" s="6" t="str">
        <f>IF(I471="待估算",IF(OR(F471="/",G471="/",F471="",G471=""),"补充计划日期","补充投入工时"),IF(AND(G471&lt;项目驾驶舱!$B$3,E471&lt;&gt;"已完成"),"确认延期和后续安排","按计划跟踪"))</f>
        <v>按计划跟踪</v>
      </c>
      <c r="K471" s="8"/>
      <c r="L471" t="s">
        <v>68</v>
      </c>
    </row>
    <row r="472" spans="1:12">
      <c r="B472" s="6" t="str">
        <f>项目总控台账!A43</f>
        <v>T040</v>
      </c>
      <c r="C472" s="6" t="str">
        <f>IF(AND(项目总控台账!E43&lt;&gt;"",项目总控台账!E43&lt;&gt;"/"),项目总控台账!E43,IF(AND(项目总控台账!D43&lt;&gt;"",项目总控台账!D43&lt;&gt;"/"),项目总控台账!D43,项目总控台账!C43))</f>
        <v>创建装船流程</v>
      </c>
      <c r="D472" s="6" t="str">
        <f>项目总控台账!F43</f>
        <v>第一批次</v>
      </c>
      <c r="E472" s="6" t="str">
        <f>项目总控台账!G43</f>
        <v>已完成</v>
      </c>
      <c r="F472" s="17">
        <f>项目总控台账!Z43</f>
        <v>46253</v>
      </c>
      <c r="G472" s="17">
        <f>项目总控台账!AA43</f>
        <v>46269</v>
      </c>
      <c r="H472" s="70">
        <v>4.5</v>
      </c>
      <c r="I472" s="6" t="str">
        <f>IF(H472="","待估算",IF(E472="已完成","已结束",IF(AND(ISNUMBER(F472),ISNUMBER(G472),F472&lt;=项目驾驶舱!$B$3,G472&gt;=项目驾驶舱!$B$3),"进行中","计划中")))</f>
        <v>已结束</v>
      </c>
      <c r="J472" s="6" t="str">
        <f>IF(I472="待估算",IF(OR(F472="/",G472="/",F472="",G472=""),"补充计划日期","补充投入工时"),IF(AND(G472&lt;项目驾驶舱!$B$3,E472&lt;&gt;"已完成"),"确认延期和后续安排","按计划跟踪"))</f>
        <v>按计划跟踪</v>
      </c>
      <c r="K472" s="8"/>
      <c r="L472" t="s">
        <v>68</v>
      </c>
    </row>
    <row r="473" spans="1:12">
      <c r="B473" s="6" t="str">
        <f>项目总控台账!A44</f>
        <v>T041</v>
      </c>
      <c r="C473" s="6" t="str">
        <f>IF(AND(项目总控台账!E44&lt;&gt;"",项目总控台账!E44&lt;&gt;"/"),项目总控台账!E44,IF(AND(项目总控台账!D44&lt;&gt;"",项目总控台账!D44&lt;&gt;"/"),项目总控台账!D44,项目总控台账!C44))</f>
        <v>查询装船流程</v>
      </c>
      <c r="D473" s="6" t="str">
        <f>项目总控台账!F44</f>
        <v>第一批次</v>
      </c>
      <c r="E473" s="6" t="str">
        <f>项目总控台账!G44</f>
        <v>已完成</v>
      </c>
      <c r="F473" s="17">
        <f>项目总控台账!Z44</f>
        <v>46253</v>
      </c>
      <c r="G473" s="17">
        <f>项目总控台账!AA44</f>
        <v>46269</v>
      </c>
      <c r="H473" s="70">
        <v>4.5</v>
      </c>
      <c r="I473" s="6" t="str">
        <f>IF(H473="","待估算",IF(E473="已完成","已结束",IF(AND(ISNUMBER(F473),ISNUMBER(G473),F473&lt;=项目驾驶舱!$B$3,G473&gt;=项目驾驶舱!$B$3),"进行中","计划中")))</f>
        <v>已结束</v>
      </c>
      <c r="J473" s="6" t="str">
        <f>IF(I473="待估算",IF(OR(F473="/",G473="/",F473="",G473=""),"补充计划日期","补充投入工时"),IF(AND(G473&lt;项目驾驶舱!$B$3,E473&lt;&gt;"已完成"),"确认延期和后续安排","按计划跟踪"))</f>
        <v>按计划跟踪</v>
      </c>
      <c r="K473" s="8"/>
      <c r="L473" t="s">
        <v>68</v>
      </c>
    </row>
    <row r="474" spans="1:12">
      <c r="B474" s="6" t="str">
        <f>项目总控台账!A45</f>
        <v>T042</v>
      </c>
      <c r="C474" s="6" t="str">
        <f>IF(AND(项目总控台账!E45&lt;&gt;"",项目总控台账!E45&lt;&gt;"/"),项目总控台账!E45,IF(AND(项目总控台账!D45&lt;&gt;"",项目总控台账!D45&lt;&gt;"/"),项目总控台账!D45,项目总控台账!C45))</f>
        <v>修改装船流程</v>
      </c>
      <c r="D474" s="6" t="str">
        <f>项目总控台账!F45</f>
        <v>第一批次</v>
      </c>
      <c r="E474" s="6" t="str">
        <f>项目总控台账!G45</f>
        <v>已完成</v>
      </c>
      <c r="F474" s="17">
        <f>项目总控台账!Z45</f>
        <v>46253</v>
      </c>
      <c r="G474" s="17">
        <f>项目总控台账!AA45</f>
        <v>46269</v>
      </c>
      <c r="H474" s="70">
        <v>4.5</v>
      </c>
      <c r="I474" s="6" t="str">
        <f>IF(H474="","待估算",IF(E474="已完成","已结束",IF(AND(ISNUMBER(F474),ISNUMBER(G474),F474&lt;=项目驾驶舱!$B$3,G474&gt;=项目驾驶舱!$B$3),"进行中","计划中")))</f>
        <v>已结束</v>
      </c>
      <c r="J474" s="6" t="str">
        <f>IF(I474="待估算",IF(OR(F474="/",G474="/",F474="",G474=""),"补充计划日期","补充投入工时"),IF(AND(G474&lt;项目驾驶舱!$B$3,E474&lt;&gt;"已完成"),"确认延期和后续安排","按计划跟踪"))</f>
        <v>按计划跟踪</v>
      </c>
      <c r="K474" s="8"/>
      <c r="L474" t="s">
        <v>68</v>
      </c>
    </row>
    <row r="475" spans="1:12">
      <c r="A475" s="71"/>
      <c r="B475" s="6" t="str">
        <f>项目总控台账!A46</f>
        <v>T043</v>
      </c>
      <c r="C475" s="6" t="str">
        <f>IF(AND(项目总控台账!E46&lt;&gt;"",项目总控台账!E46&lt;&gt;"/"),项目总控台账!E46,IF(AND(项目总控台账!D46&lt;&gt;"",项目总控台账!D46&lt;&gt;"/"),项目总控台账!D46,项目总控台账!C46))</f>
        <v>创建卸船流程</v>
      </c>
      <c r="D475" s="6" t="str">
        <f>项目总控台账!F46</f>
        <v>第二批次</v>
      </c>
      <c r="E475" s="6" t="str">
        <f>项目总控台账!G46</f>
        <v>已完成</v>
      </c>
      <c r="F475" s="17">
        <f>项目总控台账!Z46</f>
        <v>46253</v>
      </c>
      <c r="G475" s="17">
        <f>项目总控台账!AA46</f>
        <v>46269</v>
      </c>
      <c r="H475" s="70">
        <v>4.5</v>
      </c>
      <c r="I475" s="6" t="str">
        <f>IF(H475="","待估算",IF(E475="已完成","已结束",IF(AND(ISNUMBER(F475),ISNUMBER(G475),F475&lt;=项目驾驶舱!$B$3,G475&gt;=项目驾驶舱!$B$3),"进行中","计划中")))</f>
        <v>已结束</v>
      </c>
      <c r="J475" s="6" t="str">
        <f>IF(I475="待估算",IF(OR(F475="/",G475="/",F475="",G475=""),"补充计划日期","补充投入工时"),IF(AND(G475&lt;项目驾驶舱!$B$3,E475&lt;&gt;"已完成"),"确认延期和后续安排","按计划跟踪"))</f>
        <v>按计划跟踪</v>
      </c>
      <c r="K475" s="8"/>
      <c r="L475" t="s">
        <v>68</v>
      </c>
    </row>
    <row r="476" spans="1:12">
      <c r="A476" s="72" t="s">
        <v>68</v>
      </c>
      <c r="B476" s="6" t="str">
        <f>项目总控台账!A47</f>
        <v>T044</v>
      </c>
      <c r="C476" s="6" t="str">
        <f>IF(AND(项目总控台账!E47&lt;&gt;"",项目总控台账!E47&lt;&gt;"/"),项目总控台账!E47,IF(AND(项目总控台账!D47&lt;&gt;"",项目总控台账!D47&lt;&gt;"/"),项目总控台账!D47,项目总控台账!C47))</f>
        <v>查询卸船流程</v>
      </c>
      <c r="D476" s="6" t="str">
        <f>项目总控台账!F47</f>
        <v>第二批次</v>
      </c>
      <c r="E476" s="6" t="str">
        <f>项目总控台账!G47</f>
        <v>已完成</v>
      </c>
      <c r="F476" s="17">
        <f>项目总控台账!Z47</f>
        <v>46253</v>
      </c>
      <c r="G476" s="17">
        <f>项目总控台账!AA47</f>
        <v>46269</v>
      </c>
      <c r="H476" s="70">
        <v>4.5</v>
      </c>
      <c r="I476" s="6" t="str">
        <f>IF(H476="","待估算",IF(E476="已完成","已结束",IF(AND(ISNUMBER(F476),ISNUMBER(G476),F476&lt;=项目驾驶舱!$B$3,G476&gt;=项目驾驶舱!$B$3),"进行中","计划中")))</f>
        <v>已结束</v>
      </c>
      <c r="J476" s="6" t="str">
        <f>IF(I476="待估算",IF(OR(F476="/",G476="/",F476="",G476=""),"补充计划日期","补充投入工时"),IF(AND(G476&lt;项目驾驶舱!$B$3,E476&lt;&gt;"已完成"),"确认延期和后续安排","按计划跟踪"))</f>
        <v>按计划跟踪</v>
      </c>
      <c r="K476" s="8"/>
      <c r="L476" t="s">
        <v>68</v>
      </c>
    </row>
    <row r="477" spans="1:12">
      <c r="B477" s="6" t="str">
        <f>项目总控台账!A48</f>
        <v>T045</v>
      </c>
      <c r="C477" s="6" t="str">
        <f>IF(AND(项目总控台账!E48&lt;&gt;"",项目总控台账!E48&lt;&gt;"/"),项目总控台账!E48,IF(AND(项目总控台账!D48&lt;&gt;"",项目总控台账!D48&lt;&gt;"/"),项目总控台账!D48,项目总控台账!C48))</f>
        <v>修改卸船流程</v>
      </c>
      <c r="D477" s="6" t="str">
        <f>项目总控台账!F48</f>
        <v>第二批次</v>
      </c>
      <c r="E477" s="6" t="str">
        <f>项目总控台账!G48</f>
        <v>已完成</v>
      </c>
      <c r="F477" s="17">
        <f>项目总控台账!Z48</f>
        <v>46253</v>
      </c>
      <c r="G477" s="17">
        <f>项目总控台账!AA48</f>
        <v>46269</v>
      </c>
      <c r="H477" s="70">
        <v>4.5</v>
      </c>
      <c r="I477" s="6" t="str">
        <f>IF(H477="","待估算",IF(E477="已完成","已结束",IF(AND(ISNUMBER(F477),ISNUMBER(G477),F477&lt;=项目驾驶舱!$B$3,G477&gt;=项目驾驶舱!$B$3),"进行中","计划中")))</f>
        <v>已结束</v>
      </c>
      <c r="J477" s="6" t="str">
        <f>IF(I477="待估算",IF(OR(F477="/",G477="/",F477="",G477=""),"补充计划日期","补充投入工时"),IF(AND(G477&lt;项目驾驶舱!$B$3,E477&lt;&gt;"已完成"),"确认延期和后续安排","按计划跟踪"))</f>
        <v>按计划跟踪</v>
      </c>
      <c r="K477" s="8"/>
      <c r="L477" t="s">
        <v>68</v>
      </c>
    </row>
    <row r="478" spans="1:12">
      <c r="B478" s="6" t="str">
        <f>项目总控台账!A103</f>
        <v>T100</v>
      </c>
      <c r="C478" s="6" t="str">
        <f>IF(AND(项目总控台账!E103&lt;&gt;"",项目总控台账!E103&lt;&gt;"/"),项目总控台账!E103,IF(AND(项目总控台账!D103&lt;&gt;"",项目总控台账!D103&lt;&gt;"/"),项目总控台账!D103,项目总控台账!C103))</f>
        <v>创建行业资讯数据</v>
      </c>
      <c r="D478" s="6" t="str">
        <f>项目总控台账!F103</f>
        <v>第一批次</v>
      </c>
      <c r="E478" s="6" t="str">
        <f>项目总控台账!G103</f>
        <v>已完成</v>
      </c>
      <c r="F478" s="17">
        <f>项目总控台账!Z103</f>
        <v>46253</v>
      </c>
      <c r="G478" s="17">
        <f>项目总控台账!AA103</f>
        <v>46269</v>
      </c>
      <c r="H478" s="70">
        <v>4.5</v>
      </c>
      <c r="I478" s="6" t="str">
        <f>IF(H478="","待估算",IF(E478="已完成","已结束",IF(AND(ISNUMBER(F478),ISNUMBER(G478),F478&lt;=项目驾驶舱!$B$3,G478&gt;=项目驾驶舱!$B$3),"进行中","计划中")))</f>
        <v>已结束</v>
      </c>
      <c r="J478" s="6" t="str">
        <f>IF(I478="待估算",IF(OR(F478="/",G478="/",F478="",G478=""),"补充计划日期","补充投入工时"),IF(AND(G478&lt;项目驾驶舱!$B$3,E478&lt;&gt;"已完成"),"确认延期和后续安排","按计划跟踪"))</f>
        <v>按计划跟踪</v>
      </c>
      <c r="K478" s="8"/>
      <c r="L478" t="s">
        <v>68</v>
      </c>
    </row>
    <row r="479" spans="1:12">
      <c r="B479" s="6" t="str">
        <f>项目总控台账!A104</f>
        <v>T101</v>
      </c>
      <c r="C479" s="6" t="str">
        <f>IF(AND(项目总控台账!E104&lt;&gt;"",项目总控台账!E104&lt;&gt;"/"),项目总控台账!E104,IF(AND(项目总控台账!D104&lt;&gt;"",项目总控台账!D104&lt;&gt;"/"),项目总控台账!D104,项目总控台账!C104))</f>
        <v>修改行业资讯数据</v>
      </c>
      <c r="D479" s="6" t="str">
        <f>项目总控台账!F104</f>
        <v>第一批次</v>
      </c>
      <c r="E479" s="6" t="str">
        <f>项目总控台账!G104</f>
        <v>已完成</v>
      </c>
      <c r="F479" s="17">
        <f>项目总控台账!Z104</f>
        <v>46253</v>
      </c>
      <c r="G479" s="17">
        <f>项目总控台账!AA104</f>
        <v>46269</v>
      </c>
      <c r="H479" s="70">
        <v>4.5</v>
      </c>
      <c r="I479" s="6" t="str">
        <f>IF(H479="","待估算",IF(E479="已完成","已结束",IF(AND(ISNUMBER(F479),ISNUMBER(G479),F479&lt;=项目驾驶舱!$B$3,G479&gt;=项目驾驶舱!$B$3),"进行中","计划中")))</f>
        <v>已结束</v>
      </c>
      <c r="J479" s="6" t="str">
        <f>IF(I479="待估算",IF(OR(F479="/",G479="/",F479="",G479=""),"补充计划日期","补充投入工时"),IF(AND(G479&lt;项目驾驶舱!$B$3,E479&lt;&gt;"已完成"),"确认延期和后续安排","按计划跟踪"))</f>
        <v>按计划跟踪</v>
      </c>
      <c r="K479" s="8"/>
      <c r="L479" t="s">
        <v>68</v>
      </c>
    </row>
    <row r="480" spans="1:12">
      <c r="B480" s="6" t="str">
        <f>项目总控台账!A105</f>
        <v>T102</v>
      </c>
      <c r="C480" s="6" t="str">
        <f>IF(AND(项目总控台账!E105&lt;&gt;"",项目总控台账!E105&lt;&gt;"/"),项目总控台账!E105,IF(AND(项目总控台账!D105&lt;&gt;"",项目总控台账!D105&lt;&gt;"/"),项目总控台账!D105,项目总控台账!C105))</f>
        <v>删除行业资讯数据</v>
      </c>
      <c r="D480" s="6" t="str">
        <f>项目总控台账!F105</f>
        <v>第一批次</v>
      </c>
      <c r="E480" s="6" t="str">
        <f>项目总控台账!G105</f>
        <v>已完成</v>
      </c>
      <c r="F480" s="17">
        <f>项目总控台账!Z105</f>
        <v>46253</v>
      </c>
      <c r="G480" s="17">
        <f>项目总控台账!AA105</f>
        <v>46269</v>
      </c>
      <c r="H480" s="70">
        <v>4.5</v>
      </c>
      <c r="I480" s="6" t="str">
        <f>IF(H480="","待估算",IF(E480="已完成","已结束",IF(AND(ISNUMBER(F480),ISNUMBER(G480),F480&lt;=项目驾驶舱!$B$3,G480&gt;=项目驾驶舱!$B$3),"进行中","计划中")))</f>
        <v>已结束</v>
      </c>
      <c r="J480" s="6" t="str">
        <f>IF(I480="待估算",IF(OR(F480="/",G480="/",F480="",G480=""),"补充计划日期","补充投入工时"),IF(AND(G480&lt;项目驾驶舱!$B$3,E480&lt;&gt;"已完成"),"确认延期和后续安排","按计划跟踪"))</f>
        <v>按计划跟踪</v>
      </c>
      <c r="K480" s="8"/>
      <c r="L480" t="s">
        <v>68</v>
      </c>
    </row>
    <row r="481" spans="1:12">
      <c r="B481" s="6" t="str">
        <f>项目总控台账!A106</f>
        <v>T103</v>
      </c>
      <c r="C481" s="6" t="str">
        <f>IF(AND(项目总控台账!E106&lt;&gt;"",项目总控台账!E106&lt;&gt;"/"),项目总控台账!E106,IF(AND(项目总控台账!D106&lt;&gt;"",项目总控台账!D106&lt;&gt;"/"),项目总控台账!D106,项目总控台账!C106))</f>
        <v>展示行业资讯数据</v>
      </c>
      <c r="D481" s="6" t="str">
        <f>项目总控台账!F106</f>
        <v>第一批次</v>
      </c>
      <c r="E481" s="6" t="str">
        <f>项目总控台账!G106</f>
        <v>已完成</v>
      </c>
      <c r="F481" s="17">
        <f>项目总控台账!Z106</f>
        <v>46253</v>
      </c>
      <c r="G481" s="17">
        <f>项目总控台账!AA106</f>
        <v>46269</v>
      </c>
      <c r="H481" s="70">
        <v>4.5</v>
      </c>
      <c r="I481" s="6" t="str">
        <f>IF(H481="","待估算",IF(E481="已完成","已结束",IF(AND(ISNUMBER(F481),ISNUMBER(G481),F481&lt;=项目驾驶舱!$B$3,G481&gt;=项目驾驶舱!$B$3),"进行中","计划中")))</f>
        <v>已结束</v>
      </c>
      <c r="J481" s="6" t="str">
        <f>IF(I481="待估算",IF(OR(F481="/",G481="/",F481="",G481=""),"补充计划日期","补充投入工时"),IF(AND(G481&lt;项目驾驶舱!$B$3,E481&lt;&gt;"已完成"),"确认延期和后续安排","按计划跟踪"))</f>
        <v>按计划跟踪</v>
      </c>
      <c r="K481" s="8"/>
      <c r="L481" t="s">
        <v>68</v>
      </c>
    </row>
    <row r="482" spans="1:12">
      <c r="B482" s="6" t="str">
        <f>项目总控台账!A107</f>
        <v>T104</v>
      </c>
      <c r="C482" s="6" t="str">
        <f>IF(AND(项目总控台账!E107&lt;&gt;"",项目总控台账!E107&lt;&gt;"/"),项目总控台账!E107,IF(AND(项目总控台账!D107&lt;&gt;"",项目总控台账!D107&lt;&gt;"/"),项目总控台账!D107,项目总控台账!C107))</f>
        <v>吞吐量统计（曹妃甸）</v>
      </c>
      <c r="D482" s="6" t="str">
        <f>项目总控台账!F107</f>
        <v>第一批次</v>
      </c>
      <c r="E482" s="6" t="str">
        <f>项目总控台账!G107</f>
        <v>已完成</v>
      </c>
      <c r="F482" s="17">
        <f>项目总控台账!Z107</f>
        <v>46253</v>
      </c>
      <c r="G482" s="17">
        <f>项目总控台账!AA107</f>
        <v>46269</v>
      </c>
      <c r="H482" s="70">
        <v>4.5</v>
      </c>
      <c r="I482" s="6" t="str">
        <f>IF(H482="","待估算",IF(E482="已完成","已结束",IF(AND(ISNUMBER(F482),ISNUMBER(G482),F482&lt;=项目驾驶舱!$B$3,G482&gt;=项目驾驶舱!$B$3),"进行中","计划中")))</f>
        <v>已结束</v>
      </c>
      <c r="J482" s="6" t="str">
        <f>IF(I482="待估算",IF(OR(F482="/",G482="/",F482="",G482=""),"补充计划日期","补充投入工时"),IF(AND(G482&lt;项目驾驶舱!$B$3,E482&lt;&gt;"已完成"),"确认延期和后续安排","按计划跟踪"))</f>
        <v>按计划跟踪</v>
      </c>
      <c r="K482" s="8"/>
      <c r="L482" t="s">
        <v>68</v>
      </c>
    </row>
    <row r="483" spans="1:12">
      <c r="B483" s="6" t="str">
        <f>项目总控台账!A108</f>
        <v>T105</v>
      </c>
      <c r="C483" s="6" t="str">
        <f>IF(AND(项目总控台账!E108&lt;&gt;"",项目总控台账!E108&lt;&gt;"/"),项目总控台账!E108,IF(AND(项目总控台账!D108&lt;&gt;"",项目总控台账!D108&lt;&gt;"/"),项目总控台账!D108,项目总控台账!C108))</f>
        <v>泊位占用率分析（曹妃甸）</v>
      </c>
      <c r="D483" s="6" t="str">
        <f>项目总控台账!F108</f>
        <v>第一批次</v>
      </c>
      <c r="E483" s="6" t="str">
        <f>项目总控台账!G108</f>
        <v>已完成</v>
      </c>
      <c r="F483" s="17">
        <f>项目总控台账!Z108</f>
        <v>46253</v>
      </c>
      <c r="G483" s="17">
        <f>项目总控台账!AA108</f>
        <v>46269</v>
      </c>
      <c r="H483" s="70">
        <v>4.5</v>
      </c>
      <c r="I483" s="6" t="str">
        <f>IF(H483="","待估算",IF(E483="已完成","已结束",IF(AND(ISNUMBER(F483),ISNUMBER(G483),F483&lt;=项目驾驶舱!$B$3,G483&gt;=项目驾驶舱!$B$3),"进行中","计划中")))</f>
        <v>已结束</v>
      </c>
      <c r="J483" s="6" t="str">
        <f>IF(I483="待估算",IF(OR(F483="/",G483="/",F483="",G483=""),"补充计划日期","补充投入工时"),IF(AND(G483&lt;项目驾驶舱!$B$3,E483&lt;&gt;"已完成"),"确认延期和后续安排","按计划跟踪"))</f>
        <v>按计划跟踪</v>
      </c>
      <c r="K483" s="8"/>
      <c r="L483" t="s">
        <v>68</v>
      </c>
    </row>
    <row r="484" spans="1:12">
      <c r="B484" s="6" t="str">
        <f>项目总控台账!A109</f>
        <v>T106</v>
      </c>
      <c r="C484" s="6" t="str">
        <f>IF(AND(项目总控台账!E109&lt;&gt;"",项目总控台账!E109&lt;&gt;"/"),项目总控台账!E109,IF(AND(项目总控台账!D109&lt;&gt;"",项目总控台账!D109&lt;&gt;"/"),项目总控台账!D109,项目总控台账!C109))</f>
        <v>堆存库存统计（曹妃甸）</v>
      </c>
      <c r="D484" s="6" t="str">
        <f>项目总控台账!F109</f>
        <v>第一批次</v>
      </c>
      <c r="E484" s="6" t="str">
        <f>项目总控台账!G109</f>
        <v>已完成</v>
      </c>
      <c r="F484" s="17">
        <f>项目总控台账!Z109</f>
        <v>46253</v>
      </c>
      <c r="G484" s="17">
        <f>项目总控台账!AA109</f>
        <v>46269</v>
      </c>
      <c r="H484" s="70">
        <v>4.5</v>
      </c>
      <c r="I484" s="6" t="str">
        <f>IF(H484="","待估算",IF(E484="已完成","已结束",IF(AND(ISNUMBER(F484),ISNUMBER(G484),F484&lt;=项目驾驶舱!$B$3,G484&gt;=项目驾驶舱!$B$3),"进行中","计划中")))</f>
        <v>已结束</v>
      </c>
      <c r="J484" s="6" t="str">
        <f>IF(I484="待估算",IF(OR(F484="/",G484="/",F484="",G484=""),"补充计划日期","补充投入工时"),IF(AND(G484&lt;项目驾驶舱!$B$3,E484&lt;&gt;"已完成"),"确认延期和后续安排","按计划跟踪"))</f>
        <v>按计划跟踪</v>
      </c>
      <c r="K484" s="8"/>
      <c r="L484" t="s">
        <v>68</v>
      </c>
    </row>
    <row r="485" spans="1:12">
      <c r="B485" s="6" t="str">
        <f>项目总控台账!A110</f>
        <v>T107</v>
      </c>
      <c r="C485" s="6" t="str">
        <f>IF(AND(项目总控台账!E110&lt;&gt;"",项目总控台账!E110&lt;&gt;"/"),项目总控台账!E110,IF(AND(项目总控台账!D110&lt;&gt;"",项目总控台账!D110&lt;&gt;"/"),项目总控台账!D110,项目总控台账!C110))</f>
        <v>分货主实时统计表（曹妃甸）</v>
      </c>
      <c r="D485" s="6" t="str">
        <f>项目总控台账!F110</f>
        <v>第一批次</v>
      </c>
      <c r="E485" s="6" t="str">
        <f>项目总控台账!G110</f>
        <v>已完成</v>
      </c>
      <c r="F485" s="17">
        <f>项目总控台账!Z110</f>
        <v>46253</v>
      </c>
      <c r="G485" s="17">
        <f>项目总控台账!AA110</f>
        <v>46269</v>
      </c>
      <c r="H485" s="70">
        <v>4.5</v>
      </c>
      <c r="I485" s="6" t="str">
        <f>IF(H485="","待估算",IF(E485="已完成","已结束",IF(AND(ISNUMBER(F485),ISNUMBER(G485),F485&lt;=项目驾驶舱!$B$3,G485&gt;=项目驾驶舱!$B$3),"进行中","计划中")))</f>
        <v>已结束</v>
      </c>
      <c r="J485" s="6" t="str">
        <f>IF(I485="待估算",IF(OR(F485="/",G485="/",F485="",G485=""),"补充计划日期","补充投入工时"),IF(AND(G485&lt;项目驾驶舱!$B$3,E485&lt;&gt;"已完成"),"确认延期和后续安排","按计划跟踪"))</f>
        <v>按计划跟踪</v>
      </c>
      <c r="K485" s="8"/>
      <c r="L485" t="s">
        <v>68</v>
      </c>
    </row>
    <row r="486" spans="1:12">
      <c r="B486" s="6" t="str">
        <f>项目总控台账!A111</f>
        <v>T108</v>
      </c>
      <c r="C486" s="6" t="str">
        <f>IF(AND(项目总控台账!E111&lt;&gt;"",项目总控台账!E111&lt;&gt;"/"),项目总控台账!E111,IF(AND(项目总控台账!D111&lt;&gt;"",项目总控台账!D111&lt;&gt;"/"),项目总控台账!D111,项目总控台账!C111))</f>
        <v>综合装船效率分析（曹妃甸）</v>
      </c>
      <c r="D486" s="6" t="str">
        <f>项目总控台账!F111</f>
        <v>第一批次</v>
      </c>
      <c r="E486" s="6" t="str">
        <f>项目总控台账!G111</f>
        <v>已完成</v>
      </c>
      <c r="F486" s="17">
        <f>项目总控台账!Z111</f>
        <v>46253</v>
      </c>
      <c r="G486" s="17">
        <f>项目总控台账!AA111</f>
        <v>46269</v>
      </c>
      <c r="H486" s="70">
        <v>4.5</v>
      </c>
      <c r="I486" s="6" t="str">
        <f>IF(H486="","待估算",IF(E486="已完成","已结束",IF(AND(ISNUMBER(F486),ISNUMBER(G486),F486&lt;=项目驾驶舱!$B$3,G486&gt;=项目驾驶舱!$B$3),"进行中","计划中")))</f>
        <v>已结束</v>
      </c>
      <c r="J486" s="6" t="str">
        <f>IF(I486="待估算",IF(OR(F486="/",G486="/",F486="",G486=""),"补充计划日期","补充投入工时"),IF(AND(G486&lt;项目驾驶舱!$B$3,E486&lt;&gt;"已完成"),"确认延期和后续安排","按计划跟踪"))</f>
        <v>按计划跟踪</v>
      </c>
      <c r="K486" s="8"/>
      <c r="L486" t="s">
        <v>68</v>
      </c>
    </row>
    <row r="487" spans="1:12">
      <c r="A487" s="71"/>
      <c r="B487" s="6" t="str">
        <f>项目总控台账!A112</f>
        <v>T109</v>
      </c>
      <c r="C487" s="6" t="str">
        <f>IF(AND(项目总控台账!E112&lt;&gt;"",项目总控台账!E112&lt;&gt;"/"),项目总控台账!E112,IF(AND(项目总控台账!D112&lt;&gt;"",项目总控台账!D112&lt;&gt;"/"),项目总控台账!D112,项目总控台账!C112))</f>
        <v>综合卸车效率分析（曹妃甸）</v>
      </c>
      <c r="D487" s="6" t="str">
        <f>项目总控台账!F112</f>
        <v>第一批次</v>
      </c>
      <c r="E487" s="6" t="str">
        <f>项目总控台账!G112</f>
        <v>已完成</v>
      </c>
      <c r="F487" s="17">
        <f>项目总控台账!Z112</f>
        <v>46253</v>
      </c>
      <c r="G487" s="17">
        <f>项目总控台账!AA112</f>
        <v>46269</v>
      </c>
      <c r="H487" s="70">
        <v>4.5</v>
      </c>
      <c r="I487" s="6" t="str">
        <f>IF(H487="","待估算",IF(E487="已完成","已结束",IF(AND(ISNUMBER(F487),ISNUMBER(G487),F487&lt;=项目驾驶舱!$B$3,G487&gt;=项目驾驶舱!$B$3),"进行中","计划中")))</f>
        <v>已结束</v>
      </c>
      <c r="J487" s="6" t="str">
        <f>IF(I487="待估算",IF(OR(F487="/",G487="/",F487="",G487=""),"补充计划日期","补充投入工时"),IF(AND(G487&lt;项目驾驶舱!$B$3,E487&lt;&gt;"已完成"),"确认延期和后续安排","按计划跟踪"))</f>
        <v>按计划跟踪</v>
      </c>
      <c r="K487" s="8"/>
      <c r="L487" t="s">
        <v>68</v>
      </c>
    </row>
    <row r="488" spans="1:12">
      <c r="A488" s="72" t="s">
        <v>68</v>
      </c>
      <c r="B488" s="6" t="str">
        <f>项目总控台账!A113</f>
        <v>T110</v>
      </c>
      <c r="C488" s="6" t="str">
        <f>IF(AND(项目总控台账!E113&lt;&gt;"",项目总控台账!E113&lt;&gt;"/"),项目总控台账!E113,IF(AND(项目总控台账!D113&lt;&gt;"",项目总控台账!D113&lt;&gt;"/"),项目总控台账!D113,项目总控台账!C113))</f>
        <v>综合卸船效率分析（曹妃甸）</v>
      </c>
      <c r="D488" s="6" t="str">
        <f>项目总控台账!F113</f>
        <v>第二批次</v>
      </c>
      <c r="E488" s="6" t="str">
        <f>项目总控台账!G113</f>
        <v>已完成</v>
      </c>
      <c r="F488" s="17">
        <f>项目总控台账!Z113</f>
        <v>46253</v>
      </c>
      <c r="G488" s="17">
        <f>项目总控台账!AA113</f>
        <v>46269</v>
      </c>
      <c r="H488" s="70">
        <v>4.5</v>
      </c>
      <c r="I488" s="6" t="str">
        <f>IF(H488="","待估算",IF(E488="已完成","已结束",IF(AND(ISNUMBER(F488),ISNUMBER(G488),F488&lt;=项目驾驶舱!$B$3,G488&gt;=项目驾驶舱!$B$3),"进行中","计划中")))</f>
        <v>已结束</v>
      </c>
      <c r="J488" s="6" t="str">
        <f>IF(I488="待估算",IF(OR(F488="/",G488="/",F488="",G488=""),"补充计划日期","补充投入工时"),IF(AND(G488&lt;项目驾驶舱!$B$3,E488&lt;&gt;"已完成"),"确认延期和后续安排","按计划跟踪"))</f>
        <v>按计划跟踪</v>
      </c>
      <c r="K488" s="8"/>
      <c r="L488" t="s">
        <v>68</v>
      </c>
    </row>
    <row r="489" spans="1:12">
      <c r="B489" s="6" t="str">
        <f>项目总控台账!A120</f>
        <v>T117</v>
      </c>
      <c r="C489" s="6" t="str">
        <f>IF(AND(项目总控台账!E120&lt;&gt;"",项目总控台账!E120&lt;&gt;"/"),项目总控台账!E120,IF(AND(项目总控台账!D120&lt;&gt;"",项目总控台账!D120&lt;&gt;"/"),项目总控台账!D120,项目总控台账!C120))</f>
        <v>经营任务情况分析报告</v>
      </c>
      <c r="D489" s="6" t="str">
        <f>项目总控台账!F120</f>
        <v>第一批次</v>
      </c>
      <c r="E489" s="6" t="str">
        <f>项目总控台账!G120</f>
        <v>已完成</v>
      </c>
      <c r="F489" s="17">
        <f>项目总控台账!Z120</f>
        <v>46253</v>
      </c>
      <c r="G489" s="17">
        <f>项目总控台账!AA120</f>
        <v>46269</v>
      </c>
      <c r="H489" s="70">
        <v>4.5</v>
      </c>
      <c r="I489" s="6" t="str">
        <f>IF(H489="","待估算",IF(E489="已完成","已结束",IF(AND(ISNUMBER(F489),ISNUMBER(G489),F489&lt;=项目驾驶舱!$B$3,G489&gt;=项目驾驶舱!$B$3),"进行中","计划中")))</f>
        <v>已结束</v>
      </c>
      <c r="J489" s="6" t="str">
        <f>IF(I489="待估算",IF(OR(F489="/",G489="/",F489="",G489=""),"补充计划日期","补充投入工时"),IF(AND(G489&lt;项目驾驶舱!$B$3,E489&lt;&gt;"已完成"),"确认延期和后续安排","按计划跟踪"))</f>
        <v>按计划跟踪</v>
      </c>
      <c r="K489" s="8"/>
      <c r="L489" t="s">
        <v>68</v>
      </c>
    </row>
    <row r="490" spans="1:12">
      <c r="B490" s="6" t="str">
        <f>项目总控台账!A121</f>
        <v>T118</v>
      </c>
      <c r="C490" s="6" t="str">
        <f>IF(AND(项目总控台账!E121&lt;&gt;"",项目总控台账!E121&lt;&gt;"/"),项目总控台账!E121,IF(AND(项目总控台账!D121&lt;&gt;"",项目总控台账!D121&lt;&gt;"/"),项目总控台账!D121,项目总控台账!C121))</f>
        <v>客户月报报告</v>
      </c>
      <c r="D490" s="6" t="str">
        <f>项目总控台账!F121</f>
        <v>第一批次</v>
      </c>
      <c r="E490" s="6" t="str">
        <f>项目总控台账!G121</f>
        <v>已完成</v>
      </c>
      <c r="F490" s="17">
        <f>项目总控台账!Z121</f>
        <v>46253</v>
      </c>
      <c r="G490" s="17">
        <f>项目总控台账!AA121</f>
        <v>46269</v>
      </c>
      <c r="H490" s="70">
        <v>4.5</v>
      </c>
      <c r="I490" s="6" t="str">
        <f>IF(H490="","待估算",IF(E490="已完成","已结束",IF(AND(ISNUMBER(F490),ISNUMBER(G490),F490&lt;=项目驾驶舱!$B$3,G490&gt;=项目驾驶舱!$B$3),"进行中","计划中")))</f>
        <v>已结束</v>
      </c>
      <c r="J490" s="6" t="str">
        <f>IF(I490="待估算",IF(OR(F490="/",G490="/",F490="",G490=""),"补充计划日期","补充投入工时"),IF(AND(G490&lt;项目驾驶舱!$B$3,E490&lt;&gt;"已完成"),"确认延期和后续安排","按计划跟踪"))</f>
        <v>按计划跟踪</v>
      </c>
      <c r="K490" s="8"/>
      <c r="L490" t="s">
        <v>68</v>
      </c>
    </row>
    <row r="491" spans="1:12">
      <c r="B491" s="6" t="str">
        <f>项目总控台账!A122</f>
        <v>T119</v>
      </c>
      <c r="C491" s="6" t="str">
        <f>IF(AND(项目总控台账!E122&lt;&gt;"",项目总控台账!E122&lt;&gt;"/"),项目总控台账!E122,IF(AND(项目总控台账!D122&lt;&gt;"",项目总控台账!D122&lt;&gt;"/"),项目总控台账!D122,项目总控台账!C122))</f>
        <v>月度客户情况报告</v>
      </c>
      <c r="D491" s="6" t="str">
        <f>项目总控台账!F122</f>
        <v>第一批次</v>
      </c>
      <c r="E491" s="6" t="str">
        <f>项目总控台账!G122</f>
        <v>已完成</v>
      </c>
      <c r="F491" s="17">
        <f>项目总控台账!Z122</f>
        <v>46253</v>
      </c>
      <c r="G491" s="17">
        <f>项目总控台账!AA122</f>
        <v>46269</v>
      </c>
      <c r="H491" s="70">
        <v>4.5</v>
      </c>
      <c r="I491" s="6" t="str">
        <f>IF(H491="","待估算",IF(E491="已完成","已结束",IF(AND(ISNUMBER(F491),ISNUMBER(G491),F491&lt;=项目驾驶舱!$B$3,G491&gt;=项目驾驶舱!$B$3),"进行中","计划中")))</f>
        <v>已结束</v>
      </c>
      <c r="J491" s="6" t="str">
        <f>IF(I491="待估算",IF(OR(F491="/",G491="/",F491="",G491=""),"补充计划日期","补充投入工时"),IF(AND(G491&lt;项目驾驶舱!$B$3,E491&lt;&gt;"已完成"),"确认延期和后续安排","按计划跟踪"))</f>
        <v>按计划跟踪</v>
      </c>
      <c r="K491" s="8"/>
      <c r="L491" t="s">
        <v>68</v>
      </c>
    </row>
    <row r="492" spans="1:12">
      <c r="B492" s="6" t="str">
        <f>项目总控台账!A123</f>
        <v>T120</v>
      </c>
      <c r="C492" s="6" t="str">
        <f>IF(AND(项目总控台账!E123&lt;&gt;"",项目总控台账!E123&lt;&gt;"/"),项目总控台账!E123,IF(AND(项目总控台账!D123&lt;&gt;"",项目总控台账!D123&lt;&gt;"/"),项目总控台账!D123,项目总控台账!C123))</f>
        <v>商务计划周报</v>
      </c>
      <c r="D492" s="6" t="str">
        <f>项目总控台账!F123</f>
        <v>第一批次</v>
      </c>
      <c r="E492" s="6" t="str">
        <f>项目总控台账!G123</f>
        <v>已完成</v>
      </c>
      <c r="F492" s="17">
        <f>项目总控台账!Z123</f>
        <v>46253</v>
      </c>
      <c r="G492" s="17">
        <f>项目总控台账!AA123</f>
        <v>46269</v>
      </c>
      <c r="H492" s="70">
        <v>4.5</v>
      </c>
      <c r="I492" s="6" t="str">
        <f>IF(H492="","待估算",IF(E492="已完成","已结束",IF(AND(ISNUMBER(F492),ISNUMBER(G492),F492&lt;=项目驾驶舱!$B$3,G492&gt;=项目驾驶舱!$B$3),"进行中","计划中")))</f>
        <v>已结束</v>
      </c>
      <c r="J492" s="6" t="str">
        <f>IF(I492="待估算",IF(OR(F492="/",G492="/",F492="",G492=""),"补充计划日期","补充投入工时"),IF(AND(G492&lt;项目驾驶舱!$B$3,E492&lt;&gt;"已完成"),"确认延期和后续安排","按计划跟踪"))</f>
        <v>按计划跟踪</v>
      </c>
      <c r="K492" s="8"/>
      <c r="L492" t="s">
        <v>68</v>
      </c>
    </row>
    <row r="493" spans="1:12">
      <c r="B493" s="6" t="str">
        <f>项目总控台账!A124</f>
        <v>T121</v>
      </c>
      <c r="C493" s="6" t="str">
        <f>IF(AND(项目总控台账!E124&lt;&gt;"",项目总控台账!E124&lt;&gt;"/"),项目总控台账!E124,IF(AND(项目总控台账!D124&lt;&gt;"",项目总控台账!D124&lt;&gt;"/"),项目总控台账!D124,项目总控台账!C124))</f>
        <v>船舶供应服务查询</v>
      </c>
      <c r="D493" s="6" t="str">
        <f>项目总控台账!F124</f>
        <v>第二批次</v>
      </c>
      <c r="E493" s="6" t="str">
        <f>项目总控台账!G124</f>
        <v>已完成</v>
      </c>
      <c r="F493" s="17">
        <f>项目总控台账!Z124</f>
        <v>46272</v>
      </c>
      <c r="G493" s="17">
        <f>项目总控台账!AA124</f>
        <v>46276</v>
      </c>
      <c r="H493" s="70">
        <v>8</v>
      </c>
      <c r="I493" s="6" t="str">
        <f>IF(H493="","待估算",IF(E493="已完成","已结束",IF(AND(ISNUMBER(F493),ISNUMBER(G493),F493&lt;=项目驾驶舱!$B$3,G493&gt;=项目驾驶舱!$B$3),"进行中","计划中")))</f>
        <v>已结束</v>
      </c>
      <c r="J493" s="6" t="str">
        <f>IF(I493="待估算",IF(OR(F493="/",G493="/",F493="",G493=""),"补充计划日期","补充投入工时"),IF(AND(G493&lt;项目驾驶舱!$B$3,E493&lt;&gt;"已完成"),"确认延期和后续安排","按计划跟踪"))</f>
        <v>按计划跟踪</v>
      </c>
      <c r="K493" s="8"/>
      <c r="L493" t="s">
        <v>68</v>
      </c>
    </row>
    <row r="494" spans="1:12">
      <c r="B494" s="6" t="str">
        <f>项目总控台账!A125</f>
        <v>T122</v>
      </c>
      <c r="C494" s="6" t="str">
        <f>IF(AND(项目总控台账!E125&lt;&gt;"",项目总控台账!E125&lt;&gt;"/"),项目总控台账!E125,IF(AND(项目总控台账!D125&lt;&gt;"",项目总控台账!D125&lt;&gt;"/"),项目总控台账!D125,项目总控台账!C125))</f>
        <v>船舶预到（内贸）查询</v>
      </c>
      <c r="D494" s="6" t="str">
        <f>项目总控台账!F125</f>
        <v>第二批次</v>
      </c>
      <c r="E494" s="6" t="str">
        <f>项目总控台账!G125</f>
        <v>已完成</v>
      </c>
      <c r="F494" s="17">
        <f>项目总控台账!Z125</f>
        <v>46272</v>
      </c>
      <c r="G494" s="17">
        <f>项目总控台账!AA125</f>
        <v>46276</v>
      </c>
      <c r="H494" s="70">
        <v>8</v>
      </c>
      <c r="I494" s="6" t="str">
        <f>IF(H494="","待估算",IF(E494="已完成","已结束",IF(AND(ISNUMBER(F494),ISNUMBER(G494),F494&lt;=项目驾驶舱!$B$3,G494&gt;=项目驾驶舱!$B$3),"进行中","计划中")))</f>
        <v>已结束</v>
      </c>
      <c r="J494" s="6" t="str">
        <f>IF(I494="待估算",IF(OR(F494="/",G494="/",F494="",G494=""),"补充计划日期","补充投入工时"),IF(AND(G494&lt;项目驾驶舱!$B$3,E494&lt;&gt;"已完成"),"确认延期和后续安排","按计划跟踪"))</f>
        <v>按计划跟踪</v>
      </c>
      <c r="K494" s="8"/>
      <c r="L494" t="s">
        <v>68</v>
      </c>
    </row>
    <row r="495" spans="1:12">
      <c r="B495" s="6" t="str">
        <f>项目总控台账!A126</f>
        <v>T123</v>
      </c>
      <c r="C495" s="6" t="str">
        <f>IF(AND(项目总控台账!E126&lt;&gt;"",项目总控台账!E126&lt;&gt;"/"),项目总控台账!E126,IF(AND(项目总控台账!D126&lt;&gt;"",项目总控台账!D126&lt;&gt;"/"),项目总控台账!D126,项目总控台账!C126))</f>
        <v>台账查询</v>
      </c>
      <c r="D495" s="6" t="str">
        <f>项目总控台账!F126</f>
        <v>第二批次</v>
      </c>
      <c r="E495" s="6" t="str">
        <f>项目总控台账!G126</f>
        <v>已完成</v>
      </c>
      <c r="F495" s="17">
        <f>项目总控台账!Z126</f>
        <v>46272</v>
      </c>
      <c r="G495" s="17">
        <f>项目总控台账!AA126</f>
        <v>46276</v>
      </c>
      <c r="H495" s="70">
        <v>8</v>
      </c>
      <c r="I495" s="6" t="str">
        <f>IF(H495="","待估算",IF(E495="已完成","已结束",IF(AND(ISNUMBER(F495),ISNUMBER(G495),F495&lt;=项目驾驶舱!$B$3,G495&gt;=项目驾驶舱!$B$3),"进行中","计划中")))</f>
        <v>已结束</v>
      </c>
      <c r="J495" s="6" t="str">
        <f>IF(I495="待估算",IF(OR(F495="/",G495="/",F495="",G495=""),"补充计划日期","补充投入工时"),IF(AND(G495&lt;项目驾驶舱!$B$3,E495&lt;&gt;"已完成"),"确认延期和后续安排","按计划跟踪"))</f>
        <v>按计划跟踪</v>
      </c>
      <c r="K495" s="8"/>
      <c r="L495" t="s">
        <v>68</v>
      </c>
    </row>
    <row r="496" spans="1:12">
      <c r="B496" s="6" t="str">
        <f>项目总控台账!A127</f>
        <v>T124</v>
      </c>
      <c r="C496" s="6" t="str">
        <f>IF(AND(项目总控台账!E127&lt;&gt;"",项目总控台账!E127&lt;&gt;"/"),项目总控台账!E127,IF(AND(项目总控台账!D127&lt;&gt;"",项目总控台账!D127&lt;&gt;"/"),项目总控台账!D127,项目总控台账!C127))</f>
        <v>停泊费（内贸）查询</v>
      </c>
      <c r="D496" s="6" t="str">
        <f>项目总控台账!F127</f>
        <v>第二批次</v>
      </c>
      <c r="E496" s="6" t="str">
        <f>项目总控台账!G127</f>
        <v>已完成</v>
      </c>
      <c r="F496" s="17">
        <f>项目总控台账!Z127</f>
        <v>46272</v>
      </c>
      <c r="G496" s="17">
        <f>项目总控台账!AA127</f>
        <v>46276</v>
      </c>
      <c r="H496" s="70">
        <v>8</v>
      </c>
      <c r="I496" s="6" t="str">
        <f>IF(H496="","待估算",IF(E496="已完成","已结束",IF(AND(ISNUMBER(F496),ISNUMBER(G496),F496&lt;=项目驾驶舱!$B$3,G496&gt;=项目驾驶舱!$B$3),"进行中","计划中")))</f>
        <v>已结束</v>
      </c>
      <c r="J496" s="6" t="str">
        <f>IF(I496="待估算",IF(OR(F496="/",G496="/",F496="",G496=""),"补充计划日期","补充投入工时"),IF(AND(G496&lt;项目驾驶舱!$B$3,E496&lt;&gt;"已完成"),"确认延期和后续安排","按计划跟踪"))</f>
        <v>按计划跟踪</v>
      </c>
      <c r="K496" s="8"/>
      <c r="L496" t="s">
        <v>68</v>
      </c>
    </row>
    <row r="497" spans="1:12">
      <c r="B497" s="6" t="str">
        <f>项目总控台账!A128</f>
        <v>T125</v>
      </c>
      <c r="C497" s="6" t="str">
        <f>IF(AND(项目总控台账!E128&lt;&gt;"",项目总控台账!E128&lt;&gt;"/"),项目总控台账!E128,IF(AND(项目总控台账!D128&lt;&gt;"",项目总控台账!D128&lt;&gt;"/"),项目总控台账!D128,项目总控台账!C128))</f>
        <v>船舶供应服务费（内贸）查询</v>
      </c>
      <c r="D497" s="6" t="str">
        <f>项目总控台账!F128</f>
        <v>第二批次</v>
      </c>
      <c r="E497" s="6" t="str">
        <f>项目总控台账!G128</f>
        <v>已完成</v>
      </c>
      <c r="F497" s="17">
        <f>项目总控台账!Z128</f>
        <v>46272</v>
      </c>
      <c r="G497" s="17">
        <f>项目总控台账!AA128</f>
        <v>46276</v>
      </c>
      <c r="H497" s="70">
        <v>8</v>
      </c>
      <c r="I497" s="6" t="str">
        <f>IF(H497="","待估算",IF(E497="已完成","已结束",IF(AND(ISNUMBER(F497),ISNUMBER(G497),F497&lt;=项目驾驶舱!$B$3,G497&gt;=项目驾驶舱!$B$3),"进行中","计划中")))</f>
        <v>已结束</v>
      </c>
      <c r="J497" s="6" t="str">
        <f>IF(I497="待估算",IF(OR(F497="/",G497="/",F497="",G497=""),"补充计划日期","补充投入工时"),IF(AND(G497&lt;项目驾驶舱!$B$3,E497&lt;&gt;"已完成"),"确认延期和后续安排","按计划跟踪"))</f>
        <v>按计划跟踪</v>
      </c>
      <c r="K497" s="8"/>
      <c r="L497" t="s">
        <v>68</v>
      </c>
    </row>
    <row r="498" spans="1:12">
      <c r="B498" s="6" t="str">
        <f>项目总控台账!A16</f>
        <v>T013</v>
      </c>
      <c r="C498" s="6" t="str">
        <f>IF(AND(项目总控台账!E16&lt;&gt;"",项目总控台账!E16&lt;&gt;"/"),项目总控台账!E16,IF(AND(项目总控台账!D16&lt;&gt;"",项目总控台账!D16&lt;&gt;"/"),项目总控台账!D16,项目总控台账!C16))</f>
        <v>新增结算条款</v>
      </c>
      <c r="D498" s="6" t="str">
        <f>项目总控台账!F16</f>
        <v>第二批次</v>
      </c>
      <c r="E498" s="6" t="str">
        <f>项目总控台账!G16</f>
        <v>未开始</v>
      </c>
      <c r="F498" s="17">
        <f>项目总控台账!Z16</f>
        <v>46307</v>
      </c>
      <c r="G498" s="17">
        <f>项目总控台账!AA16</f>
        <v>46318</v>
      </c>
      <c r="H498" s="70">
        <v>5</v>
      </c>
      <c r="I498" s="6" t="str">
        <f>IF(H498="","待估算",IF(E498="已完成","已结束",IF(AND(ISNUMBER(F498),ISNUMBER(G498),F498&lt;=项目驾驶舱!$B$3,G498&gt;=项目驾驶舱!$B$3),"进行中","计划中")))</f>
        <v>计划中</v>
      </c>
      <c r="J498" s="6" t="str">
        <f>IF(I498="待估算",IF(OR(F498="/",G498="/",F498="",G498=""),"补充计划日期","补充投入工时"),IF(AND(G498&lt;项目驾驶舱!$B$3,E498&lt;&gt;"已完成"),"确认延期和后续安排","按计划跟踪"))</f>
        <v>按计划跟踪</v>
      </c>
      <c r="K498" s="8"/>
      <c r="L498" t="s">
        <v>68</v>
      </c>
    </row>
    <row r="499" spans="1:12">
      <c r="A499" s="71"/>
      <c r="B499" s="6" t="str">
        <f>项目总控台账!A17</f>
        <v>T014</v>
      </c>
      <c r="C499" s="6" t="str">
        <f>IF(AND(项目总控台账!E17&lt;&gt;"",项目总控台账!E17&lt;&gt;"/"),项目总控台账!E17,IF(AND(项目总控台账!D17&lt;&gt;"",项目总控台账!D17&lt;&gt;"/"),项目总控台账!D17,项目总控台账!C17))</f>
        <v>结算条款审批</v>
      </c>
      <c r="D499" s="6" t="str">
        <f>项目总控台账!F17</f>
        <v>第二批次</v>
      </c>
      <c r="E499" s="6" t="str">
        <f>项目总控台账!G17</f>
        <v>未开始</v>
      </c>
      <c r="F499" s="17">
        <f>项目总控台账!Z17</f>
        <v>46307</v>
      </c>
      <c r="G499" s="17">
        <f>项目总控台账!AA17</f>
        <v>46318</v>
      </c>
      <c r="H499" s="70">
        <v>5</v>
      </c>
      <c r="I499" s="6" t="str">
        <f>IF(H499="","待估算",IF(E499="已完成","已结束",IF(AND(ISNUMBER(F499),ISNUMBER(G499),F499&lt;=项目驾驶舱!$B$3,G499&gt;=项目驾驶舱!$B$3),"进行中","计划中")))</f>
        <v>计划中</v>
      </c>
      <c r="J499" s="6" t="str">
        <f>IF(I499="待估算",IF(OR(F499="/",G499="/",F499="",G499=""),"补充计划日期","补充投入工时"),IF(AND(G499&lt;项目驾驶舱!$B$3,E499&lt;&gt;"已完成"),"确认延期和后续安排","按计划跟踪"))</f>
        <v>按计划跟踪</v>
      </c>
      <c r="K499" s="8"/>
      <c r="L499" t="s">
        <v>68</v>
      </c>
    </row>
    <row r="500" spans="1:12">
      <c r="A500" s="72" t="s">
        <v>68</v>
      </c>
      <c r="B500" s="6" t="str">
        <f>项目总控台账!A18</f>
        <v>T015</v>
      </c>
      <c r="C500" s="6" t="str">
        <f>IF(AND(项目总控台账!E18&lt;&gt;"",项目总控台账!E18&lt;&gt;"/"),项目总控台账!E18,IF(AND(项目总控台账!D18&lt;&gt;"",项目总控台账!D18&lt;&gt;"/"),项目总控台账!D18,项目总控台账!C18))</f>
        <v>修改结算条款</v>
      </c>
      <c r="D500" s="6" t="str">
        <f>项目总控台账!F18</f>
        <v>第二批次</v>
      </c>
      <c r="E500" s="6" t="str">
        <f>项目总控台账!G18</f>
        <v>未开始</v>
      </c>
      <c r="F500" s="17">
        <f>项目总控台账!Z18</f>
        <v>46307</v>
      </c>
      <c r="G500" s="17">
        <f>项目总控台账!AA18</f>
        <v>46318</v>
      </c>
      <c r="H500" s="70">
        <v>5</v>
      </c>
      <c r="I500" s="6" t="str">
        <f>IF(H500="","待估算",IF(E500="已完成","已结束",IF(AND(ISNUMBER(F500),ISNUMBER(G500),F500&lt;=项目驾驶舱!$B$3,G500&gt;=项目驾驶舱!$B$3),"进行中","计划中")))</f>
        <v>计划中</v>
      </c>
      <c r="J500" s="6" t="str">
        <f>IF(I500="待估算",IF(OR(F500="/",G500="/",F500="",G500=""),"补充计划日期","补充投入工时"),IF(AND(G500&lt;项目驾驶舱!$B$3,E500&lt;&gt;"已完成"),"确认延期和后续安排","按计划跟踪"))</f>
        <v>按计划跟踪</v>
      </c>
      <c r="K500" s="8"/>
      <c r="L500" t="s">
        <v>68</v>
      </c>
    </row>
    <row r="501" spans="1:12">
      <c r="B501" s="6" t="str">
        <f>项目总控台账!A19</f>
        <v>T016</v>
      </c>
      <c r="C501" s="6" t="str">
        <f>IF(AND(项目总控台账!E19&lt;&gt;"",项目总控台账!E19&lt;&gt;"/"),项目总控台账!E19,IF(AND(项目总控台账!D19&lt;&gt;"",项目总控台账!D19&lt;&gt;"/"),项目总控台账!D19,项目总控台账!C19))</f>
        <v>删除结算条款</v>
      </c>
      <c r="D501" s="6" t="str">
        <f>项目总控台账!F19</f>
        <v>第二批次</v>
      </c>
      <c r="E501" s="6" t="str">
        <f>项目总控台账!G19</f>
        <v>未开始</v>
      </c>
      <c r="F501" s="17">
        <f>项目总控台账!Z19</f>
        <v>46307</v>
      </c>
      <c r="G501" s="17">
        <f>项目总控台账!AA19</f>
        <v>46318</v>
      </c>
      <c r="H501" s="70">
        <v>5</v>
      </c>
      <c r="I501" s="6" t="str">
        <f>IF(H501="","待估算",IF(E501="已完成","已结束",IF(AND(ISNUMBER(F501),ISNUMBER(G501),F501&lt;=项目驾驶舱!$B$3,G501&gt;=项目驾驶舱!$B$3),"进行中","计划中")))</f>
        <v>计划中</v>
      </c>
      <c r="J501" s="6" t="str">
        <f>IF(I501="待估算",IF(OR(F501="/",G501="/",F501="",G501=""),"补充计划日期","补充投入工时"),IF(AND(G501&lt;项目驾驶舱!$B$3,E501&lt;&gt;"已完成"),"确认延期和后续安排","按计划跟踪"))</f>
        <v>按计划跟踪</v>
      </c>
      <c r="K501" s="8"/>
      <c r="L501" t="s">
        <v>68</v>
      </c>
    </row>
    <row r="502" spans="1:12">
      <c r="B502" s="6" t="str">
        <f>项目总控台账!A20</f>
        <v>T017</v>
      </c>
      <c r="C502" s="6" t="str">
        <f>IF(AND(项目总控台账!E20&lt;&gt;"",项目总控台账!E20&lt;&gt;"/"),项目总控台账!E20,IF(AND(项目总控台账!D20&lt;&gt;"",项目总控台账!D20&lt;&gt;"/"),项目总控台账!D20,项目总控台账!C20))</f>
        <v>查询展示结算条款</v>
      </c>
      <c r="D502" s="6" t="str">
        <f>项目总控台账!F20</f>
        <v>第二批次</v>
      </c>
      <c r="E502" s="6" t="str">
        <f>项目总控台账!G20</f>
        <v>未开始</v>
      </c>
      <c r="F502" s="17">
        <f>项目总控台账!Z20</f>
        <v>46307</v>
      </c>
      <c r="G502" s="17">
        <f>项目总控台账!AA20</f>
        <v>46318</v>
      </c>
      <c r="H502" s="70">
        <v>5</v>
      </c>
      <c r="I502" s="6" t="str">
        <f>IF(H502="","待估算",IF(E502="已完成","已结束",IF(AND(ISNUMBER(F502),ISNUMBER(G502),F502&lt;=项目驾驶舱!$B$3,G502&gt;=项目驾驶舱!$B$3),"进行中","计划中")))</f>
        <v>计划中</v>
      </c>
      <c r="J502" s="6" t="str">
        <f>IF(I502="待估算",IF(OR(F502="/",G502="/",F502="",G502=""),"补充计划日期","补充投入工时"),IF(AND(G502&lt;项目驾驶舱!$B$3,E502&lt;&gt;"已完成"),"确认延期和后续安排","按计划跟踪"))</f>
        <v>按计划跟踪</v>
      </c>
      <c r="K502" s="8"/>
      <c r="L502" t="s">
        <v>68</v>
      </c>
    </row>
    <row r="503" spans="1:12">
      <c r="B503" s="6" t="str">
        <f>项目总控台账!A21</f>
        <v>T018</v>
      </c>
      <c r="C503" s="6" t="str">
        <f>IF(AND(项目总控台账!E21&lt;&gt;"",项目总控台账!E21&lt;&gt;"/"),项目总控台账!E21,IF(AND(项目总控台账!D21&lt;&gt;"",项目总控台账!D21&lt;&gt;"/"),项目总控台账!D21,项目总控台账!C21))</f>
        <v>结算条款推送法务系统</v>
      </c>
      <c r="D503" s="6" t="str">
        <f>项目总控台账!F21</f>
        <v>第二批次</v>
      </c>
      <c r="E503" s="6" t="str">
        <f>项目总控台账!G21</f>
        <v>未开始</v>
      </c>
      <c r="F503" s="17">
        <f>项目总控台账!Z21</f>
        <v>46307</v>
      </c>
      <c r="G503" s="17">
        <f>项目总控台账!AA21</f>
        <v>46318</v>
      </c>
      <c r="H503" s="70">
        <v>5</v>
      </c>
      <c r="I503" s="6" t="str">
        <f>IF(H503="","待估算",IF(E503="已完成","已结束",IF(AND(ISNUMBER(F503),ISNUMBER(G503),F503&lt;=项目驾驶舱!$B$3,G503&gt;=项目驾驶舱!$B$3),"进行中","计划中")))</f>
        <v>计划中</v>
      </c>
      <c r="J503" s="6" t="str">
        <f>IF(I503="待估算",IF(OR(F503="/",G503="/",F503="",G503=""),"补充计划日期","补充投入工时"),IF(AND(G503&lt;项目驾驶舱!$B$3,E503&lt;&gt;"已完成"),"确认延期和后续安排","按计划跟踪"))</f>
        <v>按计划跟踪</v>
      </c>
      <c r="K503" s="8"/>
      <c r="L503" t="s">
        <v>68</v>
      </c>
    </row>
    <row r="504" spans="1:12">
      <c r="B504" s="6" t="str">
        <f>项目总控台账!A56</f>
        <v>T053</v>
      </c>
      <c r="C504" s="6" t="str">
        <f>IF(AND(项目总控台账!E56&lt;&gt;"",项目总控台账!E56&lt;&gt;"/"),项目总控台账!E56,IF(AND(项目总控台账!D56&lt;&gt;"",项目总控台账!D56&lt;&gt;"/"),项目总控台账!D56,项目总控台账!C56))</f>
        <v>接入港口侧视频监控</v>
      </c>
      <c r="D504" s="6" t="str">
        <f>项目总控台账!F56</f>
        <v>第二批次</v>
      </c>
      <c r="E504" s="6" t="str">
        <f>项目总控台账!G56</f>
        <v>未开始</v>
      </c>
      <c r="F504" s="17">
        <f>项目总控台账!Z56</f>
        <v>46307</v>
      </c>
      <c r="G504" s="17">
        <f>项目总控台账!AA56</f>
        <v>46318</v>
      </c>
      <c r="H504" s="70">
        <v>5</v>
      </c>
      <c r="I504" s="6" t="str">
        <f>IF(H504="","待估算",IF(E504="已完成","已结束",IF(AND(ISNUMBER(F504),ISNUMBER(G504),F504&lt;=项目驾驶舱!$B$3,G504&gt;=项目驾驶舱!$B$3),"进行中","计划中")))</f>
        <v>计划中</v>
      </c>
      <c r="J504" s="6" t="str">
        <f>IF(I504="待估算",IF(OR(F504="/",G504="/",F504="",G504=""),"补充计划日期","补充投入工时"),IF(AND(G504&lt;项目驾驶舱!$B$3,E504&lt;&gt;"已完成"),"确认延期和后续安排","按计划跟踪"))</f>
        <v>按计划跟踪</v>
      </c>
      <c r="K504" s="8"/>
      <c r="L504" t="s">
        <v>68</v>
      </c>
    </row>
    <row r="505" spans="1:12">
      <c r="B505" s="6" t="str">
        <f>项目总控台账!A57</f>
        <v>T054</v>
      </c>
      <c r="C505" s="6" t="str">
        <f>IF(AND(项目总控台账!E57&lt;&gt;"",项目总控台账!E57&lt;&gt;"/"),项目总控台账!E57,IF(AND(项目总控台账!D57&lt;&gt;"",项目总控台账!D57&lt;&gt;"/"),项目总控台账!D57,项目总控台账!C57))</f>
        <v>视频查看权限申请</v>
      </c>
      <c r="D505" s="6" t="str">
        <f>项目总控台账!F57</f>
        <v>第二批次</v>
      </c>
      <c r="E505" s="6" t="str">
        <f>项目总控台账!G57</f>
        <v>未开始</v>
      </c>
      <c r="F505" s="17">
        <f>项目总控台账!Z57</f>
        <v>46307</v>
      </c>
      <c r="G505" s="17">
        <f>项目总控台账!AA57</f>
        <v>46318</v>
      </c>
      <c r="H505" s="70">
        <v>5</v>
      </c>
      <c r="I505" s="6" t="str">
        <f>IF(H505="","待估算",IF(E505="已完成","已结束",IF(AND(ISNUMBER(F505),ISNUMBER(G505),F505&lt;=项目驾驶舱!$B$3,G505&gt;=项目驾驶舱!$B$3),"进行中","计划中")))</f>
        <v>计划中</v>
      </c>
      <c r="J505" s="6" t="str">
        <f>IF(I505="待估算",IF(OR(F505="/",G505="/",F505="",G505=""),"补充计划日期","补充投入工时"),IF(AND(G505&lt;项目驾驶舱!$B$3,E505&lt;&gt;"已完成"),"确认延期和后续安排","按计划跟踪"))</f>
        <v>按计划跟踪</v>
      </c>
      <c r="K505" s="8"/>
      <c r="L505" t="s">
        <v>68</v>
      </c>
    </row>
    <row r="506" spans="1:12">
      <c r="B506" s="6" t="str">
        <f>项目总控台账!A58</f>
        <v>T055</v>
      </c>
      <c r="C506" s="6" t="str">
        <f>IF(AND(项目总控台账!E58&lt;&gt;"",项目总控台账!E58&lt;&gt;"/"),项目总控台账!E58,IF(AND(项目总控台账!D58&lt;&gt;"",项目总控台账!D58&lt;&gt;"/"),项目总控台账!D58,项目总控台账!C58))</f>
        <v>视频查看权限审批</v>
      </c>
      <c r="D506" s="6" t="str">
        <f>项目总控台账!F58</f>
        <v>第二批次</v>
      </c>
      <c r="E506" s="6" t="str">
        <f>项目总控台账!G58</f>
        <v>未开始</v>
      </c>
      <c r="F506" s="17">
        <f>项目总控台账!Z58</f>
        <v>46307</v>
      </c>
      <c r="G506" s="17">
        <f>项目总控台账!AA58</f>
        <v>46318</v>
      </c>
      <c r="H506" s="70">
        <v>5</v>
      </c>
      <c r="I506" s="6" t="str">
        <f>IF(H506="","待估算",IF(E506="已完成","已结束",IF(AND(ISNUMBER(F506),ISNUMBER(G506),F506&lt;=项目驾驶舱!$B$3,G506&gt;=项目驾驶舱!$B$3),"进行中","计划中")))</f>
        <v>计划中</v>
      </c>
      <c r="J506" s="6" t="str">
        <f>IF(I506="待估算",IF(OR(F506="/",G506="/",F506="",G506=""),"补充计划日期","补充投入工时"),IF(AND(G506&lt;项目驾驶舱!$B$3,E506&lt;&gt;"已完成"),"确认延期和后续安排","按计划跟踪"))</f>
        <v>按计划跟踪</v>
      </c>
      <c r="K506" s="8"/>
      <c r="L506" t="s">
        <v>68</v>
      </c>
    </row>
    <row r="507" spans="1:12">
      <c r="B507" s="6" t="str">
        <f>项目总控台账!A59</f>
        <v>T056</v>
      </c>
      <c r="C507" s="6" t="str">
        <f>IF(AND(项目总控台账!E59&lt;&gt;"",项目总控台账!E59&lt;&gt;"/"),项目总控台账!E59,IF(AND(项目总控台账!D59&lt;&gt;"",项目总控台账!D59&lt;&gt;"/"),项目总控台账!D59,项目总控台账!C59))</f>
        <v>视频查看权限有效期控制</v>
      </c>
      <c r="D507" s="6" t="str">
        <f>项目总控台账!F59</f>
        <v>第二批次</v>
      </c>
      <c r="E507" s="6" t="str">
        <f>项目总控台账!G59</f>
        <v>未开始</v>
      </c>
      <c r="F507" s="17">
        <f>项目总控台账!Z59</f>
        <v>46307</v>
      </c>
      <c r="G507" s="17">
        <f>项目总控台账!AA59</f>
        <v>46318</v>
      </c>
      <c r="H507" s="70">
        <v>5</v>
      </c>
      <c r="I507" s="6" t="str">
        <f>IF(H507="","待估算",IF(E507="已完成","已结束",IF(AND(ISNUMBER(F507),ISNUMBER(G507),F507&lt;=项目驾驶舱!$B$3,G507&gt;=项目驾驶舱!$B$3),"进行中","计划中")))</f>
        <v>计划中</v>
      </c>
      <c r="J507" s="6" t="str">
        <f>IF(I507="待估算",IF(OR(F507="/",G507="/",F507="",G507=""),"补充计划日期","补充投入工时"),IF(AND(G507&lt;项目驾驶舱!$B$3,E507&lt;&gt;"已完成"),"确认延期和后续安排","按计划跟踪"))</f>
        <v>按计划跟踪</v>
      </c>
      <c r="K507" s="8"/>
      <c r="L507" t="s">
        <v>68</v>
      </c>
    </row>
    <row r="508" spans="1:12">
      <c r="B508" s="6" t="str">
        <f>项目总控台账!A60</f>
        <v>T057</v>
      </c>
      <c r="C508" s="6" t="str">
        <f>IF(AND(项目总控台账!E60&lt;&gt;"",项目总控台账!E60&lt;&gt;"/"),项目总控台账!E60,IF(AND(项目总控台账!D60&lt;&gt;"",项目总控台账!D60&lt;&gt;"/"),项目总控台账!D60,项目总控台账!C60))</f>
        <v>外网PC端视频监控查询</v>
      </c>
      <c r="D508" s="6" t="str">
        <f>项目总控台账!F60</f>
        <v>第二批次</v>
      </c>
      <c r="E508" s="6" t="str">
        <f>项目总控台账!G60</f>
        <v>未开始</v>
      </c>
      <c r="F508" s="17">
        <f>项目总控台账!Z60</f>
        <v>46307</v>
      </c>
      <c r="G508" s="17">
        <f>项目总控台账!AA60</f>
        <v>46318</v>
      </c>
      <c r="H508" s="70">
        <v>5</v>
      </c>
      <c r="I508" s="6" t="str">
        <f>IF(H508="","待估算",IF(E508="已完成","已结束",IF(AND(ISNUMBER(F508),ISNUMBER(G508),F508&lt;=项目驾驶舱!$B$3,G508&gt;=项目驾驶舱!$B$3),"进行中","计划中")))</f>
        <v>计划中</v>
      </c>
      <c r="J508" s="6" t="str">
        <f>IF(I508="待估算",IF(OR(F508="/",G508="/",F508="",G508=""),"补充计划日期","补充投入工时"),IF(AND(G508&lt;项目驾驶舱!$B$3,E508&lt;&gt;"已完成"),"确认延期和后续安排","按计划跟踪"))</f>
        <v>按计划跟踪</v>
      </c>
      <c r="K508" s="8"/>
      <c r="L508" t="s">
        <v>68</v>
      </c>
    </row>
    <row r="509" spans="1:12">
      <c r="B509" s="6" t="str">
        <f>项目总控台账!A62</f>
        <v>T059</v>
      </c>
      <c r="C509" s="6" t="str">
        <f>IF(AND(项目总控台账!E62&lt;&gt;"",项目总控台账!E62&lt;&gt;"/"),项目总控台账!E62,IF(AND(项目总控台账!D62&lt;&gt;"",项目总控台账!D62&lt;&gt;"/"),项目总控台账!D62,项目总控台账!C62))</f>
        <v>优化新增装车作业信息</v>
      </c>
      <c r="D509" s="6" t="str">
        <f>项目总控台账!F62</f>
        <v>第一批次</v>
      </c>
      <c r="E509" s="6" t="str">
        <f>项目总控台账!G62</f>
        <v>已完成</v>
      </c>
      <c r="F509" s="17">
        <f>项目总控台账!Z62</f>
        <v>46307</v>
      </c>
      <c r="G509" s="17">
        <f>项目总控台账!AA62</f>
        <v>46318</v>
      </c>
      <c r="H509" s="70">
        <v>5</v>
      </c>
      <c r="I509" s="6" t="str">
        <f>IF(H509="","待估算",IF(E509="已完成","已结束",IF(AND(ISNUMBER(F509),ISNUMBER(G509),F509&lt;=项目驾驶舱!$B$3,G509&gt;=项目驾驶舱!$B$3),"进行中","计划中")))</f>
        <v>已结束</v>
      </c>
      <c r="J509" s="6" t="str">
        <f>IF(I509="待估算",IF(OR(F509="/",G509="/",F509="",G509=""),"补充计划日期","补充投入工时"),IF(AND(G509&lt;项目驾驶舱!$B$3,E509&lt;&gt;"已完成"),"确认延期和后续安排","按计划跟踪"))</f>
        <v>按计划跟踪</v>
      </c>
      <c r="K509" s="8"/>
      <c r="L509" t="s">
        <v>68</v>
      </c>
    </row>
    <row r="510" spans="1:12">
      <c r="B510" s="6" t="str">
        <f>项目总控台账!A81</f>
        <v>T078</v>
      </c>
      <c r="C510" s="6" t="str">
        <f>IF(AND(项目总控台账!E81&lt;&gt;"",项目总控台账!E81&lt;&gt;"/"),项目总控台账!E81,IF(AND(项目总控台账!D81&lt;&gt;"",项目总控台账!D81&lt;&gt;"/"),项目总控台账!D81,项目总控台账!C81))</f>
        <v>业务数据合同签订校验</v>
      </c>
      <c r="D510" s="6" t="str">
        <f>项目总控台账!F81</f>
        <v>第二批次</v>
      </c>
      <c r="E510" s="6" t="str">
        <f>项目总控台账!G81</f>
        <v>未开始</v>
      </c>
      <c r="F510" s="17">
        <f>项目总控台账!Z81</f>
        <v>46307</v>
      </c>
      <c r="G510" s="17">
        <f>项目总控台账!AA81</f>
        <v>46318</v>
      </c>
      <c r="H510" s="70">
        <v>5</v>
      </c>
      <c r="I510" s="6" t="str">
        <f>IF(H510="","待估算",IF(E510="已完成","已结束",IF(AND(ISNUMBER(F510),ISNUMBER(G510),F510&lt;=项目驾驶舱!$B$3,G510&gt;=项目驾驶舱!$B$3),"进行中","计划中")))</f>
        <v>计划中</v>
      </c>
      <c r="J510" s="6" t="str">
        <f>IF(I510="待估算",IF(OR(F510="/",G510="/",F510="",G510=""),"补充计划日期","补充投入工时"),IF(AND(G510&lt;项目驾驶舱!$B$3,E510&lt;&gt;"已完成"),"确认延期和后续安排","按计划跟踪"))</f>
        <v>按计划跟踪</v>
      </c>
      <c r="K510" s="8"/>
      <c r="L510" t="s">
        <v>68</v>
      </c>
    </row>
    <row r="511" spans="1:12">
      <c r="A511" s="71"/>
      <c r="B511" s="6" t="str">
        <f>项目总控台账!A82</f>
        <v>T079</v>
      </c>
      <c r="C511" s="6" t="str">
        <f>IF(AND(项目总控台账!E82&lt;&gt;"",项目总控台账!E82&lt;&gt;"/"),项目总控台账!E82,IF(AND(项目总控台账!D82&lt;&gt;"",项目总控台账!D82&lt;&gt;"/"),项目总控台账!D82,项目总控台账!C82))</f>
        <v>结算数据合同签订校验</v>
      </c>
      <c r="D511" s="6" t="str">
        <f>项目总控台账!F82</f>
        <v>第二批次</v>
      </c>
      <c r="E511" s="6" t="str">
        <f>项目总控台账!G82</f>
        <v>未开始</v>
      </c>
      <c r="F511" s="17">
        <f>项目总控台账!Z82</f>
        <v>46307</v>
      </c>
      <c r="G511" s="17">
        <f>项目总控台账!AA82</f>
        <v>46318</v>
      </c>
      <c r="H511" s="70">
        <v>5</v>
      </c>
      <c r="I511" s="6" t="str">
        <f>IF(H511="","待估算",IF(E511="已完成","已结束",IF(AND(ISNUMBER(F511),ISNUMBER(G511),F511&lt;=项目驾驶舱!$B$3,G511&gt;=项目驾驶舱!$B$3),"进行中","计划中")))</f>
        <v>计划中</v>
      </c>
      <c r="J511" s="6" t="str">
        <f>IF(I511="待估算",IF(OR(F511="/",G511="/",F511="",G511=""),"补充计划日期","补充投入工时"),IF(AND(G511&lt;项目驾驶舱!$B$3,E511&lt;&gt;"已完成"),"确认延期和后续安排","按计划跟踪"))</f>
        <v>按计划跟踪</v>
      </c>
      <c r="K511" s="8"/>
      <c r="L511" t="s">
        <v>68</v>
      </c>
    </row>
    <row r="512" spans="1:12">
      <c r="A512" s="72" t="s">
        <v>68</v>
      </c>
      <c r="B512" s="6" t="str">
        <f>项目总控台账!A83</f>
        <v>T080</v>
      </c>
      <c r="C512" s="6" t="str">
        <f>IF(AND(项目总控台账!E83&lt;&gt;"",项目总控台账!E83&lt;&gt;"/"),项目总控台账!E83,IF(AND(项目总控台账!D83&lt;&gt;"",项目总控台账!D83&lt;&gt;"/"),项目总控台账!D83,项目总控台账!C83))</f>
        <v>合同校验结果查询</v>
      </c>
      <c r="D512" s="6" t="str">
        <f>项目总控台账!F83</f>
        <v>第二批次</v>
      </c>
      <c r="E512" s="6" t="str">
        <f>项目总控台账!G83</f>
        <v>未开始</v>
      </c>
      <c r="F512" s="17">
        <f>项目总控台账!Z83</f>
        <v>46307</v>
      </c>
      <c r="G512" s="17">
        <f>项目总控台账!AA83</f>
        <v>46318</v>
      </c>
      <c r="H512" s="70">
        <v>5</v>
      </c>
      <c r="I512" s="6" t="str">
        <f>IF(H512="","待估算",IF(E512="已完成","已结束",IF(AND(ISNUMBER(F512),ISNUMBER(G512),F512&lt;=项目驾驶舱!$B$3,G512&gt;=项目驾驶舱!$B$3),"进行中","计划中")))</f>
        <v>计划中</v>
      </c>
      <c r="J512" s="6" t="str">
        <f>IF(I512="待估算",IF(OR(F512="/",G512="/",F512="",G512=""),"补充计划日期","补充投入工时"),IF(AND(G512&lt;项目驾驶舱!$B$3,E512&lt;&gt;"已完成"),"确认延期和后续安排","按计划跟踪"))</f>
        <v>按计划跟踪</v>
      </c>
      <c r="K512" s="8"/>
      <c r="L512" t="s">
        <v>68</v>
      </c>
    </row>
    <row r="513" spans="1:12">
      <c r="B513" s="6" t="str">
        <f>项目总控台账!A144</f>
        <v>T141</v>
      </c>
      <c r="C513" s="6" t="str">
        <f>IF(AND(项目总控台账!E144&lt;&gt;"",项目总控台账!E144&lt;&gt;"/"),项目总控台账!E144,IF(AND(项目总控台账!D144&lt;&gt;"",项目总控台账!D144&lt;&gt;"/"),项目总控台账!D144,项目总控台账!C144))</f>
        <v>视频监控查询</v>
      </c>
      <c r="D513" s="6" t="str">
        <f>项目总控台账!F144</f>
        <v>第二批次</v>
      </c>
      <c r="E513" s="6" t="str">
        <f>项目总控台账!G144</f>
        <v>未开始</v>
      </c>
      <c r="F513" s="17">
        <f>项目总控台账!Z144</f>
        <v>46307</v>
      </c>
      <c r="G513" s="17">
        <f>项目总控台账!AA144</f>
        <v>46318</v>
      </c>
      <c r="H513" s="70">
        <v>5</v>
      </c>
      <c r="I513" s="6" t="str">
        <f>IF(H513="","待估算",IF(E513="已完成","已结束",IF(AND(ISNUMBER(F513),ISNUMBER(G513),F513&lt;=项目驾驶舱!$B$3,G513&gt;=项目驾驶舱!$B$3),"进行中","计划中")))</f>
        <v>计划中</v>
      </c>
      <c r="J513" s="6" t="str">
        <f>IF(I513="待估算",IF(OR(F513="/",G513="/",F513="",G513=""),"补充计划日期","补充投入工时"),IF(AND(G513&lt;项目驾驶舱!$B$3,E513&lt;&gt;"已完成"),"确认延期和后续安排","按计划跟踪"))</f>
        <v>按计划跟踪</v>
      </c>
      <c r="K513" s="8"/>
      <c r="L513" t="s">
        <v>68</v>
      </c>
    </row>
    <row r="514" spans="1:12">
      <c r="B514" s="6" t="str">
        <f>项目总控台账!A8</f>
        <v>T005</v>
      </c>
      <c r="C514" s="6" t="str">
        <f>IF(AND(项目总控台账!E8&lt;&gt;"",项目总控台账!E8&lt;&gt;"/"),项目总控台账!E8,IF(AND(项目总控台账!D8&lt;&gt;"",项目总控台账!D8&lt;&gt;"/"),项目总控台账!D8,项目总控台账!C8))</f>
        <v>船舶唯一性校验</v>
      </c>
      <c r="D514" s="6" t="str">
        <f>项目总控台账!F8</f>
        <v>第二批次</v>
      </c>
      <c r="E514" s="6" t="str">
        <f>项目总控台账!G8</f>
        <v>已完成</v>
      </c>
      <c r="F514" s="17">
        <f>项目总控台账!Z8</f>
        <v>46342</v>
      </c>
      <c r="G514" s="17">
        <f>项目总控台账!AA8</f>
        <v>46353</v>
      </c>
      <c r="H514" s="70">
        <v>2</v>
      </c>
      <c r="I514" s="6" t="str">
        <f>IF(H514="","待估算",IF(E514="已完成","已结束",IF(AND(ISNUMBER(F514),ISNUMBER(G514),F514&lt;=项目驾驶舱!$B$3,G514&gt;=项目驾驶舱!$B$3),"进行中","计划中")))</f>
        <v>已结束</v>
      </c>
      <c r="J514" s="6" t="str">
        <f>IF(I514="待估算",IF(OR(F514="/",G514="/",F514="",G514=""),"补充计划日期","补充投入工时"),IF(AND(G514&lt;项目驾驶舱!$B$3,E514&lt;&gt;"已完成"),"确认延期和后续安排","按计划跟踪"))</f>
        <v>按计划跟踪</v>
      </c>
      <c r="K514" s="8"/>
      <c r="L514" t="s">
        <v>68</v>
      </c>
    </row>
    <row r="515" spans="1:12">
      <c r="B515" s="6" t="str">
        <f>项目总控台账!A22</f>
        <v>T019</v>
      </c>
      <c r="C515" s="6" t="str">
        <f>IF(AND(项目总控台账!E22&lt;&gt;"",项目总控台账!E22&lt;&gt;"/"),项目总控台账!E22,IF(AND(项目总控台账!D22&lt;&gt;"",项目总控台账!D22&lt;&gt;"/"),项目总控台账!D22,项目总控台账!C22))</f>
        <v>对接卸船计划</v>
      </c>
      <c r="D515" s="6" t="str">
        <f>项目总控台账!F22</f>
        <v>第二批次</v>
      </c>
      <c r="E515" s="6" t="str">
        <f>项目总控台账!G22</f>
        <v>进行中</v>
      </c>
      <c r="F515" s="17">
        <f>项目总控台账!Z22</f>
        <v>46342</v>
      </c>
      <c r="G515" s="17">
        <f>项目总控台账!AA22</f>
        <v>46353</v>
      </c>
      <c r="H515" s="70">
        <v>2</v>
      </c>
      <c r="I515" s="6" t="str">
        <f>IF(H515="","待估算",IF(E515="已完成","已结束",IF(AND(ISNUMBER(F515),ISNUMBER(G515),F515&lt;=项目驾驶舱!$B$3,G515&gt;=项目驾驶舱!$B$3),"进行中","计划中")))</f>
        <v>计划中</v>
      </c>
      <c r="J515" s="6" t="str">
        <f>IF(I515="待估算",IF(OR(F515="/",G515="/",F515="",G515=""),"补充计划日期","补充投入工时"),IF(AND(G515&lt;项目驾驶舱!$B$3,E515&lt;&gt;"已完成"),"确认延期和后续安排","按计划跟踪"))</f>
        <v>按计划跟踪</v>
      </c>
      <c r="K515" s="8"/>
      <c r="L515" t="s">
        <v>68</v>
      </c>
    </row>
    <row r="516" spans="1:12">
      <c r="B516" s="6" t="str">
        <f>项目总控台账!A23</f>
        <v>T020</v>
      </c>
      <c r="C516" s="6" t="str">
        <f>IF(AND(项目总控台账!E23&lt;&gt;"",项目总控台账!E23&lt;&gt;"/"),项目总控台账!E23,IF(AND(项目总控台账!D23&lt;&gt;"",项目总控台账!D23&lt;&gt;"/"),项目总控台账!D23,项目总控台账!C23))</f>
        <v>查询卸车计划</v>
      </c>
      <c r="D516" s="6" t="str">
        <f>项目总控台账!F23</f>
        <v>第二批次</v>
      </c>
      <c r="E516" s="6" t="str">
        <f>项目总控台账!G23</f>
        <v>进行中</v>
      </c>
      <c r="F516" s="17">
        <f>项目总控台账!Z23</f>
        <v>46342</v>
      </c>
      <c r="G516" s="17">
        <f>项目总控台账!AA23</f>
        <v>46353</v>
      </c>
      <c r="H516" s="70">
        <v>2</v>
      </c>
      <c r="I516" s="6" t="str">
        <f>IF(H516="","待估算",IF(E516="已完成","已结束",IF(AND(ISNUMBER(F516),ISNUMBER(G516),F516&lt;=项目驾驶舱!$B$3,G516&gt;=项目驾驶舱!$B$3),"进行中","计划中")))</f>
        <v>计划中</v>
      </c>
      <c r="J516" s="6" t="str">
        <f>IF(I516="待估算",IF(OR(F516="/",G516="/",F516="",G516=""),"补充计划日期","补充投入工时"),IF(AND(G516&lt;项目驾驶舱!$B$3,E516&lt;&gt;"已完成"),"确认延期和后续安排","按计划跟踪"))</f>
        <v>按计划跟踪</v>
      </c>
      <c r="K516" s="8"/>
      <c r="L516" t="s">
        <v>68</v>
      </c>
    </row>
    <row r="517" spans="1:12">
      <c r="B517" s="6" t="str">
        <f>项目总控台账!A24</f>
        <v>T021</v>
      </c>
      <c r="C517" s="6" t="str">
        <f>IF(AND(项目总控台账!E24&lt;&gt;"",项目总控台账!E24&lt;&gt;"/"),项目总控台账!E24,IF(AND(项目总控台账!D24&lt;&gt;"",项目总控台账!D24&lt;&gt;"/"),项目总控台账!D24,项目总控台账!C24))</f>
        <v>外部客户确认</v>
      </c>
      <c r="D517" s="6" t="str">
        <f>项目总控台账!F24</f>
        <v>第二批次</v>
      </c>
      <c r="E517" s="6" t="str">
        <f>项目总控台账!G24</f>
        <v>进行中</v>
      </c>
      <c r="F517" s="17">
        <f>项目总控台账!Z24</f>
        <v>46342</v>
      </c>
      <c r="G517" s="17">
        <f>项目总控台账!AA24</f>
        <v>46353</v>
      </c>
      <c r="H517" s="70">
        <v>2</v>
      </c>
      <c r="I517" s="6" t="str">
        <f>IF(H517="","待估算",IF(E517="已完成","已结束",IF(AND(ISNUMBER(F517),ISNUMBER(G517),F517&lt;=项目驾驶舱!$B$3,G517&gt;=项目驾驶舱!$B$3),"进行中","计划中")))</f>
        <v>计划中</v>
      </c>
      <c r="J517" s="6" t="str">
        <f>IF(I517="待估算",IF(OR(F517="/",G517="/",F517="",G517=""),"补充计划日期","补充投入工时"),IF(AND(G517&lt;项目驾驶舱!$B$3,E517&lt;&gt;"已完成"),"确认延期和后续安排","按计划跟踪"))</f>
        <v>按计划跟踪</v>
      </c>
      <c r="K517" s="8"/>
      <c r="L517" t="s">
        <v>68</v>
      </c>
    </row>
    <row r="518" spans="1:12">
      <c r="B518" s="6" t="str">
        <f>项目总控台账!A25</f>
        <v>T022</v>
      </c>
      <c r="C518" s="6" t="str">
        <f>IF(AND(项目总控台账!E25&lt;&gt;"",项目总控台账!E25&lt;&gt;"/"),项目总控台账!E25,IF(AND(项目总控台账!D25&lt;&gt;"",项目总控台账!D25&lt;&gt;"/"),项目总控台账!D25,项目总控台账!C25))</f>
        <v>对接卸船作业信息</v>
      </c>
      <c r="D518" s="6" t="str">
        <f>项目总控台账!F25</f>
        <v>第二批次</v>
      </c>
      <c r="E518" s="6" t="str">
        <f>项目总控台账!G25</f>
        <v>未开始</v>
      </c>
      <c r="F518" s="17">
        <f>项目总控台账!Z25</f>
        <v>46342</v>
      </c>
      <c r="G518" s="17">
        <f>项目总控台账!AA25</f>
        <v>46353</v>
      </c>
      <c r="H518" s="70">
        <v>2</v>
      </c>
      <c r="I518" s="6" t="str">
        <f>IF(H518="","待估算",IF(E518="已完成","已结束",IF(AND(ISNUMBER(F518),ISNUMBER(G518),F518&lt;=项目驾驶舱!$B$3,G518&gt;=项目驾驶舱!$B$3),"进行中","计划中")))</f>
        <v>计划中</v>
      </c>
      <c r="J518" s="6" t="str">
        <f>IF(I518="待估算",IF(OR(F518="/",G518="/",F518="",G518=""),"补充计划日期","补充投入工时"),IF(AND(G518&lt;项目驾驶舱!$B$3,E518&lt;&gt;"已完成"),"确认延期和后续安排","按计划跟踪"))</f>
        <v>按计划跟踪</v>
      </c>
      <c r="K518" s="8"/>
      <c r="L518" t="s">
        <v>68</v>
      </c>
    </row>
    <row r="519" spans="1:12">
      <c r="B519" s="6" t="str">
        <f>项目总控台账!A26</f>
        <v>T023</v>
      </c>
      <c r="C519" s="6" t="str">
        <f>IF(AND(项目总控台账!E26&lt;&gt;"",项目总控台账!E26&lt;&gt;"/"),项目总控台账!E26,IF(AND(项目总控台账!D26&lt;&gt;"",项目总控台账!D26&lt;&gt;"/"),项目总控台账!D26,项目总控台账!C26))</f>
        <v>查询卸船作业信息</v>
      </c>
      <c r="D519" s="6" t="str">
        <f>项目总控台账!F26</f>
        <v>第二批次</v>
      </c>
      <c r="E519" s="6" t="str">
        <f>项目总控台账!G26</f>
        <v>未开始</v>
      </c>
      <c r="F519" s="17">
        <f>项目总控台账!Z26</f>
        <v>46342</v>
      </c>
      <c r="G519" s="17">
        <f>项目总控台账!AA26</f>
        <v>46353</v>
      </c>
      <c r="H519" s="70">
        <v>2</v>
      </c>
      <c r="I519" s="6" t="str">
        <f>IF(H519="","待估算",IF(E519="已完成","已结束",IF(AND(ISNUMBER(F519),ISNUMBER(G519),F519&lt;=项目驾驶舱!$B$3,G519&gt;=项目驾驶舱!$B$3),"进行中","计划中")))</f>
        <v>计划中</v>
      </c>
      <c r="J519" s="6" t="str">
        <f>IF(I519="待估算",IF(OR(F519="/",G519="/",F519="",G519=""),"补充计划日期","补充投入工时"),IF(AND(G519&lt;项目驾驶舱!$B$3,E519&lt;&gt;"已完成"),"确认延期和后续安排","按计划跟踪"))</f>
        <v>按计划跟踪</v>
      </c>
      <c r="K519" s="8"/>
      <c r="L519" t="s">
        <v>68</v>
      </c>
    </row>
    <row r="520" spans="1:12">
      <c r="B520" s="6" t="str">
        <f>项目总控台账!A27</f>
        <v>T024</v>
      </c>
      <c r="C520" s="6" t="str">
        <f>IF(AND(项目总控台账!E27&lt;&gt;"",项目总控台账!E27&lt;&gt;"/"),项目总控台账!E27,IF(AND(项目总控台账!D27&lt;&gt;"",项目总控台账!D27&lt;&gt;"/"),项目总控台账!D27,项目总控台账!C27))</f>
        <v>卸船查询列表</v>
      </c>
      <c r="D520" s="6" t="str">
        <f>项目总控台账!F27</f>
        <v>第二批次</v>
      </c>
      <c r="E520" s="6" t="str">
        <f>项目总控台账!G27</f>
        <v>未开始</v>
      </c>
      <c r="F520" s="17">
        <f>项目总控台账!Z27</f>
        <v>46342</v>
      </c>
      <c r="G520" s="17">
        <f>项目总控台账!AA27</f>
        <v>46353</v>
      </c>
      <c r="H520" s="70">
        <v>2</v>
      </c>
      <c r="I520" s="6" t="str">
        <f>IF(H520="","待估算",IF(E520="已完成","已结束",IF(AND(ISNUMBER(F520),ISNUMBER(G520),F520&lt;=项目驾驶舱!$B$3,G520&gt;=项目驾驶舱!$B$3),"进行中","计划中")))</f>
        <v>计划中</v>
      </c>
      <c r="J520" s="6" t="str">
        <f>IF(I520="待估算",IF(OR(F520="/",G520="/",F520="",G520=""),"补充计划日期","补充投入工时"),IF(AND(G520&lt;项目驾驶舱!$B$3,E520&lt;&gt;"已完成"),"确认延期和后续安排","按计划跟踪"))</f>
        <v>按计划跟踪</v>
      </c>
      <c r="K520" s="8"/>
      <c r="L520" t="s">
        <v>68</v>
      </c>
    </row>
    <row r="521" spans="1:12">
      <c r="B521" s="6" t="str">
        <f>项目总控台账!A28</f>
        <v>T025</v>
      </c>
      <c r="C521" s="6" t="str">
        <f>IF(AND(项目总控台账!E28&lt;&gt;"",项目总控台账!E28&lt;&gt;"/"),项目总控台账!E28,IF(AND(项目总控台账!D28&lt;&gt;"",项目总控台账!D28&lt;&gt;"/"),项目总控台账!D28,项目总控台账!C28))</f>
        <v>卸船查询详情</v>
      </c>
      <c r="D521" s="6" t="str">
        <f>项目总控台账!F28</f>
        <v>第二批次</v>
      </c>
      <c r="E521" s="6" t="str">
        <f>项目总控台账!G28</f>
        <v>未开始</v>
      </c>
      <c r="F521" s="17">
        <f>项目总控台账!Z28</f>
        <v>46342</v>
      </c>
      <c r="G521" s="17">
        <f>项目总控台账!AA28</f>
        <v>46353</v>
      </c>
      <c r="H521" s="70">
        <v>2</v>
      </c>
      <c r="I521" s="6" t="str">
        <f>IF(H521="","待估算",IF(E521="已完成","已结束",IF(AND(ISNUMBER(F521),ISNUMBER(G521),F521&lt;=项目驾驶舱!$B$3,G521&gt;=项目驾驶舱!$B$3),"进行中","计划中")))</f>
        <v>计划中</v>
      </c>
      <c r="J521" s="6" t="str">
        <f>IF(I521="待估算",IF(OR(F521="/",G521="/",F521="",G521=""),"补充计划日期","补充投入工时"),IF(AND(G521&lt;项目驾驶舱!$B$3,E521&lt;&gt;"已完成"),"确认延期和后续安排","按计划跟踪"))</f>
        <v>按计划跟踪</v>
      </c>
      <c r="K521" s="8"/>
      <c r="L521" t="s">
        <v>68</v>
      </c>
    </row>
    <row r="522" spans="1:12">
      <c r="B522" s="6" t="str">
        <f>项目总控台账!A29</f>
        <v>T026</v>
      </c>
      <c r="C522" s="6" t="str">
        <f>IF(AND(项目总控台账!E29&lt;&gt;"",项目总控台账!E29&lt;&gt;"/"),项目总控台账!E29,IF(AND(项目总控台账!D29&lt;&gt;"",项目总控台账!D29&lt;&gt;"/"),项目总控台账!D29,项目总控台账!C29))</f>
        <v>创建卸船作业委托信息</v>
      </c>
      <c r="D522" s="6" t="str">
        <f>项目总控台账!F29</f>
        <v>第二批次</v>
      </c>
      <c r="E522" s="6" t="str">
        <f>项目总控台账!G29</f>
        <v>进行中</v>
      </c>
      <c r="F522" s="17">
        <f>项目总控台账!Z29</f>
        <v>46342</v>
      </c>
      <c r="G522" s="17">
        <f>项目总控台账!AA29</f>
        <v>46353</v>
      </c>
      <c r="H522" s="70">
        <v>2</v>
      </c>
      <c r="I522" s="6" t="str">
        <f>IF(H522="","待估算",IF(E522="已完成","已结束",IF(AND(ISNUMBER(F522),ISNUMBER(G522),F522&lt;=项目驾驶舱!$B$3,G522&gt;=项目驾驶舱!$B$3),"进行中","计划中")))</f>
        <v>计划中</v>
      </c>
      <c r="J522" s="6" t="str">
        <f>IF(I522="待估算",IF(OR(F522="/",G522="/",F522="",G522=""),"补充计划日期","补充投入工时"),IF(AND(G522&lt;项目驾驶舱!$B$3,E522&lt;&gt;"已完成"),"确认延期和后续安排","按计划跟踪"))</f>
        <v>按计划跟踪</v>
      </c>
      <c r="K522" s="8"/>
      <c r="L522" t="s">
        <v>68</v>
      </c>
    </row>
    <row r="523" spans="1:12">
      <c r="A523" s="71"/>
      <c r="B523" s="6" t="str">
        <f>项目总控台账!A30</f>
        <v>T027</v>
      </c>
      <c r="C523" s="6" t="str">
        <f>IF(AND(项目总控台账!E30&lt;&gt;"",项目总控台账!E30&lt;&gt;"/"),项目总控台账!E30,IF(AND(项目总控台账!D30&lt;&gt;"",项目总控台账!D30&lt;&gt;"/"),项目总控台账!D30,项目总控台账!C30))</f>
        <v>修改卸船作业委托信息</v>
      </c>
      <c r="D523" s="6" t="str">
        <f>项目总控台账!F30</f>
        <v>第二批次</v>
      </c>
      <c r="E523" s="6" t="str">
        <f>项目总控台账!G30</f>
        <v>进行中</v>
      </c>
      <c r="F523" s="17">
        <f>项目总控台账!Z30</f>
        <v>46342</v>
      </c>
      <c r="G523" s="17">
        <f>项目总控台账!AA30</f>
        <v>46353</v>
      </c>
      <c r="H523" s="70">
        <v>2</v>
      </c>
      <c r="I523" s="6" t="str">
        <f>IF(H523="","待估算",IF(E523="已完成","已结束",IF(AND(ISNUMBER(F523),ISNUMBER(G523),F523&lt;=项目驾驶舱!$B$3,G523&gt;=项目驾驶舱!$B$3),"进行中","计划中")))</f>
        <v>计划中</v>
      </c>
      <c r="J523" s="6" t="str">
        <f>IF(I523="待估算",IF(OR(F523="/",G523="/",F523="",G523=""),"补充计划日期","补充投入工时"),IF(AND(G523&lt;项目驾驶舱!$B$3,E523&lt;&gt;"已完成"),"确认延期和后续安排","按计划跟踪"))</f>
        <v>按计划跟踪</v>
      </c>
      <c r="K523" s="8"/>
      <c r="L523" t="s">
        <v>68</v>
      </c>
    </row>
    <row r="524" spans="1:12">
      <c r="A524" s="72" t="s">
        <v>68</v>
      </c>
      <c r="B524" s="6" t="str">
        <f>项目总控台账!A31</f>
        <v>T028</v>
      </c>
      <c r="C524" s="6" t="str">
        <f>IF(AND(项目总控台账!E31&lt;&gt;"",项目总控台账!E31&lt;&gt;"/"),项目总控台账!E31,IF(AND(项目总控台账!D31&lt;&gt;"",项目总控台账!D31&lt;&gt;"/"),项目总控台账!D31,项目总控台账!C31))</f>
        <v>作废卸船作业委托信息</v>
      </c>
      <c r="D524" s="6" t="str">
        <f>项目总控台账!F31</f>
        <v>第二批次</v>
      </c>
      <c r="E524" s="6" t="str">
        <f>项目总控台账!G31</f>
        <v>进行中</v>
      </c>
      <c r="F524" s="17">
        <f>项目总控台账!Z31</f>
        <v>46342</v>
      </c>
      <c r="G524" s="17">
        <f>项目总控台账!AA31</f>
        <v>46353</v>
      </c>
      <c r="H524" s="70">
        <v>2</v>
      </c>
      <c r="I524" s="6" t="str">
        <f>IF(H524="","待估算",IF(E524="已完成","已结束",IF(AND(ISNUMBER(F524),ISNUMBER(G524),F524&lt;=项目驾驶舱!$B$3,G524&gt;=项目驾驶舱!$B$3),"进行中","计划中")))</f>
        <v>计划中</v>
      </c>
      <c r="J524" s="6" t="str">
        <f>IF(I524="待估算",IF(OR(F524="/",G524="/",F524="",G524=""),"补充计划日期","补充投入工时"),IF(AND(G524&lt;项目驾驶舱!$B$3,E524&lt;&gt;"已完成"),"确认延期和后续安排","按计划跟踪"))</f>
        <v>按计划跟踪</v>
      </c>
      <c r="K524" s="8"/>
      <c r="L524" t="s">
        <v>68</v>
      </c>
    </row>
    <row r="525" spans="1:12">
      <c r="B525" s="6" t="str">
        <f>项目总控台账!A32</f>
        <v>T029</v>
      </c>
      <c r="C525" s="6" t="str">
        <f>IF(AND(项目总控台账!E32&lt;&gt;"",项目总控台账!E32&lt;&gt;"/"),项目总控台账!E32,IF(AND(项目总控台账!D32&lt;&gt;"",项目总控台账!D32&lt;&gt;"/"),项目总控台账!D32,项目总控台账!C32))</f>
        <v>推送卸船作业委托信息</v>
      </c>
      <c r="D525" s="6" t="str">
        <f>项目总控台账!F32</f>
        <v>第二批次</v>
      </c>
      <c r="E525" s="6" t="str">
        <f>项目总控台账!G32</f>
        <v>进行中</v>
      </c>
      <c r="F525" s="17">
        <f>项目总控台账!Z32</f>
        <v>46342</v>
      </c>
      <c r="G525" s="17">
        <f>项目总控台账!AA32</f>
        <v>46353</v>
      </c>
      <c r="H525" s="70">
        <v>2</v>
      </c>
      <c r="I525" s="6" t="str">
        <f>IF(H525="","待估算",IF(E525="已完成","已结束",IF(AND(ISNUMBER(F525),ISNUMBER(G525),F525&lt;=项目驾驶舱!$B$3,G525&gt;=项目驾驶舱!$B$3),"进行中","计划中")))</f>
        <v>计划中</v>
      </c>
      <c r="J525" s="6" t="str">
        <f>IF(I525="待估算",IF(OR(F525="/",G525="/",F525="",G525=""),"补充计划日期","补充投入工时"),IF(AND(G525&lt;项目驾驶舱!$B$3,E525&lt;&gt;"已完成"),"确认延期和后续安排","按计划跟踪"))</f>
        <v>按计划跟踪</v>
      </c>
      <c r="K525" s="8"/>
      <c r="L525" t="s">
        <v>68</v>
      </c>
    </row>
    <row r="526" spans="1:12">
      <c r="B526" s="6" t="str">
        <f>项目总控台账!A33</f>
        <v>T030</v>
      </c>
      <c r="C526" s="6" t="str">
        <f>IF(AND(项目总控台账!E33&lt;&gt;"",项目总控台账!E33&lt;&gt;"/"),项目总控台账!E33,IF(AND(项目总控台账!D33&lt;&gt;"",项目总控台账!D33&lt;&gt;"/"),项目总控台账!D33,项目总控台账!C33))</f>
        <v>查询卸船作业委托信息</v>
      </c>
      <c r="D526" s="6" t="str">
        <f>项目总控台账!F33</f>
        <v>第二批次</v>
      </c>
      <c r="E526" s="6" t="str">
        <f>项目总控台账!G33</f>
        <v>进行中</v>
      </c>
      <c r="F526" s="17">
        <f>项目总控台账!Z33</f>
        <v>46342</v>
      </c>
      <c r="G526" s="17">
        <f>项目总控台账!AA33</f>
        <v>46353</v>
      </c>
      <c r="H526" s="70">
        <v>2</v>
      </c>
      <c r="I526" s="6" t="str">
        <f>IF(H526="","待估算",IF(E526="已完成","已结束",IF(AND(ISNUMBER(F526),ISNUMBER(G526),F526&lt;=项目驾驶舱!$B$3,G526&gt;=项目驾驶舱!$B$3),"进行中","计划中")))</f>
        <v>计划中</v>
      </c>
      <c r="J526" s="6" t="str">
        <f>IF(I526="待估算",IF(OR(F526="/",G526="/",F526="",G526=""),"补充计划日期","补充投入工时"),IF(AND(G526&lt;项目驾驶舱!$B$3,E526&lt;&gt;"已完成"),"确认延期和后续安排","按计划跟踪"))</f>
        <v>按计划跟踪</v>
      </c>
      <c r="K526" s="8"/>
      <c r="L526" t="s">
        <v>68</v>
      </c>
    </row>
    <row r="527" spans="1:12">
      <c r="B527" s="6" t="str">
        <f>项目总控台账!A34</f>
        <v>T031</v>
      </c>
      <c r="C527" s="6" t="str">
        <f>IF(AND(项目总控台账!E34&lt;&gt;"",项目总控台账!E34&lt;&gt;"/"),项目总控台账!E34,IF(AND(项目总控台账!D34&lt;&gt;"",项目总控台账!D34&lt;&gt;"/"),项目总控台账!D34,项目总控台账!C34))</f>
        <v>创建外轮转内贸业务信息</v>
      </c>
      <c r="D527" s="6" t="str">
        <f>项目总控台账!F34</f>
        <v>第二批次</v>
      </c>
      <c r="E527" s="6" t="str">
        <f>项目总控台账!G34</f>
        <v>未开始</v>
      </c>
      <c r="F527" s="17">
        <f>项目总控台账!Z34</f>
        <v>46342</v>
      </c>
      <c r="G527" s="17">
        <f>项目总控台账!AA34</f>
        <v>46353</v>
      </c>
      <c r="H527" s="70">
        <v>2</v>
      </c>
      <c r="I527" s="6" t="str">
        <f>IF(H527="","待估算",IF(E527="已完成","已结束",IF(AND(ISNUMBER(F527),ISNUMBER(G527),F527&lt;=项目驾驶舱!$B$3,G527&gt;=项目驾驶舱!$B$3),"进行中","计划中")))</f>
        <v>计划中</v>
      </c>
      <c r="J527" s="6" t="str">
        <f>IF(I527="待估算",IF(OR(F527="/",G527="/",F527="",G527=""),"补充计划日期","补充投入工时"),IF(AND(G527&lt;项目驾驶舱!$B$3,E527&lt;&gt;"已完成"),"确认延期和后续安排","按计划跟踪"))</f>
        <v>按计划跟踪</v>
      </c>
      <c r="K527" s="8"/>
      <c r="L527" t="s">
        <v>68</v>
      </c>
    </row>
    <row r="528" spans="1:12">
      <c r="B528" s="6" t="str">
        <f>项目总控台账!A35</f>
        <v>T032</v>
      </c>
      <c r="C528" s="6" t="str">
        <f>IF(AND(项目总控台账!E35&lt;&gt;"",项目总控台账!E35&lt;&gt;"/"),项目总控台账!E35,IF(AND(项目总控台账!D35&lt;&gt;"",项目总控台账!D35&lt;&gt;"/"),项目总控台账!D35,项目总控台账!C35))</f>
        <v>作废外轮转内贸业务信息</v>
      </c>
      <c r="D528" s="6" t="str">
        <f>项目总控台账!F35</f>
        <v>第二批次</v>
      </c>
      <c r="E528" s="6" t="str">
        <f>项目总控台账!G35</f>
        <v>未开始</v>
      </c>
      <c r="F528" s="17">
        <f>项目总控台账!Z35</f>
        <v>46342</v>
      </c>
      <c r="G528" s="17">
        <f>项目总控台账!AA35</f>
        <v>46353</v>
      </c>
      <c r="H528" s="70">
        <v>2</v>
      </c>
      <c r="I528" s="6" t="str">
        <f>IF(H528="","待估算",IF(E528="已完成","已结束",IF(AND(ISNUMBER(F528),ISNUMBER(G528),F528&lt;=项目驾驶舱!$B$3,G528&gt;=项目驾驶舱!$B$3),"进行中","计划中")))</f>
        <v>计划中</v>
      </c>
      <c r="J528" s="6" t="str">
        <f>IF(I528="待估算",IF(OR(F528="/",G528="/",F528="",G528=""),"补充计划日期","补充投入工时"),IF(AND(G528&lt;项目驾驶舱!$B$3,E528&lt;&gt;"已完成"),"确认延期和后续安排","按计划跟踪"))</f>
        <v>按计划跟踪</v>
      </c>
      <c r="K528" s="8"/>
      <c r="L528" t="s">
        <v>68</v>
      </c>
    </row>
    <row r="529" spans="1:12">
      <c r="B529" s="6" t="str">
        <f>项目总控台账!A36</f>
        <v>T033</v>
      </c>
      <c r="C529" s="6" t="str">
        <f>IF(AND(项目总控台账!E36&lt;&gt;"",项目总控台账!E36&lt;&gt;"/"),项目总控台账!E36,IF(AND(项目总控台账!D36&lt;&gt;"",项目总控台账!D36&lt;&gt;"/"),项目总控台账!D36,项目总控台账!C36))</f>
        <v>查询外轮转内贸业务信息</v>
      </c>
      <c r="D529" s="6" t="str">
        <f>项目总控台账!F36</f>
        <v>第二批次</v>
      </c>
      <c r="E529" s="6" t="str">
        <f>项目总控台账!G36</f>
        <v>未开始</v>
      </c>
      <c r="F529" s="17">
        <f>项目总控台账!Z36</f>
        <v>46342</v>
      </c>
      <c r="G529" s="17">
        <f>项目总控台账!AA36</f>
        <v>46353</v>
      </c>
      <c r="H529" s="70">
        <v>2</v>
      </c>
      <c r="I529" s="6" t="str">
        <f>IF(H529="","待估算",IF(E529="已完成","已结束",IF(AND(ISNUMBER(F529),ISNUMBER(G529),F529&lt;=项目驾驶舱!$B$3,G529&gt;=项目驾驶舱!$B$3),"进行中","计划中")))</f>
        <v>计划中</v>
      </c>
      <c r="J529" s="6" t="str">
        <f>IF(I529="待估算",IF(OR(F529="/",G529="/",F529="",G529=""),"补充计划日期","补充投入工时"),IF(AND(G529&lt;项目驾驶舱!$B$3,E529&lt;&gt;"已完成"),"确认延期和后续安排","按计划跟踪"))</f>
        <v>按计划跟踪</v>
      </c>
      <c r="K529" s="8"/>
      <c r="L529" t="s">
        <v>68</v>
      </c>
    </row>
    <row r="530" spans="1:12">
      <c r="B530" s="6" t="str">
        <f>项目总控台账!A37</f>
        <v>T034</v>
      </c>
      <c r="C530" s="6" t="str">
        <f>IF(AND(项目总控台账!E37&lt;&gt;"",项目总控台账!E37&lt;&gt;"/"),项目总控台账!E37,IF(AND(项目总控台账!D37&lt;&gt;"",项目总控台账!D37&lt;&gt;"/"),项目总控台账!D37,项目总控台账!C37))</f>
        <v>新增船舶靠泊通知单</v>
      </c>
      <c r="D530" s="6" t="str">
        <f>项目总控台账!F37</f>
        <v>第二批次</v>
      </c>
      <c r="E530" s="6" t="str">
        <f>项目总控台账!G37</f>
        <v>进行中</v>
      </c>
      <c r="F530" s="17">
        <f>项目总控台账!Z37</f>
        <v>46342</v>
      </c>
      <c r="G530" s="17">
        <f>项目总控台账!AA37</f>
        <v>46353</v>
      </c>
      <c r="H530" s="70">
        <v>2</v>
      </c>
      <c r="I530" s="6" t="str">
        <f>IF(H530="","待估算",IF(E530="已完成","已结束",IF(AND(ISNUMBER(F530),ISNUMBER(G530),F530&lt;=项目驾驶舱!$B$3,G530&gt;=项目驾驶舱!$B$3),"进行中","计划中")))</f>
        <v>计划中</v>
      </c>
      <c r="J530" s="6" t="str">
        <f>IF(I530="待估算",IF(OR(F530="/",G530="/",F530="",G530=""),"补充计划日期","补充投入工时"),IF(AND(G530&lt;项目驾驶舱!$B$3,E530&lt;&gt;"已完成"),"确认延期和后续安排","按计划跟踪"))</f>
        <v>按计划跟踪</v>
      </c>
      <c r="K530" s="8"/>
      <c r="L530" t="s">
        <v>68</v>
      </c>
    </row>
    <row r="531" spans="1:12">
      <c r="B531" s="6" t="str">
        <f>项目总控台账!A38</f>
        <v>T035</v>
      </c>
      <c r="C531" s="6" t="str">
        <f>IF(AND(项目总控台账!E38&lt;&gt;"",项目总控台账!E38&lt;&gt;"/"),项目总控台账!E38,IF(AND(项目总控台账!D38&lt;&gt;"",项目总控台账!D38&lt;&gt;"/"),项目总控台账!D38,项目总控台账!C38))</f>
        <v>审批船舶靠泊通知单</v>
      </c>
      <c r="D531" s="6" t="str">
        <f>项目总控台账!F38</f>
        <v>第二批次</v>
      </c>
      <c r="E531" s="6" t="str">
        <f>项目总控台账!G38</f>
        <v>进行中</v>
      </c>
      <c r="F531" s="17">
        <f>项目总控台账!Z38</f>
        <v>46342</v>
      </c>
      <c r="G531" s="17">
        <f>项目总控台账!AA38</f>
        <v>46353</v>
      </c>
      <c r="H531" s="70">
        <v>2</v>
      </c>
      <c r="I531" s="6" t="str">
        <f>IF(H531="","待估算",IF(E531="已完成","已结束",IF(AND(ISNUMBER(F531),ISNUMBER(G531),F531&lt;=项目驾驶舱!$B$3,G531&gt;=项目驾驶舱!$B$3),"进行中","计划中")))</f>
        <v>计划中</v>
      </c>
      <c r="J531" s="6" t="str">
        <f>IF(I531="待估算",IF(OR(F531="/",G531="/",F531="",G531=""),"补充计划日期","补充投入工时"),IF(AND(G531&lt;项目驾驶舱!$B$3,E531&lt;&gt;"已完成"),"确认延期和后续安排","按计划跟踪"))</f>
        <v>按计划跟踪</v>
      </c>
      <c r="K531" s="8"/>
      <c r="L531" t="s">
        <v>68</v>
      </c>
    </row>
    <row r="532" spans="1:12">
      <c r="B532" s="6" t="str">
        <f>项目总控台账!A39</f>
        <v>T036</v>
      </c>
      <c r="C532" s="6" t="str">
        <f>IF(AND(项目总控台账!E39&lt;&gt;"",项目总控台账!E39&lt;&gt;"/"),项目总控台账!E39,IF(AND(项目总控台账!D39&lt;&gt;"",项目总控台账!D39&lt;&gt;"/"),项目总控台账!D39,项目总控台账!C39))</f>
        <v>查询船舶靠泊通知单</v>
      </c>
      <c r="D532" s="6" t="str">
        <f>项目总控台账!F39</f>
        <v>第二批次</v>
      </c>
      <c r="E532" s="6" t="str">
        <f>项目总控台账!G39</f>
        <v>进行中</v>
      </c>
      <c r="F532" s="17">
        <f>项目总控台账!Z39</f>
        <v>46342</v>
      </c>
      <c r="G532" s="17">
        <f>项目总控台账!AA39</f>
        <v>46353</v>
      </c>
      <c r="H532" s="70">
        <v>2</v>
      </c>
      <c r="I532" s="6" t="str">
        <f>IF(H532="","待估算",IF(E532="已完成","已结束",IF(AND(ISNUMBER(F532),ISNUMBER(G532),F532&lt;=项目驾驶舱!$B$3,G532&gt;=项目驾驶舱!$B$3),"进行中","计划中")))</f>
        <v>计划中</v>
      </c>
      <c r="J532" s="6" t="str">
        <f>IF(I532="待估算",IF(OR(F532="/",G532="/",F532="",G532=""),"补充计划日期","补充投入工时"),IF(AND(G532&lt;项目驾驶舱!$B$3,E532&lt;&gt;"已完成"),"确认延期和后续安排","按计划跟踪"))</f>
        <v>按计划跟踪</v>
      </c>
      <c r="K532" s="8"/>
      <c r="L532" t="s">
        <v>68</v>
      </c>
    </row>
    <row r="533" spans="1:12">
      <c r="B533" s="6" t="str">
        <f>项目总控台账!A49</f>
        <v>T046</v>
      </c>
      <c r="C533" s="6" t="str">
        <f>IF(AND(项目总控台账!E49&lt;&gt;"",项目总控台账!E49&lt;&gt;"/"),项目总控台账!E49,IF(AND(项目总控台账!D49&lt;&gt;"",项目总控台账!D49&lt;&gt;"/"),项目总控台账!D49,项目总控台账!C49))</f>
        <v>新增船舶预到（外贸）</v>
      </c>
      <c r="D533" s="6" t="str">
        <f>项目总控台账!F49</f>
        <v>第二批次</v>
      </c>
      <c r="E533" s="6" t="str">
        <f>项目总控台账!G49</f>
        <v>已完成</v>
      </c>
      <c r="F533" s="17">
        <f>项目总控台账!Z49</f>
        <v>46342</v>
      </c>
      <c r="G533" s="17">
        <f>项目总控台账!AA49</f>
        <v>46353</v>
      </c>
      <c r="H533" s="70">
        <v>2</v>
      </c>
      <c r="I533" s="6" t="str">
        <f>IF(H533="","待估算",IF(E533="已完成","已结束",IF(AND(ISNUMBER(F533),ISNUMBER(G533),F533&lt;=项目驾驶舱!$B$3,G533&gt;=项目驾驶舱!$B$3),"进行中","计划中")))</f>
        <v>已结束</v>
      </c>
      <c r="J533" s="6" t="str">
        <f>IF(I533="待估算",IF(OR(F533="/",G533="/",F533="",G533=""),"补充计划日期","补充投入工时"),IF(AND(G533&lt;项目驾驶舱!$B$3,E533&lt;&gt;"已完成"),"确认延期和后续安排","按计划跟踪"))</f>
        <v>按计划跟踪</v>
      </c>
      <c r="K533" s="8"/>
      <c r="L533" t="s">
        <v>68</v>
      </c>
    </row>
    <row r="534" spans="1:12">
      <c r="B534" s="6" t="str">
        <f>项目总控台账!A50</f>
        <v>T047</v>
      </c>
      <c r="C534" s="6" t="str">
        <f>IF(AND(项目总控台账!E50&lt;&gt;"",项目总控台账!E50&lt;&gt;"/"),项目总控台账!E50,IF(AND(项目总控台账!D50&lt;&gt;"",项目总控台账!D50&lt;&gt;"/"),项目总控台账!D50,项目总控台账!C50))</f>
        <v>退回船舶预到（外贸）</v>
      </c>
      <c r="D534" s="6" t="str">
        <f>项目总控台账!F50</f>
        <v>第二批次</v>
      </c>
      <c r="E534" s="6" t="str">
        <f>项目总控台账!G50</f>
        <v>未开始</v>
      </c>
      <c r="F534" s="17">
        <f>项目总控台账!Z50</f>
        <v>46342</v>
      </c>
      <c r="G534" s="17">
        <f>项目总控台账!AA50</f>
        <v>46353</v>
      </c>
      <c r="H534" s="70">
        <v>2</v>
      </c>
      <c r="I534" s="6" t="str">
        <f>IF(H534="","待估算",IF(E534="已完成","已结束",IF(AND(ISNUMBER(F534),ISNUMBER(G534),F534&lt;=项目驾驶舱!$B$3,G534&gt;=项目驾驶舱!$B$3),"进行中","计划中")))</f>
        <v>计划中</v>
      </c>
      <c r="J534" s="6" t="str">
        <f>IF(I534="待估算",IF(OR(F534="/",G534="/",F534="",G534=""),"补充计划日期","补充投入工时"),IF(AND(G534&lt;项目驾驶舱!$B$3,E534&lt;&gt;"已完成"),"确认延期和后续安排","按计划跟踪"))</f>
        <v>按计划跟踪</v>
      </c>
      <c r="K534" s="8"/>
      <c r="L534" t="s">
        <v>68</v>
      </c>
    </row>
    <row r="535" spans="1:12">
      <c r="A535" s="71"/>
      <c r="B535" s="6" t="str">
        <f>项目总控台账!A51</f>
        <v>T048</v>
      </c>
      <c r="C535" s="6" t="str">
        <f>IF(AND(项目总控台账!E51&lt;&gt;"",项目总控台账!E51&lt;&gt;"/"),项目总控台账!E51,IF(AND(项目总控台账!D51&lt;&gt;"",项目总控台账!D51&lt;&gt;"/"),项目总控台账!D51,项目总控台账!C51))</f>
        <v>退回船舶预到（外贸）</v>
      </c>
      <c r="D535" s="6" t="str">
        <f>项目总控台账!F51</f>
        <v>第二批次</v>
      </c>
      <c r="E535" s="6" t="str">
        <f>项目总控台账!G51</f>
        <v>未开始</v>
      </c>
      <c r="F535" s="17">
        <f>项目总控台账!Z51</f>
        <v>46342</v>
      </c>
      <c r="G535" s="17">
        <f>项目总控台账!AA51</f>
        <v>46353</v>
      </c>
      <c r="H535" s="70">
        <v>2</v>
      </c>
      <c r="I535" s="6" t="str">
        <f>IF(H535="","待估算",IF(E535="已完成","已结束",IF(AND(ISNUMBER(F535),ISNUMBER(G535),F535&lt;=项目驾驶舱!$B$3,G535&gt;=项目驾驶舱!$B$3),"进行中","计划中")))</f>
        <v>计划中</v>
      </c>
      <c r="J535" s="6" t="str">
        <f>IF(I535="待估算",IF(OR(F535="/",G535="/",F535="",G535=""),"补充计划日期","补充投入工时"),IF(AND(G535&lt;项目驾驶舱!$B$3,E535&lt;&gt;"已完成"),"确认延期和后续安排","按计划跟踪"))</f>
        <v>按计划跟踪</v>
      </c>
      <c r="K535" s="8"/>
      <c r="L535" t="s">
        <v>68</v>
      </c>
    </row>
    <row r="536" spans="1:12">
      <c r="A536" s="72" t="s">
        <v>68</v>
      </c>
      <c r="B536" s="6" t="str">
        <f>项目总控台账!A52</f>
        <v>T049</v>
      </c>
      <c r="C536" s="6" t="str">
        <f>IF(AND(项目总控台账!E52&lt;&gt;"",项目总控台账!E52&lt;&gt;"/"),项目总控台账!E52,IF(AND(项目总控台账!D52&lt;&gt;"",项目总控台账!D52&lt;&gt;"/"),项目总控台账!D52,项目总控台账!C52))</f>
        <v>申请采样申请（外贸）</v>
      </c>
      <c r="D536" s="6" t="str">
        <f>项目总控台账!F52</f>
        <v>第二批次</v>
      </c>
      <c r="E536" s="6" t="str">
        <f>项目总控台账!G52</f>
        <v>已完成</v>
      </c>
      <c r="F536" s="17">
        <f>项目总控台账!Z52</f>
        <v>46342</v>
      </c>
      <c r="G536" s="17">
        <f>项目总控台账!AA52</f>
        <v>46353</v>
      </c>
      <c r="H536" s="70">
        <v>2</v>
      </c>
      <c r="I536" s="6" t="str">
        <f>IF(H536="","待估算",IF(E536="已完成","已结束",IF(AND(ISNUMBER(F536),ISNUMBER(G536),F536&lt;=项目驾驶舱!$B$3,G536&gt;=项目驾驶舱!$B$3),"进行中","计划中")))</f>
        <v>已结束</v>
      </c>
      <c r="J536" s="6" t="str">
        <f>IF(I536="待估算",IF(OR(F536="/",G536="/",F536="",G536=""),"补充计划日期","补充投入工时"),IF(AND(G536&lt;项目驾驶舱!$B$3,E536&lt;&gt;"已完成"),"确认延期和后续安排","按计划跟踪"))</f>
        <v>按计划跟踪</v>
      </c>
      <c r="K536" s="8"/>
      <c r="L536" t="s">
        <v>68</v>
      </c>
    </row>
    <row r="537" spans="1:12">
      <c r="B537" s="6" t="str">
        <f>项目总控台账!A84</f>
        <v>T081</v>
      </c>
      <c r="C537" s="6" t="str">
        <f>IF(AND(项目总控台账!E84&lt;&gt;"",项目总控台账!E84&lt;&gt;"/"),项目总控台账!E84,IF(AND(项目总控台账!D84&lt;&gt;"",项目总控台账!D84&lt;&gt;"/"),项目总控台账!D84,项目总控台账!C84))</f>
        <v>数据对接</v>
      </c>
      <c r="D537" s="6" t="str">
        <f>项目总控台账!F84</f>
        <v>第二批次</v>
      </c>
      <c r="E537" s="6" t="str">
        <f>项目总控台账!G84</f>
        <v>未开始</v>
      </c>
      <c r="F537" s="17">
        <f>项目总控台账!Z84</f>
        <v>46342</v>
      </c>
      <c r="G537" s="17">
        <f>项目总控台账!AA84</f>
        <v>46353</v>
      </c>
      <c r="H537" s="70">
        <v>2</v>
      </c>
      <c r="I537" s="6" t="str">
        <f>IF(H537="","待估算",IF(E537="已完成","已结束",IF(AND(ISNUMBER(F537),ISNUMBER(G537),F537&lt;=项目驾驶舱!$B$3,G537&gt;=项目驾驶舱!$B$3),"进行中","计划中")))</f>
        <v>计划中</v>
      </c>
      <c r="J537" s="6" t="str">
        <f>IF(I537="待估算",IF(OR(F537="/",G537="/",F537="",G537=""),"补充计划日期","补充投入工时"),IF(AND(G537&lt;项目驾驶舱!$B$3,E537&lt;&gt;"已完成"),"确认延期和后续安排","按计划跟踪"))</f>
        <v>按计划跟踪</v>
      </c>
      <c r="K537" s="8"/>
      <c r="L537" t="s">
        <v>68</v>
      </c>
    </row>
    <row r="538" spans="1:12">
      <c r="B538" s="6" t="str">
        <f>项目总控台账!A85</f>
        <v>T082</v>
      </c>
      <c r="C538" s="6" t="str">
        <f>IF(AND(项目总控台账!E85&lt;&gt;"",项目总控台账!E85&lt;&gt;"/"),项目总控台账!E85,IF(AND(项目总控台账!D85&lt;&gt;"",项目总控台账!D85&lt;&gt;"/"),项目总控台账!D85,项目总控台账!C85))</f>
        <v>数据展示</v>
      </c>
      <c r="D538" s="6" t="str">
        <f>项目总控台账!F85</f>
        <v>第二批次</v>
      </c>
      <c r="E538" s="6" t="str">
        <f>项目总控台账!G85</f>
        <v>未开始</v>
      </c>
      <c r="F538" s="17">
        <f>项目总控台账!Z85</f>
        <v>46342</v>
      </c>
      <c r="G538" s="17">
        <f>项目总控台账!AA85</f>
        <v>46353</v>
      </c>
      <c r="H538" s="70">
        <v>2</v>
      </c>
      <c r="I538" s="6" t="str">
        <f>IF(H538="","待估算",IF(E538="已完成","已结束",IF(AND(ISNUMBER(F538),ISNUMBER(G538),F538&lt;=项目驾驶舱!$B$3,G538&gt;=项目驾驶舱!$B$3),"进行中","计划中")))</f>
        <v>计划中</v>
      </c>
      <c r="J538" s="6" t="str">
        <f>IF(I538="待估算",IF(OR(F538="/",G538="/",F538="",G538=""),"补充计划日期","补充投入工时"),IF(AND(G538&lt;项目驾驶舱!$B$3,E538&lt;&gt;"已完成"),"确认延期和后续安排","按计划跟踪"))</f>
        <v>按计划跟踪</v>
      </c>
      <c r="K538" s="8"/>
      <c r="L538" t="s">
        <v>68</v>
      </c>
    </row>
    <row r="539" spans="1:12">
      <c r="B539" s="6" t="str">
        <f>项目总控台账!A86</f>
        <v>T083</v>
      </c>
      <c r="C539" s="6" t="str">
        <f>IF(AND(项目总控台账!E86&lt;&gt;"",项目总控台账!E86&lt;&gt;"/"),项目总控台账!E86,IF(AND(项目总控台账!D86&lt;&gt;"",项目总控台账!D86&lt;&gt;"/"),项目总控台账!D86,项目总控台账!C86))</f>
        <v>数据对接</v>
      </c>
      <c r="D539" s="6" t="str">
        <f>项目总控台账!F86</f>
        <v>第二批次</v>
      </c>
      <c r="E539" s="6" t="str">
        <f>项目总控台账!G86</f>
        <v>未开始</v>
      </c>
      <c r="F539" s="17">
        <f>项目总控台账!Z86</f>
        <v>46342</v>
      </c>
      <c r="G539" s="17">
        <f>项目总控台账!AA86</f>
        <v>46353</v>
      </c>
      <c r="H539" s="70">
        <v>2</v>
      </c>
      <c r="I539" s="6" t="str">
        <f>IF(H539="","待估算",IF(E539="已完成","已结束",IF(AND(ISNUMBER(F539),ISNUMBER(G539),F539&lt;=项目驾驶舱!$B$3,G539&gt;=项目驾驶舱!$B$3),"进行中","计划中")))</f>
        <v>计划中</v>
      </c>
      <c r="J539" s="6" t="str">
        <f>IF(I539="待估算",IF(OR(F539="/",G539="/",F539="",G539=""),"补充计划日期","补充投入工时"),IF(AND(G539&lt;项目驾驶舱!$B$3,E539&lt;&gt;"已完成"),"确认延期和后续安排","按计划跟踪"))</f>
        <v>按计划跟踪</v>
      </c>
      <c r="K539" s="8"/>
      <c r="L539" t="s">
        <v>68</v>
      </c>
    </row>
    <row r="540" spans="1:12">
      <c r="B540" s="6" t="str">
        <f>项目总控台账!A87</f>
        <v>T084</v>
      </c>
      <c r="C540" s="6" t="str">
        <f>IF(AND(项目总控台账!E87&lt;&gt;"",项目总控台账!E87&lt;&gt;"/"),项目总控台账!E87,IF(AND(项目总控台账!D87&lt;&gt;"",项目总控台账!D87&lt;&gt;"/"),项目总控台账!D87,项目总控台账!C87))</f>
        <v>数据产生</v>
      </c>
      <c r="D540" s="6" t="str">
        <f>项目总控台账!F87</f>
        <v>第二批次</v>
      </c>
      <c r="E540" s="6" t="str">
        <f>项目总控台账!G87</f>
        <v>未开始</v>
      </c>
      <c r="F540" s="17">
        <f>项目总控台账!Z87</f>
        <v>46342</v>
      </c>
      <c r="G540" s="17">
        <f>项目总控台账!AA87</f>
        <v>46353</v>
      </c>
      <c r="H540" s="70">
        <v>2</v>
      </c>
      <c r="I540" s="6" t="str">
        <f>IF(H540="","待估算",IF(E540="已完成","已结束",IF(AND(ISNUMBER(F540),ISNUMBER(G540),F540&lt;=项目驾驶舱!$B$3,G540&gt;=项目驾驶舱!$B$3),"进行中","计划中")))</f>
        <v>计划中</v>
      </c>
      <c r="J540" s="6" t="str">
        <f>IF(I540="待估算",IF(OR(F540="/",G540="/",F540="",G540=""),"补充计划日期","补充投入工时"),IF(AND(G540&lt;项目驾驶舱!$B$3,E540&lt;&gt;"已完成"),"确认延期和后续安排","按计划跟踪"))</f>
        <v>按计划跟踪</v>
      </c>
      <c r="K540" s="8"/>
      <c r="L540" t="s">
        <v>68</v>
      </c>
    </row>
    <row r="541" spans="1:12">
      <c r="B541" s="6" t="str">
        <f>项目总控台账!A88</f>
        <v>T085</v>
      </c>
      <c r="C541" s="6" t="str">
        <f>IF(AND(项目总控台账!E88&lt;&gt;"",项目总控台账!E88&lt;&gt;"/"),项目总控台账!E88,IF(AND(项目总控台账!D88&lt;&gt;"",项目总控台账!D88&lt;&gt;"/"),项目总控台账!D88,项目总控台账!C88))</f>
        <v>数据对接</v>
      </c>
      <c r="D541" s="6" t="str">
        <f>项目总控台账!F88</f>
        <v>第二批次</v>
      </c>
      <c r="E541" s="6" t="str">
        <f>项目总控台账!G88</f>
        <v>未开始</v>
      </c>
      <c r="F541" s="17">
        <f>项目总控台账!Z88</f>
        <v>46342</v>
      </c>
      <c r="G541" s="17">
        <f>项目总控台账!AA88</f>
        <v>46353</v>
      </c>
      <c r="H541" s="70">
        <v>1</v>
      </c>
      <c r="I541" s="6" t="str">
        <f>IF(H541="","待估算",IF(E541="已完成","已结束",IF(AND(ISNUMBER(F541),ISNUMBER(G541),F541&lt;=项目驾驶舱!$B$3,G541&gt;=项目驾驶舱!$B$3),"进行中","计划中")))</f>
        <v>计划中</v>
      </c>
      <c r="J541" s="6" t="str">
        <f>IF(I541="待估算",IF(OR(F541="/",G541="/",F541="",G541=""),"补充计划日期","补充投入工时"),IF(AND(G541&lt;项目驾驶舱!$B$3,E541&lt;&gt;"已完成"),"确认延期和后续安排","按计划跟踪"))</f>
        <v>按计划跟踪</v>
      </c>
      <c r="K541" s="8"/>
      <c r="L541" t="s">
        <v>68</v>
      </c>
    </row>
    <row r="542" spans="1:12">
      <c r="B542" s="6" t="str">
        <f>项目总控台账!A89</f>
        <v>T086</v>
      </c>
      <c r="C542" s="6" t="str">
        <f>IF(AND(项目总控台账!E89&lt;&gt;"",项目总控台账!E89&lt;&gt;"/"),项目总控台账!E89,IF(AND(项目总控台账!D89&lt;&gt;"",项目总控台账!D89&lt;&gt;"/"),项目总控台账!D89,项目总控台账!C89))</f>
        <v>数据展示</v>
      </c>
      <c r="D542" s="6" t="str">
        <f>项目总控台账!F89</f>
        <v>第二批次</v>
      </c>
      <c r="E542" s="6" t="str">
        <f>项目总控台账!G89</f>
        <v>未开始</v>
      </c>
      <c r="F542" s="17">
        <f>项目总控台账!Z89</f>
        <v>46342</v>
      </c>
      <c r="G542" s="17">
        <f>项目总控台账!AA89</f>
        <v>46353</v>
      </c>
      <c r="H542" s="70">
        <v>1</v>
      </c>
      <c r="I542" s="6" t="str">
        <f>IF(H542="","待估算",IF(E542="已完成","已结束",IF(AND(ISNUMBER(F542),ISNUMBER(G542),F542&lt;=项目驾驶舱!$B$3,G542&gt;=项目驾驶舱!$B$3),"进行中","计划中")))</f>
        <v>计划中</v>
      </c>
      <c r="J542" s="6" t="str">
        <f>IF(I542="待估算",IF(OR(F542="/",G542="/",F542="",G542=""),"补充计划日期","补充投入工时"),IF(AND(G542&lt;项目驾驶舱!$B$3,E542&lt;&gt;"已完成"),"确认延期和后续安排","按计划跟踪"))</f>
        <v>按计划跟踪</v>
      </c>
      <c r="K542" s="8"/>
      <c r="L542" t="s">
        <v>68</v>
      </c>
    </row>
    <row r="543" spans="1:12">
      <c r="B543" s="6" t="str">
        <f>项目总控台账!A90</f>
        <v>T087</v>
      </c>
      <c r="C543" s="6" t="str">
        <f>IF(AND(项目总控台账!E90&lt;&gt;"",项目总控台账!E90&lt;&gt;"/"),项目总控台账!E90,IF(AND(项目总控台账!D90&lt;&gt;"",项目总控台账!D90&lt;&gt;"/"),项目总控台账!D90,项目总控台账!C90))</f>
        <v>数据对接</v>
      </c>
      <c r="D543" s="6" t="str">
        <f>项目总控台账!F90</f>
        <v>第二批次</v>
      </c>
      <c r="E543" s="6" t="str">
        <f>项目总控台账!G90</f>
        <v>未开始</v>
      </c>
      <c r="F543" s="17">
        <f>项目总控台账!Z90</f>
        <v>46342</v>
      </c>
      <c r="G543" s="17">
        <f>项目总控台账!AA90</f>
        <v>46353</v>
      </c>
      <c r="H543" s="70">
        <v>1</v>
      </c>
      <c r="I543" s="6" t="str">
        <f>IF(H543="","待估算",IF(E543="已完成","已结束",IF(AND(ISNUMBER(F543),ISNUMBER(G543),F543&lt;=项目驾驶舱!$B$3,G543&gt;=项目驾驶舱!$B$3),"进行中","计划中")))</f>
        <v>计划中</v>
      </c>
      <c r="J543" s="6" t="str">
        <f>IF(I543="待估算",IF(OR(F543="/",G543="/",F543="",G543=""),"补充计划日期","补充投入工时"),IF(AND(G543&lt;项目驾驶舱!$B$3,E543&lt;&gt;"已完成"),"确认延期和后续安排","按计划跟踪"))</f>
        <v>按计划跟踪</v>
      </c>
      <c r="K543" s="8"/>
      <c r="L543" t="s">
        <v>68</v>
      </c>
    </row>
    <row r="544" spans="1:12">
      <c r="B544" s="6" t="str">
        <f>项目总控台账!A91</f>
        <v>T088</v>
      </c>
      <c r="C544" s="6" t="str">
        <f>IF(AND(项目总控台账!E91&lt;&gt;"",项目总控台账!E91&lt;&gt;"/"),项目总控台账!E91,IF(AND(项目总控台账!D91&lt;&gt;"",项目总控台账!D91&lt;&gt;"/"),项目总控台账!D91,项目总控台账!C91))</f>
        <v>数据展示</v>
      </c>
      <c r="D544" s="6" t="str">
        <f>项目总控台账!F91</f>
        <v>第二批次</v>
      </c>
      <c r="E544" s="6" t="str">
        <f>项目总控台账!G91</f>
        <v>未开始</v>
      </c>
      <c r="F544" s="17">
        <f>项目总控台账!Z91</f>
        <v>46342</v>
      </c>
      <c r="G544" s="17">
        <f>项目总控台账!AA91</f>
        <v>46353</v>
      </c>
      <c r="H544" s="70">
        <v>1</v>
      </c>
      <c r="I544" s="6" t="str">
        <f>IF(H544="","待估算",IF(E544="已完成","已结束",IF(AND(ISNUMBER(F544),ISNUMBER(G544),F544&lt;=项目驾驶舱!$B$3,G544&gt;=项目驾驶舱!$B$3),"进行中","计划中")))</f>
        <v>计划中</v>
      </c>
      <c r="J544" s="6" t="str">
        <f>IF(I544="待估算",IF(OR(F544="/",G544="/",F544="",G544=""),"补充计划日期","补充投入工时"),IF(AND(G544&lt;项目驾驶舱!$B$3,E544&lt;&gt;"已完成"),"确认延期和后续安排","按计划跟踪"))</f>
        <v>按计划跟踪</v>
      </c>
      <c r="K544" s="8"/>
      <c r="L544" t="s">
        <v>68</v>
      </c>
    </row>
    <row r="545" spans="1:12">
      <c r="B545" s="6" t="str">
        <f>项目总控台账!A92</f>
        <v>T089</v>
      </c>
      <c r="C545" s="6" t="str">
        <f>IF(AND(项目总控台账!E92&lt;&gt;"",项目总控台账!E92&lt;&gt;"/"),项目总控台账!E92,IF(AND(项目总控台账!D92&lt;&gt;"",项目总控台账!D92&lt;&gt;"/"),项目总控台账!D92,项目总控台账!C92))</f>
        <v>新增采样服务费（外贸）</v>
      </c>
      <c r="D545" s="6" t="str">
        <f>项目总控台账!F92</f>
        <v>第二批次</v>
      </c>
      <c r="E545" s="6" t="str">
        <f>项目总控台账!G92</f>
        <v>未开始</v>
      </c>
      <c r="F545" s="17">
        <f>项目总控台账!Z92</f>
        <v>46342</v>
      </c>
      <c r="G545" s="17">
        <f>项目总控台账!AA92</f>
        <v>46353</v>
      </c>
      <c r="H545" s="70">
        <v>1</v>
      </c>
      <c r="I545" s="6" t="str">
        <f>IF(H545="","待估算",IF(E545="已完成","已结束",IF(AND(ISNUMBER(F545),ISNUMBER(G545),F545&lt;=项目驾驶舱!$B$3,G545&gt;=项目驾驶舱!$B$3),"进行中","计划中")))</f>
        <v>计划中</v>
      </c>
      <c r="J545" s="6" t="str">
        <f>IF(I545="待估算",IF(OR(F545="/",G545="/",F545="",G545=""),"补充计划日期","补充投入工时"),IF(AND(G545&lt;项目驾驶舱!$B$3,E545&lt;&gt;"已完成"),"确认延期和后续安排","按计划跟踪"))</f>
        <v>按计划跟踪</v>
      </c>
      <c r="K545" s="8"/>
      <c r="L545" t="s">
        <v>68</v>
      </c>
    </row>
    <row r="546" spans="1:12">
      <c r="B546" s="6" t="str">
        <f>项目总控台账!A93</f>
        <v>T090</v>
      </c>
      <c r="C546" s="6" t="str">
        <f>IF(AND(项目总控台账!E93&lt;&gt;"",项目总控台账!E93&lt;&gt;"/"),项目总控台账!E93,IF(AND(项目总控台账!D93&lt;&gt;"",项目总控台账!D93&lt;&gt;"/"),项目总控台账!D93,项目总控台账!C93))</f>
        <v>审批采样服务费（外贸）</v>
      </c>
      <c r="D546" s="6" t="str">
        <f>项目总控台账!F93</f>
        <v>第二批次</v>
      </c>
      <c r="E546" s="6" t="str">
        <f>项目总控台账!G93</f>
        <v>未开始</v>
      </c>
      <c r="F546" s="17">
        <f>项目总控台账!Z93</f>
        <v>46342</v>
      </c>
      <c r="G546" s="17">
        <f>项目总控台账!AA93</f>
        <v>46353</v>
      </c>
      <c r="H546" s="70">
        <v>1</v>
      </c>
      <c r="I546" s="6" t="str">
        <f>IF(H546="","待估算",IF(E546="已完成","已结束",IF(AND(ISNUMBER(F546),ISNUMBER(G546),F546&lt;=项目驾驶舱!$B$3,G546&gt;=项目驾驶舱!$B$3),"进行中","计划中")))</f>
        <v>计划中</v>
      </c>
      <c r="J546" s="6" t="str">
        <f>IF(I546="待估算",IF(OR(F546="/",G546="/",F546="",G546=""),"补充计划日期","补充投入工时"),IF(AND(G546&lt;项目驾驶舱!$B$3,E546&lt;&gt;"已完成"),"确认延期和后续安排","按计划跟踪"))</f>
        <v>按计划跟踪</v>
      </c>
      <c r="K546" s="8"/>
      <c r="L546" t="s">
        <v>68</v>
      </c>
    </row>
    <row r="547" spans="1:12">
      <c r="A547" s="71"/>
      <c r="B547" s="6" t="str">
        <f>项目总控台账!A94</f>
        <v>T091</v>
      </c>
      <c r="C547" s="6" t="str">
        <f>IF(AND(项目总控台账!E94&lt;&gt;"",项目总控台账!E94&lt;&gt;"/"),项目总控台账!E94,IF(AND(项目总控台账!D94&lt;&gt;"",项目总控台账!D94&lt;&gt;"/"),项目总控台账!D94,项目总控台账!C94))</f>
        <v>单据签章</v>
      </c>
      <c r="D547" s="6" t="str">
        <f>项目总控台账!F94</f>
        <v>第二批次</v>
      </c>
      <c r="E547" s="6" t="str">
        <f>项目总控台账!G94</f>
        <v>未开始</v>
      </c>
      <c r="F547" s="17">
        <f>项目总控台账!Z94</f>
        <v>46342</v>
      </c>
      <c r="G547" s="17">
        <f>项目总控台账!AA94</f>
        <v>46353</v>
      </c>
      <c r="H547" s="70">
        <v>1</v>
      </c>
      <c r="I547" s="6" t="str">
        <f>IF(H547="","待估算",IF(E547="已完成","已结束",IF(AND(ISNUMBER(F547),ISNUMBER(G547),F547&lt;=项目驾驶舱!$B$3,G547&gt;=项目驾驶舱!$B$3),"进行中","计划中")))</f>
        <v>计划中</v>
      </c>
      <c r="J547" s="6" t="str">
        <f>IF(I547="待估算",IF(OR(F547="/",G547="/",F547="",G547=""),"补充计划日期","补充投入工时"),IF(AND(G547&lt;项目驾驶舱!$B$3,E547&lt;&gt;"已完成"),"确认延期和后续安排","按计划跟踪"))</f>
        <v>按计划跟踪</v>
      </c>
      <c r="K547" s="8"/>
      <c r="L547" t="s">
        <v>68</v>
      </c>
    </row>
    <row r="548" spans="1:12">
      <c r="A548" s="72" t="s">
        <v>68</v>
      </c>
      <c r="B548" s="6" t="str">
        <f>项目总控台账!A95</f>
        <v>T092</v>
      </c>
      <c r="C548" s="6" t="str">
        <f>IF(AND(项目总控台账!E95&lt;&gt;"",项目总控台账!E95&lt;&gt;"/"),项目总控台账!E95,IF(AND(项目总控台账!D95&lt;&gt;"",项目总控台账!D95&lt;&gt;"/"),项目总控台账!D95,项目总控台账!C95))</f>
        <v>数据推送</v>
      </c>
      <c r="D548" s="6" t="str">
        <f>项目总控台账!F95</f>
        <v>第二批次</v>
      </c>
      <c r="E548" s="6" t="str">
        <f>项目总控台账!G95</f>
        <v>未开始</v>
      </c>
      <c r="F548" s="17">
        <f>项目总控台账!Z95</f>
        <v>46342</v>
      </c>
      <c r="G548" s="17">
        <f>项目总控台账!AA95</f>
        <v>46353</v>
      </c>
      <c r="H548" s="70">
        <v>1</v>
      </c>
      <c r="I548" s="6" t="str">
        <f>IF(H548="","待估算",IF(E548="已完成","已结束",IF(AND(ISNUMBER(F548),ISNUMBER(G548),F548&lt;=项目驾驶舱!$B$3,G548&gt;=项目驾驶舱!$B$3),"进行中","计划中")))</f>
        <v>计划中</v>
      </c>
      <c r="J548" s="6" t="str">
        <f>IF(I548="待估算",IF(OR(F548="/",G548="/",F548="",G548=""),"补充计划日期","补充投入工时"),IF(AND(G548&lt;项目驾驶舱!$B$3,E548&lt;&gt;"已完成"),"确认延期和后续安排","按计划跟踪"))</f>
        <v>按计划跟踪</v>
      </c>
      <c r="K548" s="8"/>
      <c r="L548" t="s">
        <v>68</v>
      </c>
    </row>
    <row r="549" spans="1:12">
      <c r="B549" s="6" t="str">
        <f>项目总控台账!A96</f>
        <v>T093</v>
      </c>
      <c r="C549" s="6" t="str">
        <f>IF(AND(项目总控台账!E96&lt;&gt;"",项目总控台账!E96&lt;&gt;"/"),项目总控台账!E96,IF(AND(项目总控台账!D96&lt;&gt;"",项目总控台账!D96&lt;&gt;"/"),项目总控台账!D96,项目总控台账!C96))</f>
        <v>数据对接</v>
      </c>
      <c r="D549" s="6" t="str">
        <f>项目总控台账!F96</f>
        <v>第二批次</v>
      </c>
      <c r="E549" s="6" t="str">
        <f>项目总控台账!G96</f>
        <v>未开始</v>
      </c>
      <c r="F549" s="17">
        <f>项目总控台账!Z96</f>
        <v>46342</v>
      </c>
      <c r="G549" s="17">
        <f>项目总控台账!AA96</f>
        <v>46353</v>
      </c>
      <c r="H549" s="70">
        <v>1</v>
      </c>
      <c r="I549" s="6" t="str">
        <f>IF(H549="","待估算",IF(E549="已完成","已结束",IF(AND(ISNUMBER(F549),ISNUMBER(G549),F549&lt;=项目驾驶舱!$B$3,G549&gt;=项目驾驶舱!$B$3),"进行中","计划中")))</f>
        <v>计划中</v>
      </c>
      <c r="J549" s="6" t="str">
        <f>IF(I549="待估算",IF(OR(F549="/",G549="/",F549="",G549=""),"补充计划日期","补充投入工时"),IF(AND(G549&lt;项目驾驶舱!$B$3,E549&lt;&gt;"已完成"),"确认延期和后续安排","按计划跟踪"))</f>
        <v>按计划跟踪</v>
      </c>
      <c r="K549" s="8"/>
      <c r="L549" t="s">
        <v>68</v>
      </c>
    </row>
    <row r="550" spans="1:12">
      <c r="B550" s="6" t="str">
        <f>项目总控台账!A97</f>
        <v>T094</v>
      </c>
      <c r="C550" s="6" t="str">
        <f>IF(AND(项目总控台账!E97&lt;&gt;"",项目总控台账!E97&lt;&gt;"/"),项目总控台账!E97,IF(AND(项目总控台账!D97&lt;&gt;"",项目总控台账!D97&lt;&gt;"/"),项目总控台账!D97,项目总控台账!C97))</f>
        <v>数据展示</v>
      </c>
      <c r="D550" s="6" t="str">
        <f>项目总控台账!F97</f>
        <v>第二批次</v>
      </c>
      <c r="E550" s="6" t="str">
        <f>项目总控台账!G97</f>
        <v>未开始</v>
      </c>
      <c r="F550" s="17">
        <f>项目总控台账!Z97</f>
        <v>46342</v>
      </c>
      <c r="G550" s="17">
        <f>项目总控台账!AA97</f>
        <v>46353</v>
      </c>
      <c r="H550" s="70">
        <v>1</v>
      </c>
      <c r="I550" s="6" t="str">
        <f>IF(H550="","待估算",IF(E550="已完成","已结束",IF(AND(ISNUMBER(F550),ISNUMBER(G550),F550&lt;=项目驾驶舱!$B$3,G550&gt;=项目驾驶舱!$B$3),"进行中","计划中")))</f>
        <v>计划中</v>
      </c>
      <c r="J550" s="6" t="str">
        <f>IF(I550="待估算",IF(OR(F550="/",G550="/",F550="",G550=""),"补充计划日期","补充投入工时"),IF(AND(G550&lt;项目驾驶舱!$B$3,E550&lt;&gt;"已完成"),"确认延期和后续安排","按计划跟踪"))</f>
        <v>按计划跟踪</v>
      </c>
      <c r="K550" s="8"/>
      <c r="L550" t="s">
        <v>68</v>
      </c>
    </row>
    <row r="551" spans="1:12">
      <c r="B551" s="6" t="str">
        <f>项目总控台账!A129</f>
        <v>T126</v>
      </c>
      <c r="C551" s="6" t="str">
        <f>IF(AND(项目总控台账!E129&lt;&gt;"",项目总控台账!E129&lt;&gt;"/"),项目总控台账!E129,IF(AND(项目总控台账!D129&lt;&gt;"",项目总控台账!D129&lt;&gt;"/"),项目总控台账!D129,项目总控台账!C129))</f>
        <v>停泊费（外贸）查询</v>
      </c>
      <c r="D551" s="6" t="str">
        <f>项目总控台账!F129</f>
        <v>第二批次</v>
      </c>
      <c r="E551" s="6" t="str">
        <f>项目总控台账!G129</f>
        <v>未开始</v>
      </c>
      <c r="F551" s="17">
        <f>项目总控台账!Z129</f>
        <v>46342</v>
      </c>
      <c r="G551" s="17">
        <f>项目总控台账!AA129</f>
        <v>46353</v>
      </c>
      <c r="H551" s="70">
        <v>1</v>
      </c>
      <c r="I551" s="6" t="str">
        <f>IF(H551="","待估算",IF(E551="已完成","已结束",IF(AND(ISNUMBER(F551),ISNUMBER(G551),F551&lt;=项目驾驶舱!$B$3,G551&gt;=项目驾驶舱!$B$3),"进行中","计划中")))</f>
        <v>计划中</v>
      </c>
      <c r="J551" s="6" t="str">
        <f>IF(I551="待估算",IF(OR(F551="/",G551="/",F551="",G551=""),"补充计划日期","补充投入工时"),IF(AND(G551&lt;项目驾驶舱!$B$3,E551&lt;&gt;"已完成"),"确认延期和后续安排","按计划跟踪"))</f>
        <v>按计划跟踪</v>
      </c>
      <c r="K551" s="8"/>
      <c r="L551" t="s">
        <v>68</v>
      </c>
    </row>
    <row r="552" spans="1:12">
      <c r="B552" s="6" t="str">
        <f>项目总控台账!A130</f>
        <v>T127</v>
      </c>
      <c r="C552" s="6" t="str">
        <f>IF(AND(项目总控台账!E130&lt;&gt;"",项目总控台账!E130&lt;&gt;"/"),项目总控台账!E130,IF(AND(项目总控台账!D130&lt;&gt;"",项目总控台账!D130&lt;&gt;"/"),项目总控台账!D130,项目总控台账!C130))</f>
        <v>锚泊费（外贸）查询</v>
      </c>
      <c r="D552" s="6" t="str">
        <f>项目总控台账!F130</f>
        <v>第二批次</v>
      </c>
      <c r="E552" s="6" t="str">
        <f>项目总控台账!G130</f>
        <v>未开始</v>
      </c>
      <c r="F552" s="17">
        <f>项目总控台账!Z130</f>
        <v>46342</v>
      </c>
      <c r="G552" s="17">
        <f>项目总控台账!AA130</f>
        <v>46353</v>
      </c>
      <c r="H552" s="70">
        <v>1</v>
      </c>
      <c r="I552" s="6" t="str">
        <f>IF(H552="","待估算",IF(E552="已完成","已结束",IF(AND(ISNUMBER(F552),ISNUMBER(G552),F552&lt;=项目驾驶舱!$B$3,G552&gt;=项目驾驶舱!$B$3),"进行中","计划中")))</f>
        <v>计划中</v>
      </c>
      <c r="J552" s="6" t="str">
        <f>IF(I552="待估算",IF(OR(F552="/",G552="/",F552="",G552=""),"补充计划日期","补充投入工时"),IF(AND(G552&lt;项目驾驶舱!$B$3,E552&lt;&gt;"已完成"),"确认延期和后续安排","按计划跟踪"))</f>
        <v>按计划跟踪</v>
      </c>
      <c r="K552" s="8"/>
      <c r="L552" t="s">
        <v>68</v>
      </c>
    </row>
    <row r="553" spans="1:12">
      <c r="B553" s="6" t="str">
        <f>项目总控台账!A131</f>
        <v>T128</v>
      </c>
      <c r="C553" s="6" t="str">
        <f>IF(AND(项目总控台账!E131&lt;&gt;"",项目总控台账!E131&lt;&gt;"/"),项目总控台账!E131,IF(AND(项目总控台账!D131&lt;&gt;"",项目总控台账!D131&lt;&gt;"/"),项目总控台账!D131,项目总控台账!C131))</f>
        <v>堆存费（外贸）查询</v>
      </c>
      <c r="D553" s="6" t="str">
        <f>项目总控台账!F131</f>
        <v>第二批次</v>
      </c>
      <c r="E553" s="6" t="str">
        <f>项目总控台账!G131</f>
        <v>未开始</v>
      </c>
      <c r="F553" s="17">
        <f>项目总控台账!Z131</f>
        <v>46342</v>
      </c>
      <c r="G553" s="17">
        <f>项目总控台账!AA131</f>
        <v>46353</v>
      </c>
      <c r="H553" s="70">
        <v>1</v>
      </c>
      <c r="I553" s="6" t="str">
        <f>IF(H553="","待估算",IF(E553="已完成","已结束",IF(AND(ISNUMBER(F553),ISNUMBER(G553),F553&lt;=项目驾驶舱!$B$3,G553&gt;=项目驾驶舱!$B$3),"进行中","计划中")))</f>
        <v>计划中</v>
      </c>
      <c r="J553" s="6" t="str">
        <f>IF(I553="待估算",IF(OR(F553="/",G553="/",F553="",G553=""),"补充计划日期","补充投入工时"),IF(AND(G553&lt;项目驾驶舱!$B$3,E553&lt;&gt;"已完成"),"确认延期和后续安排","按计划跟踪"))</f>
        <v>按计划跟踪</v>
      </c>
      <c r="K553" s="8"/>
      <c r="L553" t="s">
        <v>68</v>
      </c>
    </row>
    <row r="554" spans="1:12">
      <c r="B554" s="6" t="str">
        <f>项目总控台账!A132</f>
        <v>T129</v>
      </c>
      <c r="C554" s="6" t="str">
        <f>IF(AND(项目总控台账!E132&lt;&gt;"",项目总控台账!E132&lt;&gt;"/"),项目总控台账!E132,IF(AND(项目总控台账!D132&lt;&gt;"",项目总控台账!D132&lt;&gt;"/"),项目总控台账!D132,项目总控台账!C132))</f>
        <v>卸船费（外贸）查询</v>
      </c>
      <c r="D554" s="6" t="str">
        <f>项目总控台账!F132</f>
        <v>第二批次</v>
      </c>
      <c r="E554" s="6" t="str">
        <f>项目总控台账!G132</f>
        <v>未开始</v>
      </c>
      <c r="F554" s="17">
        <f>项目总控台账!Z132</f>
        <v>46342</v>
      </c>
      <c r="G554" s="17">
        <f>项目总控台账!AA132</f>
        <v>46353</v>
      </c>
      <c r="H554" s="70">
        <v>1</v>
      </c>
      <c r="I554" s="6" t="str">
        <f>IF(H554="","待估算",IF(E554="已完成","已结束",IF(AND(ISNUMBER(F554),ISNUMBER(G554),F554&lt;=项目驾驶舱!$B$3,G554&gt;=项目驾驶舱!$B$3),"进行中","计划中")))</f>
        <v>计划中</v>
      </c>
      <c r="J554" s="6" t="str">
        <f>IF(I554="待估算",IF(OR(F554="/",G554="/",F554="",G554=""),"补充计划日期","补充投入工时"),IF(AND(G554&lt;项目驾驶舱!$B$3,E554&lt;&gt;"已完成"),"确认延期和后续安排","按计划跟踪"))</f>
        <v>按计划跟踪</v>
      </c>
      <c r="K554" s="8"/>
      <c r="L554" t="s">
        <v>68</v>
      </c>
    </row>
    <row r="555" spans="1:12">
      <c r="B555" s="6" t="str">
        <f>项目总控台账!A133</f>
        <v>T130</v>
      </c>
      <c r="C555" s="6" t="str">
        <f>IF(AND(项目总控台账!E133&lt;&gt;"",项目总控台账!E133&lt;&gt;"/"),项目总控台账!E133,IF(AND(项目总控台账!D133&lt;&gt;"",项目总控台账!D133&lt;&gt;"/"),项目总控台账!D133,项目总控台账!C133))</f>
        <v>采样服务费（外贸）查询</v>
      </c>
      <c r="D555" s="6" t="str">
        <f>项目总控台账!F133</f>
        <v>第二批次</v>
      </c>
      <c r="E555" s="6" t="str">
        <f>项目总控台账!G133</f>
        <v>未开始</v>
      </c>
      <c r="F555" s="17">
        <f>项目总控台账!Z133</f>
        <v>46342</v>
      </c>
      <c r="G555" s="17">
        <f>项目总控台账!AA133</f>
        <v>46353</v>
      </c>
      <c r="H555" s="70">
        <v>1</v>
      </c>
      <c r="I555" s="6" t="str">
        <f>IF(H555="","待估算",IF(E555="已完成","已结束",IF(AND(ISNUMBER(F555),ISNUMBER(G555),F555&lt;=项目驾驶舱!$B$3,G555&gt;=项目驾驶舱!$B$3),"进行中","计划中")))</f>
        <v>计划中</v>
      </c>
      <c r="J555" s="6" t="str">
        <f>IF(I555="待估算",IF(OR(F555="/",G555="/",F555="",G555=""),"补充计划日期","补充投入工时"),IF(AND(G555&lt;项目驾驶舱!$B$3,E555&lt;&gt;"已完成"),"确认延期和后续安排","按计划跟踪"))</f>
        <v>按计划跟踪</v>
      </c>
      <c r="K555" s="8"/>
      <c r="L555" t="s">
        <v>68</v>
      </c>
    </row>
    <row r="556" spans="1:12">
      <c r="B556" s="6" t="str">
        <f>项目总控台账!A134</f>
        <v>T131</v>
      </c>
      <c r="C556" s="6" t="str">
        <f>IF(AND(项目总控台账!E134&lt;&gt;"",项目总控台账!E134&lt;&gt;"/"),项目总控台账!E134,IF(AND(项目总控台账!D134&lt;&gt;"",项目总控台账!D134&lt;&gt;"/"),项目总控台账!D134,项目总控台账!C134))</f>
        <v>船舶供应服务费（外贸）查询</v>
      </c>
      <c r="D556" s="6" t="str">
        <f>项目总控台账!F134</f>
        <v>第二批次</v>
      </c>
      <c r="E556" s="6" t="str">
        <f>项目总控台账!G134</f>
        <v>未开始</v>
      </c>
      <c r="F556" s="17">
        <f>项目总控台账!Z134</f>
        <v>46342</v>
      </c>
      <c r="G556" s="17">
        <f>项目总控台账!AA134</f>
        <v>46353</v>
      </c>
      <c r="H556" s="70">
        <v>1</v>
      </c>
      <c r="I556" s="6" t="str">
        <f>IF(H556="","待估算",IF(E556="已完成","已结束",IF(AND(ISNUMBER(F556),ISNUMBER(G556),F556&lt;=项目驾驶舱!$B$3,G556&gt;=项目驾驶舱!$B$3),"进行中","计划中")))</f>
        <v>计划中</v>
      </c>
      <c r="J556" s="6" t="str">
        <f>IF(I556="待估算",IF(OR(F556="/",G556="/",F556="",G556=""),"补充计划日期","补充投入工时"),IF(AND(G556&lt;项目驾驶舱!$B$3,E556&lt;&gt;"已完成"),"确认延期和后续安排","按计划跟踪"))</f>
        <v>按计划跟踪</v>
      </c>
      <c r="K556" s="8"/>
      <c r="L556" t="s">
        <v>68</v>
      </c>
    </row>
    <row r="557" spans="1:12">
      <c r="B557" s="6" t="str">
        <f>项目总控台账!A135</f>
        <v>T132</v>
      </c>
      <c r="C557" s="6" t="str">
        <f>IF(AND(项目总控台账!E135&lt;&gt;"",项目总控台账!E135&lt;&gt;"/"),项目总控台账!E135,IF(AND(项目总控台账!D135&lt;&gt;"",项目总控台账!D135&lt;&gt;"/"),项目总控台账!D135,项目总控台账!C135))</f>
        <v>新增船舶靠泊通知单</v>
      </c>
      <c r="D557" s="6" t="str">
        <f>项目总控台账!F135</f>
        <v>第二批次</v>
      </c>
      <c r="E557" s="6" t="str">
        <f>项目总控台账!G135</f>
        <v>未开始</v>
      </c>
      <c r="F557" s="17">
        <f>项目总控台账!Z135</f>
        <v>46342</v>
      </c>
      <c r="G557" s="17">
        <f>项目总控台账!AA135</f>
        <v>46353</v>
      </c>
      <c r="H557" s="70">
        <v>1</v>
      </c>
      <c r="I557" s="6" t="str">
        <f>IF(H557="","待估算",IF(E557="已完成","已结束",IF(AND(ISNUMBER(F557),ISNUMBER(G557),F557&lt;=项目驾驶舱!$B$3,G557&gt;=项目驾驶舱!$B$3),"进行中","计划中")))</f>
        <v>计划中</v>
      </c>
      <c r="J557" s="6" t="str">
        <f>IF(I557="待估算",IF(OR(F557="/",G557="/",F557="",G557=""),"补充计划日期","补充投入工时"),IF(AND(G557&lt;项目驾驶舱!$B$3,E557&lt;&gt;"已完成"),"确认延期和后续安排","按计划跟踪"))</f>
        <v>按计划跟踪</v>
      </c>
      <c r="K557" s="8"/>
      <c r="L557" t="s">
        <v>68</v>
      </c>
    </row>
    <row r="558" spans="1:12">
      <c r="B558" s="6" t="str">
        <f>项目总控台账!A136</f>
        <v>T133</v>
      </c>
      <c r="C558" s="6" t="str">
        <f>IF(AND(项目总控台账!E136&lt;&gt;"",项目总控台账!E136&lt;&gt;"/"),项目总控台账!E136,IF(AND(项目总控台账!D136&lt;&gt;"",项目总控台账!D136&lt;&gt;"/"),项目总控台账!D136,项目总控台账!C136))</f>
        <v>查询船舶靠泊通知单</v>
      </c>
      <c r="D558" s="6" t="str">
        <f>项目总控台账!F136</f>
        <v>第二批次</v>
      </c>
      <c r="E558" s="6" t="str">
        <f>项目总控台账!G136</f>
        <v>未开始</v>
      </c>
      <c r="F558" s="17">
        <f>项目总控台账!Z136</f>
        <v>46342</v>
      </c>
      <c r="G558" s="17">
        <f>项目总控台账!AA136</f>
        <v>46353</v>
      </c>
      <c r="H558" s="70">
        <v>1</v>
      </c>
      <c r="I558" s="6" t="str">
        <f>IF(H558="","待估算",IF(E558="已完成","已结束",IF(AND(ISNUMBER(F558),ISNUMBER(G558),F558&lt;=项目驾驶舱!$B$3,G558&gt;=项目驾驶舱!$B$3),"进行中","计划中")))</f>
        <v>计划中</v>
      </c>
      <c r="J558" s="6" t="str">
        <f>IF(I558="待估算",IF(OR(F558="/",G558="/",F558="",G558=""),"补充计划日期","补充投入工时"),IF(AND(G558&lt;项目驾驶舱!$B$3,E558&lt;&gt;"已完成"),"确认延期和后续安排","按计划跟踪"))</f>
        <v>按计划跟踪</v>
      </c>
      <c r="K558" s="8"/>
      <c r="L558" t="s">
        <v>68</v>
      </c>
    </row>
    <row r="559" spans="1:12">
      <c r="A559" s="71"/>
      <c r="B559" s="6" t="str">
        <f>项目总控台账!A137</f>
        <v>T134</v>
      </c>
      <c r="C559" s="6" t="str">
        <f>IF(AND(项目总控台账!E137&lt;&gt;"",项目总控台账!E137&lt;&gt;"/"),项目总控台账!E137,IF(AND(项目总控台账!D137&lt;&gt;"",项目总控台账!D137&lt;&gt;"/"),项目总控台账!D137,项目总控台账!C137))</f>
        <v>卸船计划查询</v>
      </c>
      <c r="D559" s="6" t="str">
        <f>项目总控台账!F137</f>
        <v>第二批次</v>
      </c>
      <c r="E559" s="6" t="str">
        <f>项目总控台账!G137</f>
        <v>未开始</v>
      </c>
      <c r="F559" s="17">
        <f>项目总控台账!Z137</f>
        <v>46342</v>
      </c>
      <c r="G559" s="17">
        <f>项目总控台账!AA137</f>
        <v>46353</v>
      </c>
      <c r="H559" s="70">
        <v>1</v>
      </c>
      <c r="I559" s="6" t="str">
        <f>IF(H559="","待估算",IF(E559="已完成","已结束",IF(AND(ISNUMBER(F559),ISNUMBER(G559),F559&lt;=项目驾驶舱!$B$3,G559&gt;=项目驾驶舱!$B$3),"进行中","计划中")))</f>
        <v>计划中</v>
      </c>
      <c r="J559" s="6" t="str">
        <f>IF(I559="待估算",IF(OR(F559="/",G559="/",F559="",G559=""),"补充计划日期","补充投入工时"),IF(AND(G559&lt;项目驾驶舱!$B$3,E559&lt;&gt;"已完成"),"确认延期和后续安排","按计划跟踪"))</f>
        <v>按计划跟踪</v>
      </c>
      <c r="K559" s="8"/>
      <c r="L559" t="s">
        <v>68</v>
      </c>
    </row>
    <row r="560" spans="1:12">
      <c r="A560" s="72" t="s">
        <v>68</v>
      </c>
      <c r="B560" s="6" t="str">
        <f>项目总控台账!A138</f>
        <v>T135</v>
      </c>
      <c r="C560" s="6" t="str">
        <f>IF(AND(项目总控台账!E138&lt;&gt;"",项目总控台账!E138&lt;&gt;"/"),项目总控台账!E138,IF(AND(项目总控台账!D138&lt;&gt;"",项目总控台账!D138&lt;&gt;"/"),项目总控台账!D138,项目总控台账!C138))</f>
        <v>卸船查询</v>
      </c>
      <c r="D560" s="6" t="str">
        <f>项目总控台账!F138</f>
        <v>第二批次</v>
      </c>
      <c r="E560" s="6" t="str">
        <f>项目总控台账!G138</f>
        <v>未开始</v>
      </c>
      <c r="F560" s="17">
        <f>项目总控台账!Z138</f>
        <v>46342</v>
      </c>
      <c r="G560" s="17">
        <f>项目总控台账!AA138</f>
        <v>46353</v>
      </c>
      <c r="H560" s="70">
        <v>1</v>
      </c>
      <c r="I560" s="6" t="str">
        <f>IF(H560="","待估算",IF(E560="已完成","已结束",IF(AND(ISNUMBER(F560),ISNUMBER(G560),F560&lt;=项目驾驶舱!$B$3,G560&gt;=项目驾驶舱!$B$3),"进行中","计划中")))</f>
        <v>计划中</v>
      </c>
      <c r="J560" s="6" t="str">
        <f>IF(I560="待估算",IF(OR(F560="/",G560="/",F560="",G560=""),"补充计划日期","补充投入工时"),IF(AND(G560&lt;项目驾驶舱!$B$3,E560&lt;&gt;"已完成"),"确认延期和后续安排","按计划跟踪"))</f>
        <v>按计划跟踪</v>
      </c>
      <c r="K560" s="8"/>
      <c r="L560" t="s">
        <v>68</v>
      </c>
    </row>
    <row r="561" spans="1:12">
      <c r="B561" s="6" t="str">
        <f>项目总控台账!A139</f>
        <v>T136</v>
      </c>
      <c r="C561" s="6" t="str">
        <f>IF(AND(项目总控台账!E139&lt;&gt;"",项目总控台账!E139&lt;&gt;"/"),项目总控台账!E139,IF(AND(项目总控台账!D139&lt;&gt;"",项目总控台账!D139&lt;&gt;"/"),项目总控台账!D139,项目总控台账!C139))</f>
        <v>卸船作业委托</v>
      </c>
      <c r="D561" s="6" t="str">
        <f>项目总控台账!F139</f>
        <v>第二批次</v>
      </c>
      <c r="E561" s="6" t="str">
        <f>项目总控台账!G139</f>
        <v>未开始</v>
      </c>
      <c r="F561" s="17">
        <f>项目总控台账!Z139</f>
        <v>46342</v>
      </c>
      <c r="G561" s="17">
        <f>项目总控台账!AA139</f>
        <v>46353</v>
      </c>
      <c r="H561" s="70">
        <v>1</v>
      </c>
      <c r="I561" s="6" t="str">
        <f>IF(H561="","待估算",IF(E561="已完成","已结束",IF(AND(ISNUMBER(F561),ISNUMBER(G561),F561&lt;=项目驾驶舱!$B$3,G561&gt;=项目驾驶舱!$B$3),"进行中","计划中")))</f>
        <v>计划中</v>
      </c>
      <c r="J561" s="6" t="str">
        <f>IF(I561="待估算",IF(OR(F561="/",G561="/",F561="",G561=""),"补充计划日期","补充投入工时"),IF(AND(G561&lt;项目驾驶舱!$B$3,E561&lt;&gt;"已完成"),"确认延期和后续安排","按计划跟踪"))</f>
        <v>按计划跟踪</v>
      </c>
      <c r="K561" s="8"/>
      <c r="L561" t="s">
        <v>68</v>
      </c>
    </row>
    <row r="562" spans="1:12">
      <c r="B562" s="6" t="str">
        <f>项目总控台账!A140</f>
        <v>T137</v>
      </c>
      <c r="C562" s="6" t="str">
        <f>IF(AND(项目总控台账!E140&lt;&gt;"",项目总控台账!E140&lt;&gt;"/"),项目总控台账!E140,IF(AND(项目总控台账!D140&lt;&gt;"",项目总控台账!D140&lt;&gt;"/"),项目总控台账!D140,项目总控台账!C140))</f>
        <v>外轮转内贸业务查询</v>
      </c>
      <c r="D562" s="6" t="str">
        <f>项目总控台账!F140</f>
        <v>第二批次</v>
      </c>
      <c r="E562" s="6" t="str">
        <f>项目总控台账!G140</f>
        <v>未开始</v>
      </c>
      <c r="F562" s="17">
        <f>项目总控台账!Z140</f>
        <v>46342</v>
      </c>
      <c r="G562" s="17">
        <f>项目总控台账!AA140</f>
        <v>46353</v>
      </c>
      <c r="H562" s="70">
        <v>1</v>
      </c>
      <c r="I562" s="6" t="str">
        <f>IF(H562="","待估算",IF(E562="已完成","已结束",IF(AND(ISNUMBER(F562),ISNUMBER(G562),F562&lt;=项目驾驶舱!$B$3,G562&gt;=项目驾驶舱!$B$3),"进行中","计划中")))</f>
        <v>计划中</v>
      </c>
      <c r="J562" s="6" t="str">
        <f>IF(I562="待估算",IF(OR(F562="/",G562="/",F562="",G562=""),"补充计划日期","补充投入工时"),IF(AND(G562&lt;项目驾驶舱!$B$3,E562&lt;&gt;"已完成"),"确认延期和后续安排","按计划跟踪"))</f>
        <v>按计划跟踪</v>
      </c>
      <c r="K562" s="8"/>
      <c r="L562" t="s">
        <v>68</v>
      </c>
    </row>
    <row r="563" spans="1:12">
      <c r="B563" s="6" t="str">
        <f>项目总控台账!A141</f>
        <v>T138</v>
      </c>
      <c r="C563" s="6" t="str">
        <f>IF(AND(项目总控台账!E141&lt;&gt;"",项目总控台账!E141&lt;&gt;"/"),项目总控台账!E141,IF(AND(项目总控台账!D141&lt;&gt;"",项目总控台账!D141&lt;&gt;"/"),项目总控台账!D141,项目总控台账!C141))</f>
        <v>查询卸车流程</v>
      </c>
      <c r="D563" s="6" t="str">
        <f>项目总控台账!F141</f>
        <v>第二批次</v>
      </c>
      <c r="E563" s="6" t="str">
        <f>项目总控台账!G141</f>
        <v>已完成</v>
      </c>
      <c r="F563" s="17">
        <f>项目总控台账!Z141</f>
        <v>46342</v>
      </c>
      <c r="G563" s="17">
        <f>项目总控台账!AA141</f>
        <v>46353</v>
      </c>
      <c r="H563" s="70">
        <v>1</v>
      </c>
      <c r="I563" s="6" t="str">
        <f>IF(H563="","待估算",IF(E563="已完成","已结束",IF(AND(ISNUMBER(F563),ISNUMBER(G563),F563&lt;=项目驾驶舱!$B$3,G563&gt;=项目驾驶舱!$B$3),"进行中","计划中")))</f>
        <v>已结束</v>
      </c>
      <c r="J563" s="6" t="str">
        <f>IF(I563="待估算",IF(OR(F563="/",G563="/",F563="",G563=""),"补充计划日期","补充投入工时"),IF(AND(G563&lt;项目驾驶舱!$B$3,E563&lt;&gt;"已完成"),"确认延期和后续安排","按计划跟踪"))</f>
        <v>按计划跟踪</v>
      </c>
      <c r="K563" s="8"/>
      <c r="L563" t="s">
        <v>68</v>
      </c>
    </row>
    <row r="564" spans="1:12">
      <c r="B564" s="6" t="str">
        <f>项目总控台账!A142</f>
        <v>T139</v>
      </c>
      <c r="C564" s="6" t="str">
        <f>IF(AND(项目总控台账!E142&lt;&gt;"",项目总控台账!E142&lt;&gt;"/"),项目总控台账!E142,IF(AND(项目总控台账!D142&lt;&gt;"",项目总控台账!D142&lt;&gt;"/"),项目总控台账!D142,项目总控台账!C142))</f>
        <v>查询装船流程</v>
      </c>
      <c r="D564" s="6" t="str">
        <f>项目总控台账!F142</f>
        <v>第二批次</v>
      </c>
      <c r="E564" s="6" t="str">
        <f>项目总控台账!G142</f>
        <v>已完成</v>
      </c>
      <c r="F564" s="17">
        <f>项目总控台账!Z142</f>
        <v>46342</v>
      </c>
      <c r="G564" s="17">
        <f>项目总控台账!AA142</f>
        <v>46353</v>
      </c>
      <c r="H564" s="70">
        <v>1</v>
      </c>
      <c r="I564" s="6" t="str">
        <f>IF(H564="","待估算",IF(E564="已完成","已结束",IF(AND(ISNUMBER(F564),ISNUMBER(G564),F564&lt;=项目驾驶舱!$B$3,G564&gt;=项目驾驶舱!$B$3),"进行中","计划中")))</f>
        <v>已结束</v>
      </c>
      <c r="J564" s="6" t="str">
        <f>IF(I564="待估算",IF(OR(F564="/",G564="/",F564="",G564=""),"补充计划日期","补充投入工时"),IF(AND(G564&lt;项目驾驶舱!$B$3,E564&lt;&gt;"已完成"),"确认延期和后续安排","按计划跟踪"))</f>
        <v>按计划跟踪</v>
      </c>
      <c r="K564" s="8"/>
      <c r="L564" t="s">
        <v>68</v>
      </c>
    </row>
    <row r="565" spans="1:12">
      <c r="B565" s="6" t="str">
        <f>项目总控台账!A143</f>
        <v>T140</v>
      </c>
      <c r="C565" s="6" t="str">
        <f>IF(AND(项目总控台账!E143&lt;&gt;"",项目总控台账!E143&lt;&gt;"/"),项目总控台账!E143,IF(AND(项目总控台账!D143&lt;&gt;"",项目总控台账!D143&lt;&gt;"/"),项目总控台账!D143,项目总控台账!C143))</f>
        <v>查询卸船流程</v>
      </c>
      <c r="D565" s="6" t="str">
        <f>项目总控台账!F143</f>
        <v>第二批次</v>
      </c>
      <c r="E565" s="6" t="str">
        <f>项目总控台账!G143</f>
        <v>已完成</v>
      </c>
      <c r="F565" s="17">
        <f>项目总控台账!Z143</f>
        <v>46342</v>
      </c>
      <c r="G565" s="17">
        <f>项目总控台账!AA143</f>
        <v>46353</v>
      </c>
      <c r="H565" s="70">
        <v>1</v>
      </c>
      <c r="I565" s="6" t="str">
        <f>IF(H565="","待估算",IF(E565="已完成","已结束",IF(AND(ISNUMBER(F565),ISNUMBER(G565),F565&lt;=项目驾驶舱!$B$3,G565&gt;=项目驾驶舱!$B$3),"进行中","计划中")))</f>
        <v>已结束</v>
      </c>
      <c r="J565" s="6" t="str">
        <f>IF(I565="待估算",IF(OR(F565="/",G565="/",F565="",G565=""),"补充计划日期","补充投入工时"),IF(AND(G565&lt;项目驾驶舱!$B$3,E565&lt;&gt;"已完成"),"确认延期和后续安排","按计划跟踪"))</f>
        <v>按计划跟踪</v>
      </c>
      <c r="K565" s="8"/>
      <c r="L565" t="s">
        <v>68</v>
      </c>
    </row>
    <row r="566" ht="17.55" spans="1:12">
      <c r="A566" s="71"/>
      <c r="B566" s="6" t="str">
        <f>项目总控台账!A145</f>
        <v>T142</v>
      </c>
      <c r="C566" s="6" t="str">
        <f>IF(AND(项目总控台账!E145&lt;&gt;"",项目总控台账!E145&lt;&gt;"/"),项目总控台账!E145,IF(AND(项目总控台账!D145&lt;&gt;"",项目总控台账!D145&lt;&gt;"/"),项目总控台账!D145,项目总控台账!C145))</f>
        <v>审批船舶靠泊通知单</v>
      </c>
      <c r="D566" s="6" t="str">
        <f>项目总控台账!F145</f>
        <v>第二批次</v>
      </c>
      <c r="E566" s="6" t="str">
        <f>项目总控台账!G145</f>
        <v>未开始</v>
      </c>
      <c r="F566" s="17">
        <f>项目总控台账!Z145</f>
        <v>46342</v>
      </c>
      <c r="G566" s="17">
        <f>项目总控台账!AA145</f>
        <v>46353</v>
      </c>
      <c r="H566" s="70">
        <v>1</v>
      </c>
      <c r="I566" s="6" t="str">
        <f>IF(H566="","待估算",IF(E566="已完成","已结束",IF(AND(ISNUMBER(F566),ISNUMBER(G566),F566&lt;=项目驾驶舱!$B$3,G566&gt;=项目驾驶舱!$B$3),"进行中","计划中")))</f>
        <v>计划中</v>
      </c>
      <c r="J566" s="6" t="str">
        <f>IF(I566="待估算",IF(OR(F566="/",G566="/",F566="",G566=""),"补充计划日期","补充投入工时"),IF(AND(G566&lt;项目驾驶舱!$B$3,E566&lt;&gt;"已完成"),"确认延期和后续安排","按计划跟踪"))</f>
        <v>按计划跟踪</v>
      </c>
      <c r="K566" s="8"/>
      <c r="L566" t="s">
        <v>68</v>
      </c>
    </row>
    <row r="567" spans="1:12">
      <c r="A567" s="65" t="s">
        <v>67</v>
      </c>
      <c r="B567" s="66" t="str">
        <f>项目总控台账!A61</f>
        <v>T058</v>
      </c>
      <c r="C567" s="66" t="str">
        <f>IF(AND(项目总控台账!E61&lt;&gt;"",项目总控台账!E61&lt;&gt;"/"),项目总控台账!E61,IF(AND(项目总控台账!D61&lt;&gt;"",项目总控台账!D61&lt;&gt;"/"),项目总控台账!D61,项目总控台账!C61))</f>
        <v>OCR识别及编辑</v>
      </c>
      <c r="D567" s="66" t="str">
        <f>项目总控台账!F61</f>
        <v>第一批次</v>
      </c>
      <c r="E567" s="66" t="str">
        <f>项目总控台账!G61</f>
        <v>已完成</v>
      </c>
      <c r="F567" s="67">
        <f>项目总控台账!V61</f>
        <v>46195</v>
      </c>
      <c r="G567" s="67">
        <f>项目总控台账!W61</f>
        <v>46206</v>
      </c>
      <c r="H567" s="68">
        <v>27</v>
      </c>
      <c r="I567" s="66" t="str">
        <f>IF(H567="","待估算",IF(E567="已完成","已结束",IF(AND(ISNUMBER(F567),ISNUMBER(G567),F567&lt;=项目驾驶舱!$B$3,G567&gt;=项目驾驶舱!$B$3),"进行中","计划中")))</f>
        <v>已结束</v>
      </c>
      <c r="J567" s="66" t="str">
        <f>IF(I567="待估算",IF(OR(F567="/",G567="/",F567="",G567=""),"补充计划日期","补充投入工时"),IF(AND(G567&lt;项目驾驶舱!$B$3,E567&lt;&gt;"已完成"),"确认延期和后续安排","按计划跟踪"))</f>
        <v>按计划跟踪</v>
      </c>
      <c r="K567" s="69"/>
      <c r="L567" t="s">
        <v>67</v>
      </c>
    </row>
    <row r="568" spans="1:12">
      <c r="B568" s="6" t="str">
        <f>项目总控台账!A73</f>
        <v>T070</v>
      </c>
      <c r="C568" s="6" t="str">
        <f>IF(AND(项目总控台账!E73&lt;&gt;"",项目总控台账!E73&lt;&gt;"/"),项目总控台账!E73,IF(AND(项目总控台账!D73&lt;&gt;"",项目总控台账!D73&lt;&gt;"/"),项目总控台账!D73,项目总控台账!C73))</f>
        <v>生成报告</v>
      </c>
      <c r="D568" s="6" t="str">
        <f>项目总控台账!F73</f>
        <v>第一批次</v>
      </c>
      <c r="E568" s="6" t="str">
        <f>项目总控台账!G73</f>
        <v>已完成</v>
      </c>
      <c r="F568" s="17">
        <f>项目总控台账!V73</f>
        <v>46195</v>
      </c>
      <c r="G568" s="17">
        <f>项目总控台账!W73</f>
        <v>46206</v>
      </c>
      <c r="H568" s="70">
        <v>27</v>
      </c>
      <c r="I568" s="6" t="str">
        <f>IF(H568="","待估算",IF(E568="已完成","已结束",IF(AND(ISNUMBER(F568),ISNUMBER(G568),F568&lt;=项目驾驶舱!$B$3,G568&gt;=项目驾驶舱!$B$3),"进行中","计划中")))</f>
        <v>已结束</v>
      </c>
      <c r="J568" s="6" t="str">
        <f>IF(I568="待估算",IF(OR(F568="/",G568="/",F568="",G568=""),"补充计划日期","补充投入工时"),IF(AND(G568&lt;项目驾驶舱!$B$3,E568&lt;&gt;"已完成"),"确认延期和后续安排","按计划跟踪"))</f>
        <v>按计划跟踪</v>
      </c>
      <c r="K568" s="8"/>
      <c r="L568" t="s">
        <v>67</v>
      </c>
    </row>
    <row r="569" spans="1:12">
      <c r="B569" s="6" t="str">
        <f>项目总控台账!A74</f>
        <v>T071</v>
      </c>
      <c r="C569" s="6" t="str">
        <f>IF(AND(项目总控台账!E74&lt;&gt;"",项目总控台账!E74&lt;&gt;"/"),项目总控台账!E74,IF(AND(项目总控台账!D74&lt;&gt;"",项目总控台账!D74&lt;&gt;"/"),项目总控台账!D74,项目总控台账!C74))</f>
        <v>装船作业信息录入优化（太仓）</v>
      </c>
      <c r="D569" s="6" t="str">
        <f>项目总控台账!F74</f>
        <v>第一批次</v>
      </c>
      <c r="E569" s="6" t="str">
        <f>项目总控台账!G74</f>
        <v>已完成</v>
      </c>
      <c r="F569" s="17">
        <f>项目总控台账!V74</f>
        <v>46195</v>
      </c>
      <c r="G569" s="17">
        <f>项目总控台账!W74</f>
        <v>46206</v>
      </c>
      <c r="H569" s="70">
        <v>26</v>
      </c>
      <c r="I569" s="6" t="str">
        <f>IF(H569="","待估算",IF(E569="已完成","已结束",IF(AND(ISNUMBER(F569),ISNUMBER(G569),F569&lt;=项目驾驶舱!$B$3,G569&gt;=项目驾驶舱!$B$3),"进行中","计划中")))</f>
        <v>已结束</v>
      </c>
      <c r="J569" s="6" t="str">
        <f>IF(I569="待估算",IF(OR(F569="/",G569="/",F569="",G569=""),"补充计划日期","补充投入工时"),IF(AND(G569&lt;项目驾驶舱!$B$3,E569&lt;&gt;"已完成"),"确认延期和后续安排","按计划跟踪"))</f>
        <v>按计划跟踪</v>
      </c>
      <c r="K569" s="8"/>
      <c r="L569" t="s">
        <v>67</v>
      </c>
    </row>
    <row r="570" spans="1:12">
      <c r="B570" s="6" t="str">
        <f>项目总控台账!A4</f>
        <v>T001</v>
      </c>
      <c r="C570" s="6" t="str">
        <f>IF(AND(项目总控台账!E4&lt;&gt;"",项目总控台账!E4&lt;&gt;"/"),项目总控台账!E4,IF(AND(项目总控台账!D4&lt;&gt;"",项目总控台账!D4&lt;&gt;"/"),项目总控台账!D4,项目总控台账!C4))</f>
        <v>新增车辆信息</v>
      </c>
      <c r="D570" s="6" t="str">
        <f>项目总控台账!F4</f>
        <v>第一批次</v>
      </c>
      <c r="E570" s="6" t="str">
        <f>项目总控台账!G4</f>
        <v>已完成</v>
      </c>
      <c r="F570" s="17">
        <f>项目总控台账!V4</f>
        <v>46209</v>
      </c>
      <c r="G570" s="17">
        <f>项目总控台账!W4</f>
        <v>46225</v>
      </c>
      <c r="H570" s="70">
        <v>5.5</v>
      </c>
      <c r="I570" s="6" t="str">
        <f>IF(H570="","待估算",IF(E570="已完成","已结束",IF(AND(ISNUMBER(F570),ISNUMBER(G570),F570&lt;=项目驾驶舱!$B$3,G570&gt;=项目驾驶舱!$B$3),"进行中","计划中")))</f>
        <v>已结束</v>
      </c>
      <c r="J570" s="6" t="str">
        <f>IF(I570="待估算",IF(OR(F570="/",G570="/",F570="",G570=""),"补充计划日期","补充投入工时"),IF(AND(G570&lt;项目驾驶舱!$B$3,E570&lt;&gt;"已完成"),"确认延期和后续安排","按计划跟踪"))</f>
        <v>按计划跟踪</v>
      </c>
      <c r="K570" s="8"/>
      <c r="L570" t="s">
        <v>67</v>
      </c>
    </row>
    <row r="571" spans="1:12">
      <c r="B571" s="6" t="str">
        <f>项目总控台账!A5</f>
        <v>T002</v>
      </c>
      <c r="C571" s="6" t="str">
        <f>IF(AND(项目总控台账!E5&lt;&gt;"",项目总控台账!E5&lt;&gt;"/"),项目总控台账!E5,IF(AND(项目总控台账!D5&lt;&gt;"",项目总控台账!D5&lt;&gt;"/"),项目总控台账!D5,项目总控台账!C5))</f>
        <v>修改车辆信息</v>
      </c>
      <c r="D571" s="6" t="str">
        <f>项目总控台账!F5</f>
        <v>第一批次</v>
      </c>
      <c r="E571" s="6" t="str">
        <f>项目总控台账!G5</f>
        <v>已完成</v>
      </c>
      <c r="F571" s="17">
        <f>项目总控台账!V5</f>
        <v>46209</v>
      </c>
      <c r="G571" s="17">
        <f>项目总控台账!W5</f>
        <v>46225</v>
      </c>
      <c r="H571" s="70">
        <v>5.5</v>
      </c>
      <c r="I571" s="6" t="str">
        <f>IF(H571="","待估算",IF(E571="已完成","已结束",IF(AND(ISNUMBER(F571),ISNUMBER(G571),F571&lt;=项目驾驶舱!$B$3,G571&gt;=项目驾驶舱!$B$3),"进行中","计划中")))</f>
        <v>已结束</v>
      </c>
      <c r="J571" s="6" t="str">
        <f>IF(I571="待估算",IF(OR(F571="/",G571="/",F571="",G571=""),"补充计划日期","补充投入工时"),IF(AND(G571&lt;项目驾驶舱!$B$3,E571&lt;&gt;"已完成"),"确认延期和后续安排","按计划跟踪"))</f>
        <v>按计划跟踪</v>
      </c>
      <c r="K571" s="8"/>
      <c r="L571" t="s">
        <v>67</v>
      </c>
    </row>
    <row r="572" spans="1:12">
      <c r="B572" s="6" t="str">
        <f>项目总控台账!A6</f>
        <v>T003</v>
      </c>
      <c r="C572" s="6" t="str">
        <f>IF(AND(项目总控台账!E6&lt;&gt;"",项目总控台账!E6&lt;&gt;"/"),项目总控台账!E6,IF(AND(项目总控台账!D6&lt;&gt;"",项目总控台账!D6&lt;&gt;"/"),项目总控台账!D6,项目总控台账!C6))</f>
        <v>删除车辆信息</v>
      </c>
      <c r="D572" s="6" t="str">
        <f>项目总控台账!F6</f>
        <v>第一批次</v>
      </c>
      <c r="E572" s="6" t="str">
        <f>项目总控台账!G6</f>
        <v>已完成</v>
      </c>
      <c r="F572" s="17">
        <f>项目总控台账!V6</f>
        <v>46209</v>
      </c>
      <c r="G572" s="17">
        <f>项目总控台账!W6</f>
        <v>46225</v>
      </c>
      <c r="H572" s="70">
        <v>5.5</v>
      </c>
      <c r="I572" s="6" t="str">
        <f>IF(H572="","待估算",IF(E572="已完成","已结束",IF(AND(ISNUMBER(F572),ISNUMBER(G572),F572&lt;=项目驾驶舱!$B$3,G572&gt;=项目驾驶舱!$B$3),"进行中","计划中")))</f>
        <v>已结束</v>
      </c>
      <c r="J572" s="6" t="str">
        <f>IF(I572="待估算",IF(OR(F572="/",G572="/",F572="",G572=""),"补充计划日期","补充投入工时"),IF(AND(G572&lt;项目驾驶舱!$B$3,E572&lt;&gt;"已完成"),"确认延期和后续安排","按计划跟踪"))</f>
        <v>按计划跟踪</v>
      </c>
      <c r="K572" s="8"/>
      <c r="L572" t="s">
        <v>67</v>
      </c>
    </row>
    <row r="573" spans="1:12">
      <c r="B573" s="6" t="str">
        <f>项目总控台账!A7</f>
        <v>T004</v>
      </c>
      <c r="C573" s="6" t="str">
        <f>IF(AND(项目总控台账!E7&lt;&gt;"",项目总控台账!E7&lt;&gt;"/"),项目总控台账!E7,IF(AND(项目总控台账!D7&lt;&gt;"",项目总控台账!D7&lt;&gt;"/"),项目总控台账!D7,项目总控台账!C7))</f>
        <v>查询展示车辆信息</v>
      </c>
      <c r="D573" s="6" t="str">
        <f>项目总控台账!F7</f>
        <v>第一批次</v>
      </c>
      <c r="E573" s="6" t="str">
        <f>项目总控台账!G7</f>
        <v>已完成</v>
      </c>
      <c r="F573" s="17">
        <f>项目总控台账!V7</f>
        <v>46209</v>
      </c>
      <c r="G573" s="17">
        <f>项目总控台账!W7</f>
        <v>46225</v>
      </c>
      <c r="H573" s="70">
        <v>5.5</v>
      </c>
      <c r="I573" s="6" t="str">
        <f>IF(H573="","待估算",IF(E573="已完成","已结束",IF(AND(ISNUMBER(F573),ISNUMBER(G573),F573&lt;=项目驾驶舱!$B$3,G573&gt;=项目驾驶舱!$B$3),"进行中","计划中")))</f>
        <v>已结束</v>
      </c>
      <c r="J573" s="6" t="str">
        <f>IF(I573="待估算",IF(OR(F573="/",G573="/",F573="",G573=""),"补充计划日期","补充投入工时"),IF(AND(G573&lt;项目驾驶舱!$B$3,E573&lt;&gt;"已完成"),"确认延期和后续安排","按计划跟踪"))</f>
        <v>按计划跟踪</v>
      </c>
      <c r="K573" s="8"/>
      <c r="L573" t="s">
        <v>67</v>
      </c>
    </row>
    <row r="574" spans="1:12">
      <c r="B574" s="6" t="str">
        <f>项目总控台账!A9</f>
        <v>T006</v>
      </c>
      <c r="C574" s="6" t="str">
        <f>IF(AND(项目总控台账!E9&lt;&gt;"",项目总控台账!E9&lt;&gt;"/"),项目总控台账!E9,IF(AND(项目总控台账!D9&lt;&gt;"",项目总控台账!D9&lt;&gt;"/"),项目总控台账!D9,项目总控台账!C9))</f>
        <v>优化收费标准（装卸费）新增</v>
      </c>
      <c r="D574" s="6" t="str">
        <f>项目总控台账!F9</f>
        <v>第一批次</v>
      </c>
      <c r="E574" s="6" t="str">
        <f>项目总控台账!G9</f>
        <v>已完成</v>
      </c>
      <c r="F574" s="17">
        <f>项目总控台账!V9</f>
        <v>46209</v>
      </c>
      <c r="G574" s="17">
        <f>项目总控台账!W9</f>
        <v>46227</v>
      </c>
      <c r="H574" s="70">
        <v>5.5</v>
      </c>
      <c r="I574" s="6" t="str">
        <f>IF(H574="","待估算",IF(E574="已完成","已结束",IF(AND(ISNUMBER(F574),ISNUMBER(G574),F574&lt;=项目驾驶舱!$B$3,G574&gt;=项目驾驶舱!$B$3),"进行中","计划中")))</f>
        <v>已结束</v>
      </c>
      <c r="J574" s="6" t="str">
        <f>IF(I574="待估算",IF(OR(F574="/",G574="/",F574="",G574=""),"补充计划日期","补充投入工时"),IF(AND(G574&lt;项目驾驶舱!$B$3,E574&lt;&gt;"已完成"),"确认延期和后续安排","按计划跟踪"))</f>
        <v>按计划跟踪</v>
      </c>
      <c r="K574" s="8"/>
      <c r="L574" t="s">
        <v>67</v>
      </c>
    </row>
    <row r="575" spans="1:12">
      <c r="B575" s="6" t="str">
        <f>项目总控台账!A10</f>
        <v>T007</v>
      </c>
      <c r="C575" s="6" t="str">
        <f>IF(AND(项目总控台账!E10&lt;&gt;"",项目总控台账!E10&lt;&gt;"/"),项目总控台账!E10,IF(AND(项目总控台账!D10&lt;&gt;"",项目总控台账!D10&lt;&gt;"/"),项目总控台账!D10,项目总控台账!C10))</f>
        <v>优化收费标准（装卸费）编辑</v>
      </c>
      <c r="D575" s="6" t="str">
        <f>项目总控台账!F10</f>
        <v>第一批次</v>
      </c>
      <c r="E575" s="6" t="str">
        <f>项目总控台账!G10</f>
        <v>已完成</v>
      </c>
      <c r="F575" s="17">
        <f>项目总控台账!V10</f>
        <v>46209</v>
      </c>
      <c r="G575" s="17">
        <f>项目总控台账!W10</f>
        <v>46227</v>
      </c>
      <c r="H575" s="70">
        <v>4.5</v>
      </c>
      <c r="I575" s="6" t="str">
        <f>IF(H575="","待估算",IF(E575="已完成","已结束",IF(AND(ISNUMBER(F575),ISNUMBER(G575),F575&lt;=项目驾驶舱!$B$3,G575&gt;=项目驾驶舱!$B$3),"进行中","计划中")))</f>
        <v>已结束</v>
      </c>
      <c r="J575" s="6" t="str">
        <f>IF(I575="待估算",IF(OR(F575="/",G575="/",F575="",G575=""),"补充计划日期","补充投入工时"),IF(AND(G575&lt;项目驾驶舱!$B$3,E575&lt;&gt;"已完成"),"确认延期和后续安排","按计划跟踪"))</f>
        <v>按计划跟踪</v>
      </c>
      <c r="K575" s="8"/>
      <c r="L575" t="s">
        <v>67</v>
      </c>
    </row>
    <row r="576" spans="1:12">
      <c r="B576" s="6" t="str">
        <f>项目总控台账!A11</f>
        <v>T008</v>
      </c>
      <c r="C576" s="6" t="str">
        <f>IF(AND(项目总控台账!E11&lt;&gt;"",项目总控台账!E11&lt;&gt;"/"),项目总控台账!E11,IF(AND(项目总控台账!D11&lt;&gt;"",项目总控台账!D11&lt;&gt;"/"),项目总控台账!D11,项目总控台账!C11))</f>
        <v>优化收费标准（装卸费）详情</v>
      </c>
      <c r="D576" s="6" t="str">
        <f>项目总控台账!F11</f>
        <v>第一批次</v>
      </c>
      <c r="E576" s="6" t="str">
        <f>项目总控台账!G11</f>
        <v>已完成</v>
      </c>
      <c r="F576" s="17">
        <f>项目总控台账!V11</f>
        <v>46209</v>
      </c>
      <c r="G576" s="17">
        <f>项目总控台账!W11</f>
        <v>46227</v>
      </c>
      <c r="H576" s="70">
        <v>4.5</v>
      </c>
      <c r="I576" s="6" t="str">
        <f>IF(H576="","待估算",IF(E576="已完成","已结束",IF(AND(ISNUMBER(F576),ISNUMBER(G576),F576&lt;=项目驾驶舱!$B$3,G576&gt;=项目驾驶舱!$B$3),"进行中","计划中")))</f>
        <v>已结束</v>
      </c>
      <c r="J576" s="6" t="str">
        <f>IF(I576="待估算",IF(OR(F576="/",G576="/",F576="",G576=""),"补充计划日期","补充投入工时"),IF(AND(G576&lt;项目驾驶舱!$B$3,E576&lt;&gt;"已完成"),"确认延期和后续安排","按计划跟踪"))</f>
        <v>按计划跟踪</v>
      </c>
      <c r="K576" s="8"/>
      <c r="L576" t="s">
        <v>67</v>
      </c>
    </row>
    <row r="577" spans="1:12">
      <c r="B577" s="6" t="str">
        <f>项目总控台账!A12</f>
        <v>T009</v>
      </c>
      <c r="C577" s="6" t="str">
        <f>IF(AND(项目总控台账!E12&lt;&gt;"",项目总控台账!E12&lt;&gt;"/"),项目总控台账!E12,IF(AND(项目总控台账!D12&lt;&gt;"",项目总控台账!D12&lt;&gt;"/"),项目总控台账!D12,项目总控台账!C12))</f>
        <v>优化采样方式新增</v>
      </c>
      <c r="D577" s="6" t="str">
        <f>项目总控台账!F12</f>
        <v>第一批次</v>
      </c>
      <c r="E577" s="6" t="str">
        <f>项目总控台账!G12</f>
        <v>已完成</v>
      </c>
      <c r="F577" s="17">
        <f>项目总控台账!V12</f>
        <v>46209</v>
      </c>
      <c r="G577" s="17">
        <f>项目总控台账!W12</f>
        <v>46227</v>
      </c>
      <c r="H577" s="70">
        <v>4.5</v>
      </c>
      <c r="I577" s="6" t="str">
        <f>IF(H577="","待估算",IF(E577="已完成","已结束",IF(AND(ISNUMBER(F577),ISNUMBER(G577),F577&lt;=项目驾驶舱!$B$3,G577&gt;=项目驾驶舱!$B$3),"进行中","计划中")))</f>
        <v>已结束</v>
      </c>
      <c r="J577" s="6" t="str">
        <f>IF(I577="待估算",IF(OR(F577="/",G577="/",F577="",G577=""),"补充计划日期","补充投入工时"),IF(AND(G577&lt;项目驾驶舱!$B$3,E577&lt;&gt;"已完成"),"确认延期和后续安排","按计划跟踪"))</f>
        <v>按计划跟踪</v>
      </c>
      <c r="K577" s="8"/>
      <c r="L577" t="s">
        <v>67</v>
      </c>
    </row>
    <row r="578" spans="1:12">
      <c r="A578" s="71"/>
      <c r="B578" s="6" t="str">
        <f>项目总控台账!A13</f>
        <v>T010</v>
      </c>
      <c r="C578" s="6" t="str">
        <f>IF(AND(项目总控台账!E13&lt;&gt;"",项目总控台账!E13&lt;&gt;"/"),项目总控台账!E13,IF(AND(项目总控台账!D13&lt;&gt;"",项目总控台账!D13&lt;&gt;"/"),项目总控台账!D13,项目总控台账!C13))</f>
        <v>优化采样方式编辑</v>
      </c>
      <c r="D578" s="6" t="str">
        <f>项目总控台账!F13</f>
        <v>第一批次</v>
      </c>
      <c r="E578" s="6" t="str">
        <f>项目总控台账!G13</f>
        <v>已完成</v>
      </c>
      <c r="F578" s="17">
        <f>项目总控台账!V13</f>
        <v>46209</v>
      </c>
      <c r="G578" s="17">
        <f>项目总控台账!W13</f>
        <v>46227</v>
      </c>
      <c r="H578" s="70">
        <v>4.5</v>
      </c>
      <c r="I578" s="6" t="str">
        <f>IF(H578="","待估算",IF(E578="已完成","已结束",IF(AND(ISNUMBER(F578),ISNUMBER(G578),F578&lt;=项目驾驶舱!$B$3,G578&gt;=项目驾驶舱!$B$3),"进行中","计划中")))</f>
        <v>已结束</v>
      </c>
      <c r="J578" s="6" t="str">
        <f>IF(I578="待估算",IF(OR(F578="/",G578="/",F578="",G578=""),"补充计划日期","补充投入工时"),IF(AND(G578&lt;项目驾驶舱!$B$3,E578&lt;&gt;"已完成"),"确认延期和后续安排","按计划跟踪"))</f>
        <v>按计划跟踪</v>
      </c>
      <c r="K578" s="8"/>
      <c r="L578" t="s">
        <v>67</v>
      </c>
    </row>
    <row r="579" spans="1:12">
      <c r="A579" s="72" t="s">
        <v>67</v>
      </c>
      <c r="B579" s="6" t="str">
        <f>项目总控台账!A14</f>
        <v>T011</v>
      </c>
      <c r="C579" s="6" t="str">
        <f>IF(AND(项目总控台账!E14&lt;&gt;"",项目总控台账!E14&lt;&gt;"/"),项目总控台账!E14,IF(AND(项目总控台账!D14&lt;&gt;"",项目总控台账!D14&lt;&gt;"/"),项目总控台账!D14,项目总控台账!C14))</f>
        <v>获取报单数据及展示</v>
      </c>
      <c r="D579" s="6" t="str">
        <f>项目总控台账!F14</f>
        <v>第一批次</v>
      </c>
      <c r="E579" s="6" t="str">
        <f>项目总控台账!G14</f>
        <v>已完成</v>
      </c>
      <c r="F579" s="17">
        <f>项目总控台账!V14</f>
        <v>46209</v>
      </c>
      <c r="G579" s="17">
        <f>项目总控台账!W14</f>
        <v>46225</v>
      </c>
      <c r="H579" s="70">
        <v>4.5</v>
      </c>
      <c r="I579" s="6" t="str">
        <f>IF(H579="","待估算",IF(E579="已完成","已结束",IF(AND(ISNUMBER(F579),ISNUMBER(G579),F579&lt;=项目驾驶舱!$B$3,G579&gt;=项目驾驶舱!$B$3),"进行中","计划中")))</f>
        <v>已结束</v>
      </c>
      <c r="J579" s="6" t="str">
        <f>IF(I579="待估算",IF(OR(F579="/",G579="/",F579="",G579=""),"补充计划日期","补充投入工时"),IF(AND(G579&lt;项目驾驶舱!$B$3,E579&lt;&gt;"已完成"),"确认延期和后续安排","按计划跟踪"))</f>
        <v>按计划跟踪</v>
      </c>
      <c r="K579" s="8"/>
      <c r="L579" t="s">
        <v>67</v>
      </c>
    </row>
    <row r="580" spans="1:12">
      <c r="B580" s="6" t="str">
        <f>项目总控台账!A15</f>
        <v>T012</v>
      </c>
      <c r="C580" s="6" t="str">
        <f>IF(AND(项目总控台账!E15&lt;&gt;"",项目总控台账!E15&lt;&gt;"/"),项目总控台账!E15,IF(AND(项目总控台账!D15&lt;&gt;"",项目总控台账!D15&lt;&gt;"/"),项目总控台账!D15,项目总控台账!C15))</f>
        <v>应单入口</v>
      </c>
      <c r="D580" s="6" t="str">
        <f>项目总控台账!F15</f>
        <v>第一批次</v>
      </c>
      <c r="E580" s="6" t="str">
        <f>项目总控台账!G15</f>
        <v>已完成</v>
      </c>
      <c r="F580" s="17">
        <f>项目总控台账!V15</f>
        <v>46209</v>
      </c>
      <c r="G580" s="17">
        <f>项目总控台账!W15</f>
        <v>46225</v>
      </c>
      <c r="H580" s="70">
        <v>4.5</v>
      </c>
      <c r="I580" s="6" t="str">
        <f>IF(H580="","待估算",IF(E580="已完成","已结束",IF(AND(ISNUMBER(F580),ISNUMBER(G580),F580&lt;=项目驾驶舱!$B$3,G580&gt;=项目驾驶舱!$B$3),"进行中","计划中")))</f>
        <v>已结束</v>
      </c>
      <c r="J580" s="6" t="str">
        <f>IF(I580="待估算",IF(OR(F580="/",G580="/",F580="",G580=""),"补充计划日期","补充投入工时"),IF(AND(G580&lt;项目驾驶舱!$B$3,E580&lt;&gt;"已完成"),"确认延期和后续安排","按计划跟踪"))</f>
        <v>按计划跟踪</v>
      </c>
      <c r="K580" s="8"/>
      <c r="L580" t="s">
        <v>67</v>
      </c>
    </row>
    <row r="581" spans="1:12">
      <c r="B581" s="6" t="str">
        <f>项目总控台账!A53</f>
        <v>T050</v>
      </c>
      <c r="C581" s="6" t="str">
        <f>IF(AND(项目总控台账!E53&lt;&gt;"",项目总控台账!E53&lt;&gt;"/"),项目总控台账!E53,IF(AND(项目总控台账!D53&lt;&gt;"",项目总控台账!D53&lt;&gt;"/"),项目总控台账!D53,项目总控台账!C53))</f>
        <v>维护需跟踪船舶清单</v>
      </c>
      <c r="D581" s="6" t="str">
        <f>项目总控台账!F53</f>
        <v>第一批次</v>
      </c>
      <c r="E581" s="6" t="str">
        <f>项目总控台账!G53</f>
        <v>进行中</v>
      </c>
      <c r="F581" s="17">
        <f>项目总控台账!V53</f>
        <v>46209</v>
      </c>
      <c r="G581" s="17">
        <f>项目总控台账!W53</f>
        <v>46227</v>
      </c>
      <c r="H581" s="70">
        <v>4.5</v>
      </c>
      <c r="I581" s="6" t="str">
        <f>IF(H581="","待估算",IF(E581="已完成","已结束",IF(AND(ISNUMBER(F581),ISNUMBER(G581),F581&lt;=项目驾驶舱!$B$3,G581&gt;=项目驾驶舱!$B$3),"进行中","计划中")))</f>
        <v>计划中</v>
      </c>
      <c r="J581" s="6" t="str">
        <f>IF(I581="待估算",IF(OR(F581="/",G581="/",F581="",G581=""),"补充计划日期","补充投入工时"),IF(AND(G581&lt;项目驾驶舱!$B$3,E581&lt;&gt;"已完成"),"确认延期和后续安排","按计划跟踪"))</f>
        <v>确认延期和后续安排</v>
      </c>
      <c r="K581" s="8"/>
      <c r="L581" t="s">
        <v>67</v>
      </c>
    </row>
    <row r="582" spans="1:12">
      <c r="B582" s="6" t="str">
        <f>项目总控台账!A54</f>
        <v>T051</v>
      </c>
      <c r="C582" s="6" t="str">
        <f>IF(AND(项目总控台账!E54&lt;&gt;"",项目总控台账!E54&lt;&gt;"/"),项目总控台账!E54,IF(AND(项目总控台账!D54&lt;&gt;"",项目总控台账!D54&lt;&gt;"/"),项目总控台账!D54,项目总控台账!C54))</f>
        <v>根据船舶清单更新第三方系统推送数据船舶清单</v>
      </c>
      <c r="D582" s="6" t="str">
        <f>项目总控台账!F54</f>
        <v>第一批次</v>
      </c>
      <c r="E582" s="6" t="str">
        <f>项目总控台账!G54</f>
        <v>进行中</v>
      </c>
      <c r="F582" s="17">
        <f>项目总控台账!V54</f>
        <v>46209</v>
      </c>
      <c r="G582" s="17">
        <f>项目总控台账!W54</f>
        <v>46227</v>
      </c>
      <c r="H582" s="70">
        <v>4.5</v>
      </c>
      <c r="I582" s="6" t="str">
        <f>IF(H582="","待估算",IF(E582="已完成","已结束",IF(AND(ISNUMBER(F582),ISNUMBER(G582),F582&lt;=项目驾驶舱!$B$3,G582&gt;=项目驾驶舱!$B$3),"进行中","计划中")))</f>
        <v>计划中</v>
      </c>
      <c r="J582" s="6" t="str">
        <f>IF(I582="待估算",IF(OR(F582="/",G582="/",F582="",G582=""),"补充计划日期","补充投入工时"),IF(AND(G582&lt;项目驾驶舱!$B$3,E582&lt;&gt;"已完成"),"确认延期和后续安排","按计划跟踪"))</f>
        <v>确认延期和后续安排</v>
      </c>
      <c r="K582" s="8"/>
      <c r="L582" t="s">
        <v>67</v>
      </c>
    </row>
    <row r="583" spans="1:12">
      <c r="B583" s="6" t="str">
        <f>项目总控台账!A55</f>
        <v>T052</v>
      </c>
      <c r="C583" s="6" t="str">
        <f>IF(AND(项目总控台账!E55&lt;&gt;"",项目总控台账!E55&lt;&gt;"/"),项目总控台账!E55,IF(AND(项目总控台账!D55&lt;&gt;"",项目总控台账!D55&lt;&gt;"/"),项目总控台账!D55,项目总控台账!C55))</f>
        <v>船舶轨迹跟踪</v>
      </c>
      <c r="D583" s="6" t="str">
        <f>项目总控台账!F55</f>
        <v>第一批次</v>
      </c>
      <c r="E583" s="6" t="str">
        <f>项目总控台账!G55</f>
        <v>进行中</v>
      </c>
      <c r="F583" s="17">
        <f>项目总控台账!V55</f>
        <v>46209</v>
      </c>
      <c r="G583" s="17">
        <f>项目总控台账!W55</f>
        <v>46227</v>
      </c>
      <c r="H583" s="70">
        <v>4.5</v>
      </c>
      <c r="I583" s="6" t="str">
        <f>IF(H583="","待估算",IF(E583="已完成","已结束",IF(AND(ISNUMBER(F583),ISNUMBER(G583),F583&lt;=项目驾驶舱!$B$3,G583&gt;=项目驾驶舱!$B$3),"进行中","计划中")))</f>
        <v>计划中</v>
      </c>
      <c r="J583" s="6" t="str">
        <f>IF(I583="待估算",IF(OR(F583="/",G583="/",F583="",G583=""),"补充计划日期","补充投入工时"),IF(AND(G583&lt;项目驾驶舱!$B$3,E583&lt;&gt;"已完成"),"确认延期和后续安排","按计划跟踪"))</f>
        <v>确认延期和后续安排</v>
      </c>
      <c r="K583" s="8"/>
      <c r="L583" t="s">
        <v>67</v>
      </c>
    </row>
    <row r="584" spans="1:12">
      <c r="B584" s="6" t="str">
        <f>项目总控台账!A63</f>
        <v>T060</v>
      </c>
      <c r="C584" s="6" t="str">
        <f>IF(AND(项目总控台账!E63&lt;&gt;"",项目总控台账!E63&lt;&gt;"/"),项目总控台账!E63,IF(AND(项目总控台账!D63&lt;&gt;"",项目总控台账!D63&lt;&gt;"/"),项目总控台账!D63,项目总控台账!C63))</f>
        <v>货权录入</v>
      </c>
      <c r="D584" s="6" t="str">
        <f>项目总控台账!F63</f>
        <v>第一批次</v>
      </c>
      <c r="E584" s="6" t="str">
        <f>项目总控台账!G63</f>
        <v>已完成</v>
      </c>
      <c r="F584" s="17">
        <f>项目总控台账!V63</f>
        <v>46209</v>
      </c>
      <c r="G584" s="17">
        <f>项目总控台账!W63</f>
        <v>46227</v>
      </c>
      <c r="H584" s="70">
        <v>4</v>
      </c>
      <c r="I584" s="6" t="str">
        <f>IF(H584="","待估算",IF(E584="已完成","已结束",IF(AND(ISNUMBER(F584),ISNUMBER(G584),F584&lt;=项目驾驶舱!$B$3,G584&gt;=项目驾驶舱!$B$3),"进行中","计划中")))</f>
        <v>已结束</v>
      </c>
      <c r="J584" s="6" t="str">
        <f>IF(I584="待估算",IF(OR(F584="/",G584="/",F584="",G584=""),"补充计划日期","补充投入工时"),IF(AND(G584&lt;项目驾驶舱!$B$3,E584&lt;&gt;"已完成"),"确认延期和后续安排","按计划跟踪"))</f>
        <v>按计划跟踪</v>
      </c>
      <c r="K584" s="8"/>
      <c r="L584" t="s">
        <v>67</v>
      </c>
    </row>
    <row r="585" spans="1:12">
      <c r="B585" s="6" t="str">
        <f>项目总控台账!A64</f>
        <v>T061</v>
      </c>
      <c r="C585" s="6" t="str">
        <f>IF(AND(项目总控台账!E64&lt;&gt;"",项目总控台账!E64&lt;&gt;"/"),项目总控台账!E64,IF(AND(项目总控台账!D64&lt;&gt;"",项目总控台账!D64&lt;&gt;"/"),项目总控台账!D64,项目总控台账!C64))</f>
        <v>货权修改</v>
      </c>
      <c r="D585" s="6" t="str">
        <f>项目总控台账!F64</f>
        <v>第一批次</v>
      </c>
      <c r="E585" s="6" t="str">
        <f>项目总控台账!G64</f>
        <v>已完成</v>
      </c>
      <c r="F585" s="17">
        <f>项目总控台账!V64</f>
        <v>46209</v>
      </c>
      <c r="G585" s="17">
        <f>项目总控台账!W64</f>
        <v>46227</v>
      </c>
      <c r="H585" s="70">
        <v>4</v>
      </c>
      <c r="I585" s="6" t="str">
        <f>IF(H585="","待估算",IF(E585="已完成","已结束",IF(AND(ISNUMBER(F585),ISNUMBER(G585),F585&lt;=项目驾驶舱!$B$3,G585&gt;=项目驾驶舱!$B$3),"进行中","计划中")))</f>
        <v>已结束</v>
      </c>
      <c r="J585" s="6" t="str">
        <f>IF(I585="待估算",IF(OR(F585="/",G585="/",F585="",G585=""),"补充计划日期","补充投入工时"),IF(AND(G585&lt;项目驾驶舱!$B$3,E585&lt;&gt;"已完成"),"确认延期和后续安排","按计划跟踪"))</f>
        <v>按计划跟踪</v>
      </c>
      <c r="K585" s="8"/>
      <c r="L585" t="s">
        <v>67</v>
      </c>
    </row>
    <row r="586" spans="1:12">
      <c r="B586" s="6" t="str">
        <f>项目总控台账!A65</f>
        <v>T062</v>
      </c>
      <c r="C586" s="6" t="str">
        <f>IF(AND(项目总控台账!E65&lt;&gt;"",项目总控台账!E65&lt;&gt;"/"),项目总控台账!E65,IF(AND(项目总控台账!D65&lt;&gt;"",项目总控台账!D65&lt;&gt;"/"),项目总控台账!D65,项目总控台账!C65))</f>
        <v>获取查询</v>
      </c>
      <c r="D586" s="6" t="str">
        <f>项目总控台账!F65</f>
        <v>第一批次</v>
      </c>
      <c r="E586" s="6" t="str">
        <f>项目总控台账!G65</f>
        <v>已完成</v>
      </c>
      <c r="F586" s="17">
        <f>项目总控台账!V65</f>
        <v>46209</v>
      </c>
      <c r="G586" s="17">
        <f>项目总控台账!W65</f>
        <v>46227</v>
      </c>
      <c r="H586" s="70">
        <v>4</v>
      </c>
      <c r="I586" s="6" t="str">
        <f>IF(H586="","待估算",IF(E586="已完成","已结束",IF(AND(ISNUMBER(F586),ISNUMBER(G586),F586&lt;=项目驾驶舱!$B$3,G586&gt;=项目驾驶舱!$B$3),"进行中","计划中")))</f>
        <v>已结束</v>
      </c>
      <c r="J586" s="6" t="str">
        <f>IF(I586="待估算",IF(OR(F586="/",G586="/",F586="",G586=""),"补充计划日期","补充投入工时"),IF(AND(G586&lt;项目驾驶舱!$B$3,E586&lt;&gt;"已完成"),"确认延期和后续安排","按计划跟踪"))</f>
        <v>按计划跟踪</v>
      </c>
      <c r="K586" s="8"/>
      <c r="L586" t="s">
        <v>67</v>
      </c>
    </row>
    <row r="587" spans="1:12">
      <c r="B587" s="6" t="str">
        <f>项目总控台账!A66</f>
        <v>T063</v>
      </c>
      <c r="C587" s="6" t="str">
        <f>IF(AND(项目总控台账!E66&lt;&gt;"",项目总控台账!E66&lt;&gt;"/"),项目总控台账!E66,IF(AND(项目总控台账!D66&lt;&gt;"",项目总控台账!D66&lt;&gt;"/"),项目总控台账!D66,项目总控台账!C66))</f>
        <v>卸船作业货权跟踪</v>
      </c>
      <c r="D587" s="6" t="str">
        <f>项目总控台账!F66</f>
        <v>第一批次</v>
      </c>
      <c r="E587" s="6" t="str">
        <f>项目总控台账!G66</f>
        <v>已完成</v>
      </c>
      <c r="F587" s="17">
        <f>项目总控台账!V66</f>
        <v>46209</v>
      </c>
      <c r="G587" s="17">
        <f>项目总控台账!W66</f>
        <v>46227</v>
      </c>
      <c r="H587" s="70">
        <v>4</v>
      </c>
      <c r="I587" s="6" t="str">
        <f>IF(H587="","待估算",IF(E587="已完成","已结束",IF(AND(ISNUMBER(F587),ISNUMBER(G587),F587&lt;=项目驾驶舱!$B$3,G587&gt;=项目驾驶舱!$B$3),"进行中","计划中")))</f>
        <v>已结束</v>
      </c>
      <c r="J587" s="6" t="str">
        <f>IF(I587="待估算",IF(OR(F587="/",G587="/",F587="",G587=""),"补充计划日期","补充投入工时"),IF(AND(G587&lt;项目驾驶舱!$B$3,E587&lt;&gt;"已完成"),"确认延期和后续安排","按计划跟踪"))</f>
        <v>按计划跟踪</v>
      </c>
      <c r="K587" s="8"/>
      <c r="L587" t="s">
        <v>67</v>
      </c>
    </row>
    <row r="588" spans="1:12">
      <c r="B588" s="6" t="str">
        <f>项目总控台账!A67</f>
        <v>T064</v>
      </c>
      <c r="C588" s="6" t="str">
        <f>IF(AND(项目总控台账!E67&lt;&gt;"",项目总控台账!E67&lt;&gt;"/"),项目总控台账!E67,IF(AND(项目总控台账!D67&lt;&gt;"",项目总控台账!D67&lt;&gt;"/"),项目总控台账!D67,项目总控台账!C67))</f>
        <v>卸船作业货权跟踪</v>
      </c>
      <c r="D588" s="6" t="str">
        <f>项目总控台账!F67</f>
        <v>第一批次</v>
      </c>
      <c r="E588" s="6" t="str">
        <f>项目总控台账!G67</f>
        <v>已完成</v>
      </c>
      <c r="F588" s="17">
        <f>项目总控台账!V67</f>
        <v>46209</v>
      </c>
      <c r="G588" s="17">
        <f>项目总控台账!W67</f>
        <v>46227</v>
      </c>
      <c r="H588" s="70">
        <v>4</v>
      </c>
      <c r="I588" s="6" t="str">
        <f>IF(H588="","待估算",IF(E588="已完成","已结束",IF(AND(ISNUMBER(F588),ISNUMBER(G588),F588&lt;=项目驾驶舱!$B$3,G588&gt;=项目驾驶舱!$B$3),"进行中","计划中")))</f>
        <v>已结束</v>
      </c>
      <c r="J588" s="6" t="str">
        <f>IF(I588="待估算",IF(OR(F588="/",G588="/",F588="",G588=""),"补充计划日期","补充投入工时"),IF(AND(G588&lt;项目驾驶舱!$B$3,E588&lt;&gt;"已完成"),"确认延期和后续安排","按计划跟踪"))</f>
        <v>按计划跟踪</v>
      </c>
      <c r="K588" s="8"/>
      <c r="L588" t="s">
        <v>67</v>
      </c>
    </row>
    <row r="589" spans="1:12">
      <c r="B589" s="6" t="str">
        <f>项目总控台账!A68</f>
        <v>T065</v>
      </c>
      <c r="C589" s="6" t="str">
        <f>IF(AND(项目总控台账!E68&lt;&gt;"",项目总控台账!E68&lt;&gt;"/"),项目总控台账!E68,IF(AND(项目总控台账!D68&lt;&gt;"",项目总控台账!D68&lt;&gt;"/"),项目总控台账!D68,项目总控台账!C68))</f>
        <v>装船作业货权跟踪</v>
      </c>
      <c r="D589" s="6" t="str">
        <f>项目总控台账!F68</f>
        <v>第一批次</v>
      </c>
      <c r="E589" s="6" t="str">
        <f>项目总控台账!G68</f>
        <v>已完成</v>
      </c>
      <c r="F589" s="17">
        <f>项目总控台账!V68</f>
        <v>46209</v>
      </c>
      <c r="G589" s="17">
        <f>项目总控台账!W68</f>
        <v>46227</v>
      </c>
      <c r="H589" s="70">
        <v>4</v>
      </c>
      <c r="I589" s="6" t="str">
        <f>IF(H589="","待估算",IF(E589="已完成","已结束",IF(AND(ISNUMBER(F589),ISNUMBER(G589),F589&lt;=项目驾驶舱!$B$3,G589&gt;=项目驾驶舱!$B$3),"进行中","计划中")))</f>
        <v>已结束</v>
      </c>
      <c r="J589" s="6" t="str">
        <f>IF(I589="待估算",IF(OR(F589="/",G589="/",F589="",G589=""),"补充计划日期","补充投入工时"),IF(AND(G589&lt;项目驾驶舱!$B$3,E589&lt;&gt;"已完成"),"确认延期和后续安排","按计划跟踪"))</f>
        <v>按计划跟踪</v>
      </c>
      <c r="K589" s="8"/>
      <c r="L589" t="s">
        <v>67</v>
      </c>
    </row>
    <row r="590" spans="1:12">
      <c r="A590" s="71"/>
      <c r="B590" s="6" t="str">
        <f>项目总控台账!A69</f>
        <v>T066</v>
      </c>
      <c r="C590" s="6" t="str">
        <f>IF(AND(项目总控台账!E69&lt;&gt;"",项目总控台账!E69&lt;&gt;"/"),项目总控台账!E69,IF(AND(项目总控台账!D69&lt;&gt;"",项目总控台账!D69&lt;&gt;"/"),项目总控台账!D69,项目总控台账!C69))</f>
        <v>装船作业货权跟踪</v>
      </c>
      <c r="D590" s="6" t="str">
        <f>项目总控台账!F69</f>
        <v>第一批次</v>
      </c>
      <c r="E590" s="6" t="str">
        <f>项目总控台账!G69</f>
        <v>已完成</v>
      </c>
      <c r="F590" s="17">
        <f>项目总控台账!V69</f>
        <v>46209</v>
      </c>
      <c r="G590" s="17">
        <f>项目总控台账!W69</f>
        <v>46227</v>
      </c>
      <c r="H590" s="70">
        <v>4</v>
      </c>
      <c r="I590" s="6" t="str">
        <f>IF(H590="","待估算",IF(E590="已完成","已结束",IF(AND(ISNUMBER(F590),ISNUMBER(G590),F590&lt;=项目驾驶舱!$B$3,G590&gt;=项目驾驶舱!$B$3),"进行中","计划中")))</f>
        <v>已结束</v>
      </c>
      <c r="J590" s="6" t="str">
        <f>IF(I590="待估算",IF(OR(F590="/",G590="/",F590="",G590=""),"补充计划日期","补充投入工时"),IF(AND(G590&lt;项目驾驶舱!$B$3,E590&lt;&gt;"已完成"),"确认延期和后续安排","按计划跟踪"))</f>
        <v>按计划跟踪</v>
      </c>
      <c r="K590" s="8"/>
      <c r="L590" t="s">
        <v>67</v>
      </c>
    </row>
    <row r="591" spans="1:12">
      <c r="A591" s="72" t="s">
        <v>67</v>
      </c>
      <c r="B591" s="6" t="str">
        <f>项目总控台账!A70</f>
        <v>T067</v>
      </c>
      <c r="C591" s="6" t="str">
        <f>IF(AND(项目总控台账!E70&lt;&gt;"",项目总控台账!E70&lt;&gt;"/"),项目总控台账!E70,IF(AND(项目总控台账!D70&lt;&gt;"",项目总控台账!D70&lt;&gt;"/"),项目总控台账!D70,项目总控台账!C70))</f>
        <v>装船作业货权跟踪</v>
      </c>
      <c r="D591" s="6" t="str">
        <f>项目总控台账!F70</f>
        <v>第一批次</v>
      </c>
      <c r="E591" s="6" t="str">
        <f>项目总控台账!G70</f>
        <v>已完成</v>
      </c>
      <c r="F591" s="17">
        <f>项目总控台账!V70</f>
        <v>46209</v>
      </c>
      <c r="G591" s="17">
        <f>项目总控台账!W70</f>
        <v>46227</v>
      </c>
      <c r="H591" s="70">
        <v>4</v>
      </c>
      <c r="I591" s="6" t="str">
        <f>IF(H591="","待估算",IF(E591="已完成","已结束",IF(AND(ISNUMBER(F591),ISNUMBER(G591),F591&lt;=项目驾驶舱!$B$3,G591&gt;=项目驾驶舱!$B$3),"进行中","计划中")))</f>
        <v>已结束</v>
      </c>
      <c r="J591" s="6" t="str">
        <f>IF(I591="待估算",IF(OR(F591="/",G591="/",F591="",G591=""),"补充计划日期","补充投入工时"),IF(AND(G591&lt;项目驾驶舱!$B$3,E591&lt;&gt;"已完成"),"确认延期和后续安排","按计划跟踪"))</f>
        <v>按计划跟踪</v>
      </c>
      <c r="K591" s="8"/>
      <c r="L591" t="s">
        <v>67</v>
      </c>
    </row>
    <row r="592" spans="1:12">
      <c r="B592" s="6" t="str">
        <f>项目总控台账!A71</f>
        <v>T068</v>
      </c>
      <c r="C592" s="6" t="str">
        <f>IF(AND(项目总控台账!E71&lt;&gt;"",项目总控台账!E71&lt;&gt;"/"),项目总控台账!E71,IF(AND(项目总控台账!D71&lt;&gt;"",项目总控台账!D71&lt;&gt;"/"),项目总控台账!D71,项目总控台账!C71))</f>
        <v>装船作业货权跟踪</v>
      </c>
      <c r="D592" s="6" t="str">
        <f>项目总控台账!F71</f>
        <v>第一批次</v>
      </c>
      <c r="E592" s="6" t="str">
        <f>项目总控台账!G71</f>
        <v>已完成</v>
      </c>
      <c r="F592" s="17">
        <f>项目总控台账!V71</f>
        <v>46209</v>
      </c>
      <c r="G592" s="17">
        <f>项目总控台账!W71</f>
        <v>46227</v>
      </c>
      <c r="H592" s="70">
        <v>4</v>
      </c>
      <c r="I592" s="6" t="str">
        <f>IF(H592="","待估算",IF(E592="已完成","已结束",IF(AND(ISNUMBER(F592),ISNUMBER(G592),F592&lt;=项目驾驶舱!$B$3,G592&gt;=项目驾驶舱!$B$3),"进行中","计划中")))</f>
        <v>已结束</v>
      </c>
      <c r="J592" s="6" t="str">
        <f>IF(I592="待估算",IF(OR(F592="/",G592="/",F592="",G592=""),"补充计划日期","补充投入工时"),IF(AND(G592&lt;项目驾驶舱!$B$3,E592&lt;&gt;"已完成"),"确认延期和后续安排","按计划跟踪"))</f>
        <v>按计划跟踪</v>
      </c>
      <c r="K592" s="8"/>
      <c r="L592" t="s">
        <v>67</v>
      </c>
    </row>
    <row r="593" spans="1:12">
      <c r="B593" s="6" t="str">
        <f>项目总控台账!A75</f>
        <v>T072</v>
      </c>
      <c r="C593" s="6" t="str">
        <f>IF(AND(项目总控台账!E75&lt;&gt;"",项目总控台账!E75&lt;&gt;"/"),项目总控台账!E75,IF(AND(项目总控台账!D75&lt;&gt;"",项目总控台账!D75&lt;&gt;"/"),项目总控台账!D75,项目总控台账!C75))</f>
        <v>OCR识别</v>
      </c>
      <c r="D593" s="6" t="str">
        <f>项目总控台账!F75</f>
        <v>第一批次</v>
      </c>
      <c r="E593" s="6" t="str">
        <f>项目总控台账!G75</f>
        <v>已完成</v>
      </c>
      <c r="F593" s="17">
        <f>项目总控台账!V75</f>
        <v>46209</v>
      </c>
      <c r="G593" s="17">
        <f>项目总控台账!W75</f>
        <v>46225</v>
      </c>
      <c r="H593" s="70">
        <v>4</v>
      </c>
      <c r="I593" s="6" t="str">
        <f>IF(H593="","待估算",IF(E593="已完成","已结束",IF(AND(ISNUMBER(F593),ISNUMBER(G593),F593&lt;=项目驾驶舱!$B$3,G593&gt;=项目驾驶舱!$B$3),"进行中","计划中")))</f>
        <v>已结束</v>
      </c>
      <c r="J593" s="6" t="str">
        <f>IF(I593="待估算",IF(OR(F593="/",G593="/",F593="",G593=""),"补充计划日期","补充投入工时"),IF(AND(G593&lt;项目驾驶舱!$B$3,E593&lt;&gt;"已完成"),"确认延期和后续安排","按计划跟踪"))</f>
        <v>按计划跟踪</v>
      </c>
      <c r="K593" s="8"/>
      <c r="L593" t="s">
        <v>67</v>
      </c>
    </row>
    <row r="594" spans="1:12">
      <c r="B594" s="6" t="str">
        <f>项目总控台账!A99</f>
        <v>T096</v>
      </c>
      <c r="C594" s="6" t="str">
        <f>IF(AND(项目总控台账!E99&lt;&gt;"",项目总控台账!E99&lt;&gt;"/"),项目总控台账!E99,IF(AND(项目总控台账!D99&lt;&gt;"",项目总控台账!D99&lt;&gt;"/"),项目总控台账!D99,项目总控台账!C99))</f>
        <v>自动生成装船港杂费</v>
      </c>
      <c r="D594" s="6" t="str">
        <f>项目总控台账!F99</f>
        <v>第一批次</v>
      </c>
      <c r="E594" s="6" t="str">
        <f>项目总控台账!G99</f>
        <v>已完成</v>
      </c>
      <c r="F594" s="17">
        <f>项目总控台账!V99</f>
        <v>46209</v>
      </c>
      <c r="G594" s="17">
        <f>项目总控台账!W99</f>
        <v>46225</v>
      </c>
      <c r="H594" s="70">
        <v>4</v>
      </c>
      <c r="I594" s="6" t="str">
        <f>IF(H594="","待估算",IF(E594="已完成","已结束",IF(AND(ISNUMBER(F594),ISNUMBER(G594),F594&lt;=项目驾驶舱!$B$3,G594&gt;=项目驾驶舱!$B$3),"进行中","计划中")))</f>
        <v>已结束</v>
      </c>
      <c r="J594" s="6" t="str">
        <f>IF(I594="待估算",IF(OR(F594="/",G594="/",F594="",G594=""),"补充计划日期","补充投入工时"),IF(AND(G594&lt;项目驾驶舱!$B$3,E594&lt;&gt;"已完成"),"确认延期和后续安排","按计划跟踪"))</f>
        <v>按计划跟踪</v>
      </c>
      <c r="K594" s="8"/>
      <c r="L594" t="s">
        <v>67</v>
      </c>
    </row>
    <row r="595" spans="1:12">
      <c r="B595" s="6" t="str">
        <f>项目总控台账!A76</f>
        <v>T073</v>
      </c>
      <c r="C595" s="6" t="str">
        <f>IF(AND(项目总控台账!E76&lt;&gt;"",项目总控台账!E76&lt;&gt;"/"),项目总控台账!E76,IF(AND(项目总控台账!D76&lt;&gt;"",项目总控台账!D76&lt;&gt;"/"),项目总控台账!D76,项目总控台账!C76))</f>
        <v>采样作业信息录入新增</v>
      </c>
      <c r="D595" s="6" t="str">
        <f>项目总控台账!F76</f>
        <v>第一批次</v>
      </c>
      <c r="E595" s="6" t="str">
        <f>项目总控台账!G76</f>
        <v>已完成</v>
      </c>
      <c r="F595" s="17">
        <f>项目总控台账!V76</f>
        <v>46227</v>
      </c>
      <c r="G595" s="17">
        <f>项目总控台账!W76</f>
        <v>46227</v>
      </c>
      <c r="H595" s="70">
        <v>1</v>
      </c>
      <c r="I595" s="6" t="str">
        <f>IF(H595="","待估算",IF(E595="已完成","已结束",IF(AND(ISNUMBER(F595),ISNUMBER(G595),F595&lt;=项目驾驶舱!$B$3,G595&gt;=项目驾驶舱!$B$3),"进行中","计划中")))</f>
        <v>已结束</v>
      </c>
      <c r="J595" s="6" t="str">
        <f>IF(I595="待估算",IF(OR(F595="/",G595="/",F595="",G595=""),"补充计划日期","补充投入工时"),IF(AND(G595&lt;项目驾驶舱!$B$3,E595&lt;&gt;"已完成"),"确认延期和后续安排","按计划跟踪"))</f>
        <v>按计划跟踪</v>
      </c>
      <c r="K595" s="8"/>
      <c r="L595" t="s">
        <v>67</v>
      </c>
    </row>
    <row r="596" spans="1:12">
      <c r="B596" s="6" t="str">
        <f>项目总控台账!A77</f>
        <v>T074</v>
      </c>
      <c r="C596" s="6" t="str">
        <f>IF(AND(项目总控台账!E77&lt;&gt;"",项目总控台账!E77&lt;&gt;"/"),项目总控台账!E77,IF(AND(项目总控台账!D77&lt;&gt;"",项目总控台账!D77&lt;&gt;"/"),项目总控台账!D77,项目总控台账!C77))</f>
        <v>采样作业信息录入编辑</v>
      </c>
      <c r="D596" s="6" t="str">
        <f>项目总控台账!F77</f>
        <v>第一批次</v>
      </c>
      <c r="E596" s="6" t="str">
        <f>项目总控台账!G77</f>
        <v>已完成</v>
      </c>
      <c r="F596" s="17">
        <f>项目总控台账!V77</f>
        <v>46227</v>
      </c>
      <c r="G596" s="17">
        <f>项目总控台账!W77</f>
        <v>46227</v>
      </c>
      <c r="H596" s="70">
        <v>1</v>
      </c>
      <c r="I596" s="6" t="str">
        <f>IF(H596="","待估算",IF(E596="已完成","已结束",IF(AND(ISNUMBER(F596),ISNUMBER(G596),F596&lt;=项目驾驶舱!$B$3,G596&gt;=项目驾驶舱!$B$3),"进行中","计划中")))</f>
        <v>已结束</v>
      </c>
      <c r="J596" s="6" t="str">
        <f>IF(I596="待估算",IF(OR(F596="/",G596="/",F596="",G596=""),"补充计划日期","补充投入工时"),IF(AND(G596&lt;项目驾驶舱!$B$3,E596&lt;&gt;"已完成"),"确认延期和后续安排","按计划跟踪"))</f>
        <v>按计划跟踪</v>
      </c>
      <c r="K596" s="8"/>
      <c r="L596" t="s">
        <v>67</v>
      </c>
    </row>
    <row r="597" spans="1:12">
      <c r="B597" s="6" t="str">
        <f>项目总控台账!A78</f>
        <v>T075</v>
      </c>
      <c r="C597" s="6" t="str">
        <f>IF(AND(项目总控台账!E78&lt;&gt;"",项目总控台账!E78&lt;&gt;"/"),项目总控台账!E78,IF(AND(项目总控台账!D78&lt;&gt;"",项目总控台账!D78&lt;&gt;"/"),项目总控台账!D78,项目总控台账!C78))</f>
        <v>采样作业信息录入详情</v>
      </c>
      <c r="D597" s="6" t="str">
        <f>项目总控台账!F78</f>
        <v>第一批次</v>
      </c>
      <c r="E597" s="6" t="str">
        <f>项目总控台账!G78</f>
        <v>已完成</v>
      </c>
      <c r="F597" s="17">
        <f>项目总控台账!V78</f>
        <v>46227</v>
      </c>
      <c r="G597" s="17">
        <f>项目总控台账!W78</f>
        <v>46227</v>
      </c>
      <c r="H597" s="70">
        <v>1</v>
      </c>
      <c r="I597" s="6" t="str">
        <f>IF(H597="","待估算",IF(E597="已完成","已结束",IF(AND(ISNUMBER(F597),ISNUMBER(G597),F597&lt;=项目驾驶舱!$B$3,G597&gt;=项目驾驶舱!$B$3),"进行中","计划中")))</f>
        <v>已结束</v>
      </c>
      <c r="J597" s="6" t="str">
        <f>IF(I597="待估算",IF(OR(F597="/",G597="/",F597="",G597=""),"补充计划日期","补充投入工时"),IF(AND(G597&lt;项目驾驶舱!$B$3,E597&lt;&gt;"已完成"),"确认延期和后续安排","按计划跟踪"))</f>
        <v>按计划跟踪</v>
      </c>
      <c r="K597" s="8"/>
      <c r="L597" t="s">
        <v>67</v>
      </c>
    </row>
    <row r="598" spans="1:12">
      <c r="B598" s="6" t="str">
        <f>项目总控台账!A79</f>
        <v>T076</v>
      </c>
      <c r="C598" s="6" t="str">
        <f>IF(AND(项目总控台账!E79&lt;&gt;"",项目总控台账!E79&lt;&gt;"/"),项目总控台账!E79,IF(AND(项目总控台账!D79&lt;&gt;"",项目总控台账!D79&lt;&gt;"/"),项目总控台账!D79,项目总控台账!C79))</f>
        <v>采样作业信息录入删除</v>
      </c>
      <c r="D598" s="6" t="str">
        <f>项目总控台账!F79</f>
        <v>第一批次</v>
      </c>
      <c r="E598" s="6" t="str">
        <f>项目总控台账!G79</f>
        <v>已完成</v>
      </c>
      <c r="F598" s="17">
        <f>项目总控台账!V79</f>
        <v>46227</v>
      </c>
      <c r="G598" s="17">
        <f>项目总控台账!W79</f>
        <v>46227</v>
      </c>
      <c r="H598" s="70">
        <v>1</v>
      </c>
      <c r="I598" s="6" t="str">
        <f>IF(H598="","待估算",IF(E598="已完成","已结束",IF(AND(ISNUMBER(F598),ISNUMBER(G598),F598&lt;=项目驾驶舱!$B$3,G598&gt;=项目驾驶舱!$B$3),"进行中","计划中")))</f>
        <v>已结束</v>
      </c>
      <c r="J598" s="6" t="str">
        <f>IF(I598="待估算",IF(OR(F598="/",G598="/",F598="",G598=""),"补充计划日期","补充投入工时"),IF(AND(G598&lt;项目驾驶舱!$B$3,E598&lt;&gt;"已完成"),"确认延期和后续安排","按计划跟踪"))</f>
        <v>按计划跟踪</v>
      </c>
      <c r="K598" s="8"/>
      <c r="L598" t="s">
        <v>67</v>
      </c>
    </row>
    <row r="599" spans="1:12">
      <c r="B599" s="6" t="str">
        <f>项目总控台账!A80</f>
        <v>T077</v>
      </c>
      <c r="C599" s="6" t="str">
        <f>IF(AND(项目总控台账!E80&lt;&gt;"",项目总控台账!E80&lt;&gt;"/"),项目总控台账!E80,IF(AND(项目总控台账!D80&lt;&gt;"",项目总控台账!D80&lt;&gt;"/"),项目总控台账!D80,项目总控台账!C80))</f>
        <v>采样作业信息录入列表</v>
      </c>
      <c r="D599" s="6" t="str">
        <f>项目总控台账!F80</f>
        <v>第一批次</v>
      </c>
      <c r="E599" s="6" t="str">
        <f>项目总控台账!G80</f>
        <v>已完成</v>
      </c>
      <c r="F599" s="17">
        <f>项目总控台账!V80</f>
        <v>46227</v>
      </c>
      <c r="G599" s="17">
        <f>项目总控台账!W80</f>
        <v>46227</v>
      </c>
      <c r="H599" s="70">
        <v>1</v>
      </c>
      <c r="I599" s="6" t="str">
        <f>IF(H599="","待估算",IF(E599="已完成","已结束",IF(AND(ISNUMBER(F599),ISNUMBER(G599),F599&lt;=项目驾驶舱!$B$3,G599&gt;=项目驾驶舱!$B$3),"进行中","计划中")))</f>
        <v>已结束</v>
      </c>
      <c r="J599" s="6" t="str">
        <f>IF(I599="待估算",IF(OR(F599="/",G599="/",F599="",G599=""),"补充计划日期","补充投入工时"),IF(AND(G599&lt;项目驾驶舱!$B$3,E599&lt;&gt;"已完成"),"确认延期和后续安排","按计划跟踪"))</f>
        <v>按计划跟踪</v>
      </c>
      <c r="K599" s="8"/>
      <c r="L599" t="s">
        <v>67</v>
      </c>
    </row>
    <row r="600" spans="1:12">
      <c r="B600" s="6" t="str">
        <f>项目总控台账!A100</f>
        <v>T097</v>
      </c>
      <c r="C600" s="6" t="str">
        <f>IF(AND(项目总控台账!E100&lt;&gt;"",项目总控台账!E100&lt;&gt;"/"),项目总控台账!E100,IF(AND(项目总控台账!D100&lt;&gt;"",项目总控台账!D100&lt;&gt;"/"),项目总控台账!D100,项目总控台账!C100))</f>
        <v>自动生成租赁费</v>
      </c>
      <c r="D600" s="6" t="str">
        <f>项目总控台账!F100</f>
        <v>第一批次</v>
      </c>
      <c r="E600" s="6" t="str">
        <f>项目总控台账!G100</f>
        <v>已完成</v>
      </c>
      <c r="F600" s="17">
        <f>项目总控台账!V100</f>
        <v>46227</v>
      </c>
      <c r="G600" s="17">
        <f>项目总控台账!W100</f>
        <v>46227</v>
      </c>
      <c r="H600" s="70">
        <v>1</v>
      </c>
      <c r="I600" s="6" t="str">
        <f>IF(H600="","待估算",IF(E600="已完成","已结束",IF(AND(ISNUMBER(F600),ISNUMBER(G600),F600&lt;=项目驾驶舱!$B$3,G600&gt;=项目驾驶舱!$B$3),"进行中","计划中")))</f>
        <v>已结束</v>
      </c>
      <c r="J600" s="6" t="str">
        <f>IF(I600="待估算",IF(OR(F600="/",G600="/",F600="",G600=""),"补充计划日期","补充投入工时"),IF(AND(G600&lt;项目驾驶舱!$B$3,E600&lt;&gt;"已完成"),"确认延期和后续安排","按计划跟踪"))</f>
        <v>按计划跟踪</v>
      </c>
      <c r="K600" s="8"/>
      <c r="L600" t="s">
        <v>67</v>
      </c>
    </row>
    <row r="601" spans="1:12">
      <c r="B601" s="6" t="str">
        <f>项目总控台账!A101</f>
        <v>T098</v>
      </c>
      <c r="C601" s="6" t="str">
        <f>IF(AND(项目总控台账!E101&lt;&gt;"",项目总控台账!E101&lt;&gt;"/"),项目总控台账!E101,IF(AND(项目总控台账!D101&lt;&gt;"",项目总控台账!D101&lt;&gt;"/"),项目总控台账!D101,项目总控台账!C101))</f>
        <v>优化装卸费新增</v>
      </c>
      <c r="D601" s="6" t="str">
        <f>项目总控台账!F101</f>
        <v>第一批次</v>
      </c>
      <c r="E601" s="6" t="str">
        <f>项目总控台账!G101</f>
        <v>已完成</v>
      </c>
      <c r="F601" s="17">
        <f>项目总控台账!V101</f>
        <v>46227</v>
      </c>
      <c r="G601" s="17">
        <f>项目总控台账!W101</f>
        <v>46227</v>
      </c>
      <c r="H601" s="70">
        <v>1</v>
      </c>
      <c r="I601" s="6" t="str">
        <f>IF(H601="","待估算",IF(E601="已完成","已结束",IF(AND(ISNUMBER(F601),ISNUMBER(G601),F601&lt;=项目驾驶舱!$B$3,G601&gt;=项目驾驶舱!$B$3),"进行中","计划中")))</f>
        <v>已结束</v>
      </c>
      <c r="J601" s="6" t="str">
        <f>IF(I601="待估算",IF(OR(F601="/",G601="/",F601="",G601=""),"补充计划日期","补充投入工时"),IF(AND(G601&lt;项目驾驶舱!$B$3,E601&lt;&gt;"已完成"),"确认延期和后续安排","按计划跟踪"))</f>
        <v>按计划跟踪</v>
      </c>
      <c r="K601" s="8"/>
      <c r="L601" t="s">
        <v>67</v>
      </c>
    </row>
    <row r="602" spans="1:12">
      <c r="A602" s="71"/>
      <c r="B602" s="6" t="str">
        <f>项目总控台账!A102</f>
        <v>T099</v>
      </c>
      <c r="C602" s="6" t="str">
        <f>IF(AND(项目总控台账!E102&lt;&gt;"",项目总控台账!E102&lt;&gt;"/"),项目总控台账!E102,IF(AND(项目总控台账!D102&lt;&gt;"",项目总控台账!D102&lt;&gt;"/"),项目总控台账!D102,项目总控台账!C102))</f>
        <v>优化装卸费编辑</v>
      </c>
      <c r="D602" s="6" t="str">
        <f>项目总控台账!F102</f>
        <v>第一批次</v>
      </c>
      <c r="E602" s="6" t="str">
        <f>项目总控台账!G102</f>
        <v>已完成</v>
      </c>
      <c r="F602" s="17">
        <f>项目总控台账!V102</f>
        <v>46227</v>
      </c>
      <c r="G602" s="17">
        <f>项目总控台账!W102</f>
        <v>46227</v>
      </c>
      <c r="H602" s="70">
        <v>1</v>
      </c>
      <c r="I602" s="6" t="str">
        <f>IF(H602="","待估算",IF(E602="已完成","已结束",IF(AND(ISNUMBER(F602),ISNUMBER(G602),F602&lt;=项目驾驶舱!$B$3,G602&gt;=项目驾驶舱!$B$3),"进行中","计划中")))</f>
        <v>已结束</v>
      </c>
      <c r="J602" s="6" t="str">
        <f>IF(I602="待估算",IF(OR(F602="/",G602="/",F602="",G602=""),"补充计划日期","补充投入工时"),IF(AND(G602&lt;项目驾驶舱!$B$3,E602&lt;&gt;"已完成"),"确认延期和后续安排","按计划跟踪"))</f>
        <v>按计划跟踪</v>
      </c>
      <c r="K602" s="8"/>
      <c r="L602" t="s">
        <v>67</v>
      </c>
    </row>
    <row r="603" spans="1:12">
      <c r="A603" s="72" t="s">
        <v>67</v>
      </c>
      <c r="B603" s="6" t="str">
        <f>项目总控台账!A40</f>
        <v>T037</v>
      </c>
      <c r="C603" s="6" t="str">
        <f>IF(AND(项目总控台账!E40&lt;&gt;"",项目总控台账!E40&lt;&gt;"/"),项目总控台账!E40,IF(AND(项目总控台账!D40&lt;&gt;"",项目总控台账!D40&lt;&gt;"/"),项目总控台账!D40,项目总控台账!C40))</f>
        <v>创建卸车流程</v>
      </c>
      <c r="D603" s="6" t="str">
        <f>项目总控台账!F40</f>
        <v>第一批次</v>
      </c>
      <c r="E603" s="6" t="str">
        <f>项目总控台账!G40</f>
        <v>已完成</v>
      </c>
      <c r="F603" s="17">
        <f>项目总控台账!V40</f>
        <v>46230</v>
      </c>
      <c r="G603" s="17">
        <f>项目总控台账!W40</f>
        <v>46262</v>
      </c>
      <c r="H603" s="70">
        <v>9.5</v>
      </c>
      <c r="I603" s="6" t="str">
        <f>IF(H603="","待估算",IF(E603="已完成","已结束",IF(AND(ISNUMBER(F603),ISNUMBER(G603),F603&lt;=项目驾驶舱!$B$3,G603&gt;=项目驾驶舱!$B$3),"进行中","计划中")))</f>
        <v>已结束</v>
      </c>
      <c r="J603" s="6" t="str">
        <f>IF(I603="待估算",IF(OR(F603="/",G603="/",F603="",G603=""),"补充计划日期","补充投入工时"),IF(AND(G603&lt;项目驾驶舱!$B$3,E603&lt;&gt;"已完成"),"确认延期和后续安排","按计划跟踪"))</f>
        <v>按计划跟踪</v>
      </c>
      <c r="K603" s="8"/>
      <c r="L603" t="s">
        <v>67</v>
      </c>
    </row>
    <row r="604" spans="1:12">
      <c r="B604" s="6" t="str">
        <f>项目总控台账!A41</f>
        <v>T038</v>
      </c>
      <c r="C604" s="6" t="str">
        <f>IF(AND(项目总控台账!E41&lt;&gt;"",项目总控台账!E41&lt;&gt;"/"),项目总控台账!E41,IF(AND(项目总控台账!D41&lt;&gt;"",项目总控台账!D41&lt;&gt;"/"),项目总控台账!D41,项目总控台账!C41))</f>
        <v>查询卸车流程</v>
      </c>
      <c r="D604" s="6" t="str">
        <f>项目总控台账!F41</f>
        <v>第一批次</v>
      </c>
      <c r="E604" s="6" t="str">
        <f>项目总控台账!G41</f>
        <v>已完成</v>
      </c>
      <c r="F604" s="17">
        <f>项目总控台账!V41</f>
        <v>46230</v>
      </c>
      <c r="G604" s="17">
        <f>项目总控台账!W41</f>
        <v>46262</v>
      </c>
      <c r="H604" s="70">
        <v>9.5</v>
      </c>
      <c r="I604" s="6" t="str">
        <f>IF(H604="","待估算",IF(E604="已完成","已结束",IF(AND(ISNUMBER(F604),ISNUMBER(G604),F604&lt;=项目驾驶舱!$B$3,G604&gt;=项目驾驶舱!$B$3),"进行中","计划中")))</f>
        <v>已结束</v>
      </c>
      <c r="J604" s="6" t="str">
        <f>IF(I604="待估算",IF(OR(F604="/",G604="/",F604="",G604=""),"补充计划日期","补充投入工时"),IF(AND(G604&lt;项目驾驶舱!$B$3,E604&lt;&gt;"已完成"),"确认延期和后续安排","按计划跟踪"))</f>
        <v>按计划跟踪</v>
      </c>
      <c r="K604" s="8"/>
      <c r="L604" t="s">
        <v>67</v>
      </c>
    </row>
    <row r="605" spans="1:12">
      <c r="B605" s="6" t="str">
        <f>项目总控台账!A42</f>
        <v>T039</v>
      </c>
      <c r="C605" s="6" t="str">
        <f>IF(AND(项目总控台账!E42&lt;&gt;"",项目总控台账!E42&lt;&gt;"/"),项目总控台账!E42,IF(AND(项目总控台账!D42&lt;&gt;"",项目总控台账!D42&lt;&gt;"/"),项目总控台账!D42,项目总控台账!C42))</f>
        <v>修改卸车流程</v>
      </c>
      <c r="D605" s="6" t="str">
        <f>项目总控台账!F42</f>
        <v>第一批次</v>
      </c>
      <c r="E605" s="6" t="str">
        <f>项目总控台账!G42</f>
        <v>已完成</v>
      </c>
      <c r="F605" s="17">
        <f>项目总控台账!V42</f>
        <v>46230</v>
      </c>
      <c r="G605" s="17">
        <f>项目总控台账!W42</f>
        <v>46262</v>
      </c>
      <c r="H605" s="70">
        <v>8.5</v>
      </c>
      <c r="I605" s="6" t="str">
        <f>IF(H605="","待估算",IF(E605="已完成","已结束",IF(AND(ISNUMBER(F605),ISNUMBER(G605),F605&lt;=项目驾驶舱!$B$3,G605&gt;=项目驾驶舱!$B$3),"进行中","计划中")))</f>
        <v>已结束</v>
      </c>
      <c r="J605" s="6" t="str">
        <f>IF(I605="待估算",IF(OR(F605="/",G605="/",F605="",G605=""),"补充计划日期","补充投入工时"),IF(AND(G605&lt;项目驾驶舱!$B$3,E605&lt;&gt;"已完成"),"确认延期和后续安排","按计划跟踪"))</f>
        <v>按计划跟踪</v>
      </c>
      <c r="K605" s="8"/>
      <c r="L605" t="s">
        <v>67</v>
      </c>
    </row>
    <row r="606" spans="1:12">
      <c r="B606" s="6" t="str">
        <f>项目总控台账!A43</f>
        <v>T040</v>
      </c>
      <c r="C606" s="6" t="str">
        <f>IF(AND(项目总控台账!E43&lt;&gt;"",项目总控台账!E43&lt;&gt;"/"),项目总控台账!E43,IF(AND(项目总控台账!D43&lt;&gt;"",项目总控台账!D43&lt;&gt;"/"),项目总控台账!D43,项目总控台账!C43))</f>
        <v>创建装船流程</v>
      </c>
      <c r="D606" s="6" t="str">
        <f>项目总控台账!F43</f>
        <v>第一批次</v>
      </c>
      <c r="E606" s="6" t="str">
        <f>项目总控台账!G43</f>
        <v>已完成</v>
      </c>
      <c r="F606" s="17">
        <f>项目总控台账!V43</f>
        <v>46230</v>
      </c>
      <c r="G606" s="17">
        <f>项目总控台账!W43</f>
        <v>46262</v>
      </c>
      <c r="H606" s="70">
        <v>8.5</v>
      </c>
      <c r="I606" s="6" t="str">
        <f>IF(H606="","待估算",IF(E606="已完成","已结束",IF(AND(ISNUMBER(F606),ISNUMBER(G606),F606&lt;=项目驾驶舱!$B$3,G606&gt;=项目驾驶舱!$B$3),"进行中","计划中")))</f>
        <v>已结束</v>
      </c>
      <c r="J606" s="6" t="str">
        <f>IF(I606="待估算",IF(OR(F606="/",G606="/",F606="",G606=""),"补充计划日期","补充投入工时"),IF(AND(G606&lt;项目驾驶舱!$B$3,E606&lt;&gt;"已完成"),"确认延期和后续安排","按计划跟踪"))</f>
        <v>按计划跟踪</v>
      </c>
      <c r="K606" s="8"/>
      <c r="L606" t="s">
        <v>67</v>
      </c>
    </row>
    <row r="607" spans="1:12">
      <c r="B607" s="6" t="str">
        <f>项目总控台账!A44</f>
        <v>T041</v>
      </c>
      <c r="C607" s="6" t="str">
        <f>IF(AND(项目总控台账!E44&lt;&gt;"",项目总控台账!E44&lt;&gt;"/"),项目总控台账!E44,IF(AND(项目总控台账!D44&lt;&gt;"",项目总控台账!D44&lt;&gt;"/"),项目总控台账!D44,项目总控台账!C44))</f>
        <v>查询装船流程</v>
      </c>
      <c r="D607" s="6" t="str">
        <f>项目总控台账!F44</f>
        <v>第一批次</v>
      </c>
      <c r="E607" s="6" t="str">
        <f>项目总控台账!G44</f>
        <v>已完成</v>
      </c>
      <c r="F607" s="17">
        <f>项目总控台账!V44</f>
        <v>46230</v>
      </c>
      <c r="G607" s="17">
        <f>项目总控台账!W44</f>
        <v>46262</v>
      </c>
      <c r="H607" s="70">
        <v>8.5</v>
      </c>
      <c r="I607" s="6" t="str">
        <f>IF(H607="","待估算",IF(E607="已完成","已结束",IF(AND(ISNUMBER(F607),ISNUMBER(G607),F607&lt;=项目驾驶舱!$B$3,G607&gt;=项目驾驶舱!$B$3),"进行中","计划中")))</f>
        <v>已结束</v>
      </c>
      <c r="J607" s="6" t="str">
        <f>IF(I607="待估算",IF(OR(F607="/",G607="/",F607="",G607=""),"补充计划日期","补充投入工时"),IF(AND(G607&lt;项目驾驶舱!$B$3,E607&lt;&gt;"已完成"),"确认延期和后续安排","按计划跟踪"))</f>
        <v>按计划跟踪</v>
      </c>
      <c r="K607" s="8"/>
      <c r="L607" t="s">
        <v>67</v>
      </c>
    </row>
    <row r="608" spans="1:12">
      <c r="B608" s="6" t="str">
        <f>项目总控台账!A45</f>
        <v>T042</v>
      </c>
      <c r="C608" s="6" t="str">
        <f>IF(AND(项目总控台账!E45&lt;&gt;"",项目总控台账!E45&lt;&gt;"/"),项目总控台账!E45,IF(AND(项目总控台账!D45&lt;&gt;"",项目总控台账!D45&lt;&gt;"/"),项目总控台账!D45,项目总控台账!C45))</f>
        <v>修改装船流程</v>
      </c>
      <c r="D608" s="6" t="str">
        <f>项目总控台账!F45</f>
        <v>第一批次</v>
      </c>
      <c r="E608" s="6" t="str">
        <f>项目总控台账!G45</f>
        <v>已完成</v>
      </c>
      <c r="F608" s="17">
        <f>项目总控台账!V45</f>
        <v>46230</v>
      </c>
      <c r="G608" s="17">
        <f>项目总控台账!W45</f>
        <v>46262</v>
      </c>
      <c r="H608" s="70">
        <v>8.5</v>
      </c>
      <c r="I608" s="6" t="str">
        <f>IF(H608="","待估算",IF(E608="已完成","已结束",IF(AND(ISNUMBER(F608),ISNUMBER(G608),F608&lt;=项目驾驶舱!$B$3,G608&gt;=项目驾驶舱!$B$3),"进行中","计划中")))</f>
        <v>已结束</v>
      </c>
      <c r="J608" s="6" t="str">
        <f>IF(I608="待估算",IF(OR(F608="/",G608="/",F608="",G608=""),"补充计划日期","补充投入工时"),IF(AND(G608&lt;项目驾驶舱!$B$3,E608&lt;&gt;"已完成"),"确认延期和后续安排","按计划跟踪"))</f>
        <v>按计划跟踪</v>
      </c>
      <c r="K608" s="8"/>
      <c r="L608" t="s">
        <v>67</v>
      </c>
    </row>
    <row r="609" spans="1:12">
      <c r="B609" s="6" t="str">
        <f>项目总控台账!A46</f>
        <v>T043</v>
      </c>
      <c r="C609" s="6" t="str">
        <f>IF(AND(项目总控台账!E46&lt;&gt;"",项目总控台账!E46&lt;&gt;"/"),项目总控台账!E46,IF(AND(项目总控台账!D46&lt;&gt;"",项目总控台账!D46&lt;&gt;"/"),项目总控台账!D46,项目总控台账!C46))</f>
        <v>创建卸船流程</v>
      </c>
      <c r="D609" s="6" t="str">
        <f>项目总控台账!F46</f>
        <v>第二批次</v>
      </c>
      <c r="E609" s="6" t="str">
        <f>项目总控台账!G46</f>
        <v>已完成</v>
      </c>
      <c r="F609" s="17">
        <f>项目总控台账!V46</f>
        <v>46230</v>
      </c>
      <c r="G609" s="17">
        <f>项目总控台账!W46</f>
        <v>46262</v>
      </c>
      <c r="H609" s="70">
        <v>8.5</v>
      </c>
      <c r="I609" s="6" t="str">
        <f>IF(H609="","待估算",IF(E609="已完成","已结束",IF(AND(ISNUMBER(F609),ISNUMBER(G609),F609&lt;=项目驾驶舱!$B$3,G609&gt;=项目驾驶舱!$B$3),"进行中","计划中")))</f>
        <v>已结束</v>
      </c>
      <c r="J609" s="6" t="str">
        <f>IF(I609="待估算",IF(OR(F609="/",G609="/",F609="",G609=""),"补充计划日期","补充投入工时"),IF(AND(G609&lt;项目驾驶舱!$B$3,E609&lt;&gt;"已完成"),"确认延期和后续安排","按计划跟踪"))</f>
        <v>按计划跟踪</v>
      </c>
      <c r="K609" s="8"/>
      <c r="L609" t="s">
        <v>67</v>
      </c>
    </row>
    <row r="610" spans="1:12">
      <c r="B610" s="6" t="str">
        <f>项目总控台账!A47</f>
        <v>T044</v>
      </c>
      <c r="C610" s="6" t="str">
        <f>IF(AND(项目总控台账!E47&lt;&gt;"",项目总控台账!E47&lt;&gt;"/"),项目总控台账!E47,IF(AND(项目总控台账!D47&lt;&gt;"",项目总控台账!D47&lt;&gt;"/"),项目总控台账!D47,项目总控台账!C47))</f>
        <v>查询卸船流程</v>
      </c>
      <c r="D610" s="6" t="str">
        <f>项目总控台账!F47</f>
        <v>第二批次</v>
      </c>
      <c r="E610" s="6" t="str">
        <f>项目总控台账!G47</f>
        <v>已完成</v>
      </c>
      <c r="F610" s="17">
        <f>项目总控台账!V47</f>
        <v>46230</v>
      </c>
      <c r="G610" s="17">
        <f>项目总控台账!W47</f>
        <v>46262</v>
      </c>
      <c r="H610" s="70">
        <v>8.5</v>
      </c>
      <c r="I610" s="6" t="str">
        <f>IF(H610="","待估算",IF(E610="已完成","已结束",IF(AND(ISNUMBER(F610),ISNUMBER(G610),F610&lt;=项目驾驶舱!$B$3,G610&gt;=项目驾驶舱!$B$3),"进行中","计划中")))</f>
        <v>已结束</v>
      </c>
      <c r="J610" s="6" t="str">
        <f>IF(I610="待估算",IF(OR(F610="/",G610="/",F610="",G610=""),"补充计划日期","补充投入工时"),IF(AND(G610&lt;项目驾驶舱!$B$3,E610&lt;&gt;"已完成"),"确认延期和后续安排","按计划跟踪"))</f>
        <v>按计划跟踪</v>
      </c>
      <c r="K610" s="8"/>
      <c r="L610" t="s">
        <v>67</v>
      </c>
    </row>
    <row r="611" spans="1:12">
      <c r="B611" s="6" t="str">
        <f>项目总控台账!A48</f>
        <v>T045</v>
      </c>
      <c r="C611" s="6" t="str">
        <f>IF(AND(项目总控台账!E48&lt;&gt;"",项目总控台账!E48&lt;&gt;"/"),项目总控台账!E48,IF(AND(项目总控台账!D48&lt;&gt;"",项目总控台账!D48&lt;&gt;"/"),项目总控台账!D48,项目总控台账!C48))</f>
        <v>修改卸船流程</v>
      </c>
      <c r="D611" s="6" t="str">
        <f>项目总控台账!F48</f>
        <v>第二批次</v>
      </c>
      <c r="E611" s="6" t="str">
        <f>项目总控台账!G48</f>
        <v>已完成</v>
      </c>
      <c r="F611" s="17">
        <f>项目总控台账!V48</f>
        <v>46230</v>
      </c>
      <c r="G611" s="17">
        <f>项目总控台账!W48</f>
        <v>46262</v>
      </c>
      <c r="H611" s="70">
        <v>8</v>
      </c>
      <c r="I611" s="6" t="str">
        <f>IF(H611="","待估算",IF(E611="已完成","已结束",IF(AND(ISNUMBER(F611),ISNUMBER(G611),F611&lt;=项目驾驶舱!$B$3,G611&gt;=项目驾驶舱!$B$3),"进行中","计划中")))</f>
        <v>已结束</v>
      </c>
      <c r="J611" s="6" t="str">
        <f>IF(I611="待估算",IF(OR(F611="/",G611="/",F611="",G611=""),"补充计划日期","补充投入工时"),IF(AND(G611&lt;项目驾驶舱!$B$3,E611&lt;&gt;"已完成"),"确认延期和后续安排","按计划跟踪"))</f>
        <v>按计划跟踪</v>
      </c>
      <c r="K611" s="8"/>
      <c r="L611" t="s">
        <v>67</v>
      </c>
    </row>
    <row r="612" spans="1:12">
      <c r="B612" s="6" t="str">
        <f>项目总控台账!A62</f>
        <v>T059</v>
      </c>
      <c r="C612" s="6" t="str">
        <f>IF(AND(项目总控台账!E62&lt;&gt;"",项目总控台账!E62&lt;&gt;"/"),项目总控台账!E62,IF(AND(项目总控台账!D62&lt;&gt;"",项目总控台账!D62&lt;&gt;"/"),项目总控台账!D62,项目总控台账!C62))</f>
        <v>优化新增装车作业信息</v>
      </c>
      <c r="D612" s="6" t="str">
        <f>项目总控台账!F62</f>
        <v>第一批次</v>
      </c>
      <c r="E612" s="6" t="str">
        <f>项目总控台账!G62</f>
        <v>已完成</v>
      </c>
      <c r="F612" s="17">
        <f>项目总控台账!V62</f>
        <v>46230</v>
      </c>
      <c r="G612" s="17">
        <f>项目总控台账!W62</f>
        <v>46241</v>
      </c>
      <c r="H612" s="70">
        <v>3</v>
      </c>
      <c r="I612" s="6" t="str">
        <f>IF(H612="","待估算",IF(E612="已完成","已结束",IF(AND(ISNUMBER(F612),ISNUMBER(G612),F612&lt;=项目驾驶舱!$B$3,G612&gt;=项目驾驶舱!$B$3),"进行中","计划中")))</f>
        <v>已结束</v>
      </c>
      <c r="J612" s="6" t="str">
        <f>IF(I612="待估算",IF(OR(F612="/",G612="/",F612="",G612=""),"补充计划日期","补充投入工时"),IF(AND(G612&lt;项目驾驶舱!$B$3,E612&lt;&gt;"已完成"),"确认延期和后续安排","按计划跟踪"))</f>
        <v>按计划跟踪</v>
      </c>
      <c r="K612" s="8"/>
      <c r="L612" t="s">
        <v>67</v>
      </c>
    </row>
    <row r="613" spans="1:12">
      <c r="B613" s="6" t="str">
        <f>项目总控台账!A107</f>
        <v>T104</v>
      </c>
      <c r="C613" s="6" t="str">
        <f>IF(AND(项目总控台账!E107&lt;&gt;"",项目总控台账!E107&lt;&gt;"/"),项目总控台账!E107,IF(AND(项目总控台账!D107&lt;&gt;"",项目总控台账!D107&lt;&gt;"/"),项目总控台账!D107,项目总控台账!C107))</f>
        <v>吞吐量统计（曹妃甸）</v>
      </c>
      <c r="D613" s="6" t="str">
        <f>项目总控台账!F107</f>
        <v>第一批次</v>
      </c>
      <c r="E613" s="6" t="str">
        <f>项目总控台账!G107</f>
        <v>已完成</v>
      </c>
      <c r="F613" s="17">
        <f>项目总控台账!V107</f>
        <v>46230</v>
      </c>
      <c r="G613" s="17">
        <f>项目总控台账!W107</f>
        <v>46262</v>
      </c>
      <c r="H613" s="70">
        <v>8</v>
      </c>
      <c r="I613" s="6" t="str">
        <f>IF(H613="","待估算",IF(E613="已完成","已结束",IF(AND(ISNUMBER(F613),ISNUMBER(G613),F613&lt;=项目驾驶舱!$B$3,G613&gt;=项目驾驶舱!$B$3),"进行中","计划中")))</f>
        <v>已结束</v>
      </c>
      <c r="J613" s="6" t="str">
        <f>IF(I613="待估算",IF(OR(F613="/",G613="/",F613="",G613=""),"补充计划日期","补充投入工时"),IF(AND(G613&lt;项目驾驶舱!$B$3,E613&lt;&gt;"已完成"),"确认延期和后续安排","按计划跟踪"))</f>
        <v>按计划跟踪</v>
      </c>
      <c r="K613" s="8"/>
      <c r="L613" t="s">
        <v>67</v>
      </c>
    </row>
    <row r="614" spans="1:12">
      <c r="A614" s="71"/>
      <c r="B614" s="6" t="str">
        <f>项目总控台账!A108</f>
        <v>T105</v>
      </c>
      <c r="C614" s="6" t="str">
        <f>IF(AND(项目总控台账!E108&lt;&gt;"",项目总控台账!E108&lt;&gt;"/"),项目总控台账!E108,IF(AND(项目总控台账!D108&lt;&gt;"",项目总控台账!D108&lt;&gt;"/"),项目总控台账!D108,项目总控台账!C108))</f>
        <v>泊位占用率分析（曹妃甸）</v>
      </c>
      <c r="D614" s="6" t="str">
        <f>项目总控台账!F108</f>
        <v>第一批次</v>
      </c>
      <c r="E614" s="6" t="str">
        <f>项目总控台账!G108</f>
        <v>已完成</v>
      </c>
      <c r="F614" s="17">
        <f>项目总控台账!V108</f>
        <v>46230</v>
      </c>
      <c r="G614" s="17">
        <f>项目总控台账!W108</f>
        <v>46262</v>
      </c>
      <c r="H614" s="70">
        <v>8</v>
      </c>
      <c r="I614" s="6" t="str">
        <f>IF(H614="","待估算",IF(E614="已完成","已结束",IF(AND(ISNUMBER(F614),ISNUMBER(G614),F614&lt;=项目驾驶舱!$B$3,G614&gt;=项目驾驶舱!$B$3),"进行中","计划中")))</f>
        <v>已结束</v>
      </c>
      <c r="J614" s="6" t="str">
        <f>IF(I614="待估算",IF(OR(F614="/",G614="/",F614="",G614=""),"补充计划日期","补充投入工时"),IF(AND(G614&lt;项目驾驶舱!$B$3,E614&lt;&gt;"已完成"),"确认延期和后续安排","按计划跟踪"))</f>
        <v>按计划跟踪</v>
      </c>
      <c r="K614" s="8"/>
      <c r="L614" t="s">
        <v>67</v>
      </c>
    </row>
    <row r="615" spans="1:12">
      <c r="A615" s="72" t="s">
        <v>67</v>
      </c>
      <c r="B615" s="6" t="str">
        <f>项目总控台账!A109</f>
        <v>T106</v>
      </c>
      <c r="C615" s="6" t="str">
        <f>IF(AND(项目总控台账!E109&lt;&gt;"",项目总控台账!E109&lt;&gt;"/"),项目总控台账!E109,IF(AND(项目总控台账!D109&lt;&gt;"",项目总控台账!D109&lt;&gt;"/"),项目总控台账!D109,项目总控台账!C109))</f>
        <v>堆存库存统计（曹妃甸）</v>
      </c>
      <c r="D615" s="6" t="str">
        <f>项目总控台账!F109</f>
        <v>第一批次</v>
      </c>
      <c r="E615" s="6" t="str">
        <f>项目总控台账!G109</f>
        <v>已完成</v>
      </c>
      <c r="F615" s="17">
        <f>项目总控台账!V109</f>
        <v>46230</v>
      </c>
      <c r="G615" s="17">
        <f>项目总控台账!W109</f>
        <v>46262</v>
      </c>
      <c r="H615" s="70">
        <v>7.5</v>
      </c>
      <c r="I615" s="6" t="str">
        <f>IF(H615="","待估算",IF(E615="已完成","已结束",IF(AND(ISNUMBER(F615),ISNUMBER(G615),F615&lt;=项目驾驶舱!$B$3,G615&gt;=项目驾驶舱!$B$3),"进行中","计划中")))</f>
        <v>已结束</v>
      </c>
      <c r="J615" s="6" t="str">
        <f>IF(I615="待估算",IF(OR(F615="/",G615="/",F615="",G615=""),"补充计划日期","补充投入工时"),IF(AND(G615&lt;项目驾驶舱!$B$3,E615&lt;&gt;"已完成"),"确认延期和后续安排","按计划跟踪"))</f>
        <v>按计划跟踪</v>
      </c>
      <c r="K615" s="8"/>
      <c r="L615" t="s">
        <v>67</v>
      </c>
    </row>
    <row r="616" spans="1:12">
      <c r="B616" s="6" t="str">
        <f>项目总控台账!A110</f>
        <v>T107</v>
      </c>
      <c r="C616" s="6" t="str">
        <f>IF(AND(项目总控台账!E110&lt;&gt;"",项目总控台账!E110&lt;&gt;"/"),项目总控台账!E110,IF(AND(项目总控台账!D110&lt;&gt;"",项目总控台账!D110&lt;&gt;"/"),项目总控台账!D110,项目总控台账!C110))</f>
        <v>分货主实时统计表（曹妃甸）</v>
      </c>
      <c r="D616" s="6" t="str">
        <f>项目总控台账!F110</f>
        <v>第一批次</v>
      </c>
      <c r="E616" s="6" t="str">
        <f>项目总控台账!G110</f>
        <v>已完成</v>
      </c>
      <c r="F616" s="17">
        <f>项目总控台账!V110</f>
        <v>46230</v>
      </c>
      <c r="G616" s="17">
        <f>项目总控台账!W110</f>
        <v>46262</v>
      </c>
      <c r="H616" s="70">
        <v>7.5</v>
      </c>
      <c r="I616" s="6" t="str">
        <f>IF(H616="","待估算",IF(E616="已完成","已结束",IF(AND(ISNUMBER(F616),ISNUMBER(G616),F616&lt;=项目驾驶舱!$B$3,G616&gt;=项目驾驶舱!$B$3),"进行中","计划中")))</f>
        <v>已结束</v>
      </c>
      <c r="J616" s="6" t="str">
        <f>IF(I616="待估算",IF(OR(F616="/",G616="/",F616="",G616=""),"补充计划日期","补充投入工时"),IF(AND(G616&lt;项目驾驶舱!$B$3,E616&lt;&gt;"已完成"),"确认延期和后续安排","按计划跟踪"))</f>
        <v>按计划跟踪</v>
      </c>
      <c r="K616" s="8"/>
      <c r="L616" t="s">
        <v>67</v>
      </c>
    </row>
    <row r="617" spans="1:12">
      <c r="B617" s="6" t="str">
        <f>项目总控台账!A111</f>
        <v>T108</v>
      </c>
      <c r="C617" s="6" t="str">
        <f>IF(AND(项目总控台账!E111&lt;&gt;"",项目总控台账!E111&lt;&gt;"/"),项目总控台账!E111,IF(AND(项目总控台账!D111&lt;&gt;"",项目总控台账!D111&lt;&gt;"/"),项目总控台账!D111,项目总控台账!C111))</f>
        <v>综合装船效率分析（曹妃甸）</v>
      </c>
      <c r="D617" s="6" t="str">
        <f>项目总控台账!F111</f>
        <v>第一批次</v>
      </c>
      <c r="E617" s="6" t="str">
        <f>项目总控台账!G111</f>
        <v>已完成</v>
      </c>
      <c r="F617" s="17">
        <f>项目总控台账!V111</f>
        <v>46230</v>
      </c>
      <c r="G617" s="17">
        <f>项目总控台账!W111</f>
        <v>46262</v>
      </c>
      <c r="H617" s="70">
        <v>7.5</v>
      </c>
      <c r="I617" s="6" t="str">
        <f>IF(H617="","待估算",IF(E617="已完成","已结束",IF(AND(ISNUMBER(F617),ISNUMBER(G617),F617&lt;=项目驾驶舱!$B$3,G617&gt;=项目驾驶舱!$B$3),"进行中","计划中")))</f>
        <v>已结束</v>
      </c>
      <c r="J617" s="6" t="str">
        <f>IF(I617="待估算",IF(OR(F617="/",G617="/",F617="",G617=""),"补充计划日期","补充投入工时"),IF(AND(G617&lt;项目驾驶舱!$B$3,E617&lt;&gt;"已完成"),"确认延期和后续安排","按计划跟踪"))</f>
        <v>按计划跟踪</v>
      </c>
      <c r="K617" s="8"/>
      <c r="L617" t="s">
        <v>67</v>
      </c>
    </row>
    <row r="618" spans="1:12">
      <c r="B618" s="6" t="str">
        <f>项目总控台账!A112</f>
        <v>T109</v>
      </c>
      <c r="C618" s="6" t="str">
        <f>IF(AND(项目总控台账!E112&lt;&gt;"",项目总控台账!E112&lt;&gt;"/"),项目总控台账!E112,IF(AND(项目总控台账!D112&lt;&gt;"",项目总控台账!D112&lt;&gt;"/"),项目总控台账!D112,项目总控台账!C112))</f>
        <v>综合卸车效率分析（曹妃甸）</v>
      </c>
      <c r="D618" s="6" t="str">
        <f>项目总控台账!F112</f>
        <v>第一批次</v>
      </c>
      <c r="E618" s="6" t="str">
        <f>项目总控台账!G112</f>
        <v>已完成</v>
      </c>
      <c r="F618" s="17">
        <f>项目总控台账!V112</f>
        <v>46230</v>
      </c>
      <c r="G618" s="17">
        <f>项目总控台账!W112</f>
        <v>46262</v>
      </c>
      <c r="H618" s="70">
        <v>7.5</v>
      </c>
      <c r="I618" s="6" t="str">
        <f>IF(H618="","待估算",IF(E618="已完成","已结束",IF(AND(ISNUMBER(F618),ISNUMBER(G618),F618&lt;=项目驾驶舱!$B$3,G618&gt;=项目驾驶舱!$B$3),"进行中","计划中")))</f>
        <v>已结束</v>
      </c>
      <c r="J618" s="6" t="str">
        <f>IF(I618="待估算",IF(OR(F618="/",G618="/",F618="",G618=""),"补充计划日期","补充投入工时"),IF(AND(G618&lt;项目驾驶舱!$B$3,E618&lt;&gt;"已完成"),"确认延期和后续安排","按计划跟踪"))</f>
        <v>按计划跟踪</v>
      </c>
      <c r="K618" s="8"/>
      <c r="L618" t="s">
        <v>67</v>
      </c>
    </row>
    <row r="619" spans="1:12">
      <c r="B619" s="6" t="str">
        <f>项目总控台账!A113</f>
        <v>T110</v>
      </c>
      <c r="C619" s="6" t="str">
        <f>IF(AND(项目总控台账!E113&lt;&gt;"",项目总控台账!E113&lt;&gt;"/"),项目总控台账!E113,IF(AND(项目总控台账!D113&lt;&gt;"",项目总控台账!D113&lt;&gt;"/"),项目总控台账!D113,项目总控台账!C113))</f>
        <v>综合卸船效率分析（曹妃甸）</v>
      </c>
      <c r="D619" s="6" t="str">
        <f>项目总控台账!F113</f>
        <v>第二批次</v>
      </c>
      <c r="E619" s="6" t="str">
        <f>项目总控台账!G113</f>
        <v>已完成</v>
      </c>
      <c r="F619" s="17">
        <f>项目总控台账!V113</f>
        <v>46230</v>
      </c>
      <c r="G619" s="17">
        <f>项目总控台账!W113</f>
        <v>46262</v>
      </c>
      <c r="H619" s="70">
        <v>7.5</v>
      </c>
      <c r="I619" s="6" t="str">
        <f>IF(H619="","待估算",IF(E619="已完成","已结束",IF(AND(ISNUMBER(F619),ISNUMBER(G619),F619&lt;=项目驾驶舱!$B$3,G619&gt;=项目驾驶舱!$B$3),"进行中","计划中")))</f>
        <v>已结束</v>
      </c>
      <c r="J619" s="6" t="str">
        <f>IF(I619="待估算",IF(OR(F619="/",G619="/",F619="",G619=""),"补充计划日期","补充投入工时"),IF(AND(G619&lt;项目驾驶舱!$B$3,E619&lt;&gt;"已完成"),"确认延期和后续安排","按计划跟踪"))</f>
        <v>按计划跟踪</v>
      </c>
      <c r="K619" s="8"/>
      <c r="L619" t="s">
        <v>67</v>
      </c>
    </row>
    <row r="620" spans="1:12">
      <c r="B620" s="6" t="str">
        <f>项目总控台账!A120</f>
        <v>T117</v>
      </c>
      <c r="C620" s="6" t="str">
        <f>IF(AND(项目总控台账!E120&lt;&gt;"",项目总控台账!E120&lt;&gt;"/"),项目总控台账!E120,IF(AND(项目总控台账!D120&lt;&gt;"",项目总控台账!D120&lt;&gt;"/"),项目总控台账!D120,项目总控台账!C120))</f>
        <v>经营任务情况分析报告</v>
      </c>
      <c r="D620" s="6" t="str">
        <f>项目总控台账!F120</f>
        <v>第一批次</v>
      </c>
      <c r="E620" s="6" t="str">
        <f>项目总控台账!G120</f>
        <v>已完成</v>
      </c>
      <c r="F620" s="17">
        <f>项目总控台账!V120</f>
        <v>46230</v>
      </c>
      <c r="G620" s="17">
        <f>项目总控台账!W120</f>
        <v>46262</v>
      </c>
      <c r="H620" s="70">
        <v>7.5</v>
      </c>
      <c r="I620" s="6" t="str">
        <f>IF(H620="","待估算",IF(E620="已完成","已结束",IF(AND(ISNUMBER(F620),ISNUMBER(G620),F620&lt;=项目驾驶舱!$B$3,G620&gt;=项目驾驶舱!$B$3),"进行中","计划中")))</f>
        <v>已结束</v>
      </c>
      <c r="J620" s="6" t="str">
        <f>IF(I620="待估算",IF(OR(F620="/",G620="/",F620="",G620=""),"补充计划日期","补充投入工时"),IF(AND(G620&lt;项目驾驶舱!$B$3,E620&lt;&gt;"已完成"),"确认延期和后续安排","按计划跟踪"))</f>
        <v>按计划跟踪</v>
      </c>
      <c r="K620" s="8"/>
      <c r="L620" t="s">
        <v>67</v>
      </c>
    </row>
    <row r="621" spans="1:12">
      <c r="B621" s="6" t="str">
        <f>项目总控台账!A121</f>
        <v>T118</v>
      </c>
      <c r="C621" s="6" t="str">
        <f>IF(AND(项目总控台账!E121&lt;&gt;"",项目总控台账!E121&lt;&gt;"/"),项目总控台账!E121,IF(AND(项目总控台账!D121&lt;&gt;"",项目总控台账!D121&lt;&gt;"/"),项目总控台账!D121,项目总控台账!C121))</f>
        <v>客户月报报告</v>
      </c>
      <c r="D621" s="6" t="str">
        <f>项目总控台账!F121</f>
        <v>第一批次</v>
      </c>
      <c r="E621" s="6" t="str">
        <f>项目总控台账!G121</f>
        <v>已完成</v>
      </c>
      <c r="F621" s="17">
        <f>项目总控台账!V121</f>
        <v>46230</v>
      </c>
      <c r="G621" s="17">
        <f>项目总控台账!W121</f>
        <v>46262</v>
      </c>
      <c r="H621" s="70">
        <v>7.5</v>
      </c>
      <c r="I621" s="6" t="str">
        <f>IF(H621="","待估算",IF(E621="已完成","已结束",IF(AND(ISNUMBER(F621),ISNUMBER(G621),F621&lt;=项目驾驶舱!$B$3,G621&gt;=项目驾驶舱!$B$3),"进行中","计划中")))</f>
        <v>已结束</v>
      </c>
      <c r="J621" s="6" t="str">
        <f>IF(I621="待估算",IF(OR(F621="/",G621="/",F621="",G621=""),"补充计划日期","补充投入工时"),IF(AND(G621&lt;项目驾驶舱!$B$3,E621&lt;&gt;"已完成"),"确认延期和后续安排","按计划跟踪"))</f>
        <v>按计划跟踪</v>
      </c>
      <c r="K621" s="8"/>
      <c r="L621" t="s">
        <v>67</v>
      </c>
    </row>
    <row r="622" spans="1:12">
      <c r="B622" s="6" t="str">
        <f>项目总控台账!A122</f>
        <v>T119</v>
      </c>
      <c r="C622" s="6" t="str">
        <f>IF(AND(项目总控台账!E122&lt;&gt;"",项目总控台账!E122&lt;&gt;"/"),项目总控台账!E122,IF(AND(项目总控台账!D122&lt;&gt;"",项目总控台账!D122&lt;&gt;"/"),项目总控台账!D122,项目总控台账!C122))</f>
        <v>月度客户情况报告</v>
      </c>
      <c r="D622" s="6" t="str">
        <f>项目总控台账!F122</f>
        <v>第一批次</v>
      </c>
      <c r="E622" s="6" t="str">
        <f>项目总控台账!G122</f>
        <v>已完成</v>
      </c>
      <c r="F622" s="17">
        <f>项目总控台账!V122</f>
        <v>46230</v>
      </c>
      <c r="G622" s="17">
        <f>项目总控台账!W122</f>
        <v>46262</v>
      </c>
      <c r="H622" s="70">
        <v>7.5</v>
      </c>
      <c r="I622" s="6" t="str">
        <f>IF(H622="","待估算",IF(E622="已完成","已结束",IF(AND(ISNUMBER(F622),ISNUMBER(G622),F622&lt;=项目驾驶舱!$B$3,G622&gt;=项目驾驶舱!$B$3),"进行中","计划中")))</f>
        <v>已结束</v>
      </c>
      <c r="J622" s="6" t="str">
        <f>IF(I622="待估算",IF(OR(F622="/",G622="/",F622="",G622=""),"补充计划日期","补充投入工时"),IF(AND(G622&lt;项目驾驶舱!$B$3,E622&lt;&gt;"已完成"),"确认延期和后续安排","按计划跟踪"))</f>
        <v>按计划跟踪</v>
      </c>
      <c r="K622" s="8"/>
      <c r="L622" t="s">
        <v>67</v>
      </c>
    </row>
    <row r="623" spans="1:12">
      <c r="B623" s="6" t="str">
        <f>项目总控台账!A123</f>
        <v>T120</v>
      </c>
      <c r="C623" s="6" t="str">
        <f>IF(AND(项目总控台账!E123&lt;&gt;"",项目总控台账!E123&lt;&gt;"/"),项目总控台账!E123,IF(AND(项目总控台账!D123&lt;&gt;"",项目总控台账!D123&lt;&gt;"/"),项目总控台账!D123,项目总控台账!C123))</f>
        <v>商务计划周报</v>
      </c>
      <c r="D623" s="6" t="str">
        <f>项目总控台账!F123</f>
        <v>第一批次</v>
      </c>
      <c r="E623" s="6" t="str">
        <f>项目总控台账!G123</f>
        <v>已完成</v>
      </c>
      <c r="F623" s="17">
        <f>项目总控台账!V123</f>
        <v>46230</v>
      </c>
      <c r="G623" s="17">
        <f>项目总控台账!W123</f>
        <v>46262</v>
      </c>
      <c r="H623" s="70">
        <v>7.5</v>
      </c>
      <c r="I623" s="6" t="str">
        <f>IF(H623="","待估算",IF(E623="已完成","已结束",IF(AND(ISNUMBER(F623),ISNUMBER(G623),F623&lt;=项目驾驶舱!$B$3,G623&gt;=项目驾驶舱!$B$3),"进行中","计划中")))</f>
        <v>已结束</v>
      </c>
      <c r="J623" s="6" t="str">
        <f>IF(I623="待估算",IF(OR(F623="/",G623="/",F623="",G623=""),"补充计划日期","补充投入工时"),IF(AND(G623&lt;项目驾驶舱!$B$3,E623&lt;&gt;"已完成"),"确认延期和后续安排","按计划跟踪"))</f>
        <v>按计划跟踪</v>
      </c>
      <c r="K623" s="8"/>
      <c r="L623" t="s">
        <v>67</v>
      </c>
    </row>
    <row r="624" spans="1:12">
      <c r="B624" s="6" t="str">
        <f>项目总控台账!A141</f>
        <v>T138</v>
      </c>
      <c r="C624" s="6" t="str">
        <f>IF(AND(项目总控台账!E141&lt;&gt;"",项目总控台账!E141&lt;&gt;"/"),项目总控台账!E141,IF(AND(项目总控台账!D141&lt;&gt;"",项目总控台账!D141&lt;&gt;"/"),项目总控台账!D141,项目总控台账!C141))</f>
        <v>查询卸车流程</v>
      </c>
      <c r="D624" s="6" t="str">
        <f>项目总控台账!F141</f>
        <v>第二批次</v>
      </c>
      <c r="E624" s="6" t="str">
        <f>项目总控台账!G141</f>
        <v>已完成</v>
      </c>
      <c r="F624" s="17">
        <f>项目总控台账!V141</f>
        <v>46230</v>
      </c>
      <c r="G624" s="17">
        <f>项目总控台账!W141</f>
        <v>46262</v>
      </c>
      <c r="H624" s="70">
        <v>7.5</v>
      </c>
      <c r="I624" s="6" t="str">
        <f>IF(H624="","待估算",IF(E624="已完成","已结束",IF(AND(ISNUMBER(F624),ISNUMBER(G624),F624&lt;=项目驾驶舱!$B$3,G624&gt;=项目驾驶舱!$B$3),"进行中","计划中")))</f>
        <v>已结束</v>
      </c>
      <c r="J624" s="6" t="str">
        <f>IF(I624="待估算",IF(OR(F624="/",G624="/",F624="",G624=""),"补充计划日期","补充投入工时"),IF(AND(G624&lt;项目驾驶舱!$B$3,E624&lt;&gt;"已完成"),"确认延期和后续安排","按计划跟踪"))</f>
        <v>按计划跟踪</v>
      </c>
      <c r="K624" s="8"/>
      <c r="L624" t="s">
        <v>67</v>
      </c>
    </row>
    <row r="625" spans="1:12">
      <c r="B625" s="6" t="str">
        <f>项目总控台账!A142</f>
        <v>T139</v>
      </c>
      <c r="C625" s="6" t="str">
        <f>IF(AND(项目总控台账!E142&lt;&gt;"",项目总控台账!E142&lt;&gt;"/"),项目总控台账!E142,IF(AND(项目总控台账!D142&lt;&gt;"",项目总控台账!D142&lt;&gt;"/"),项目总控台账!D142,项目总控台账!C142))</f>
        <v>查询装船流程</v>
      </c>
      <c r="D625" s="6" t="str">
        <f>项目总控台账!F142</f>
        <v>第二批次</v>
      </c>
      <c r="E625" s="6" t="str">
        <f>项目总控台账!G142</f>
        <v>已完成</v>
      </c>
      <c r="F625" s="17">
        <f>项目总控台账!V142</f>
        <v>46230</v>
      </c>
      <c r="G625" s="17">
        <f>项目总控台账!W142</f>
        <v>46262</v>
      </c>
      <c r="H625" s="70">
        <v>7.5</v>
      </c>
      <c r="I625" s="6" t="str">
        <f>IF(H625="","待估算",IF(E625="已完成","已结束",IF(AND(ISNUMBER(F625),ISNUMBER(G625),F625&lt;=项目驾驶舱!$B$3,G625&gt;=项目驾驶舱!$B$3),"进行中","计划中")))</f>
        <v>已结束</v>
      </c>
      <c r="J625" s="6" t="str">
        <f>IF(I625="待估算",IF(OR(F625="/",G625="/",F625="",G625=""),"补充计划日期","补充投入工时"),IF(AND(G625&lt;项目驾驶舱!$B$3,E625&lt;&gt;"已完成"),"确认延期和后续安排","按计划跟踪"))</f>
        <v>按计划跟踪</v>
      </c>
      <c r="K625" s="8"/>
      <c r="L625" t="s">
        <v>67</v>
      </c>
    </row>
    <row r="626" spans="1:12">
      <c r="A626" s="71"/>
      <c r="B626" s="6" t="str">
        <f>项目总控台账!A143</f>
        <v>T140</v>
      </c>
      <c r="C626" s="6" t="str">
        <f>IF(AND(项目总控台账!E143&lt;&gt;"",项目总控台账!E143&lt;&gt;"/"),项目总控台账!E143,IF(AND(项目总控台账!D143&lt;&gt;"",项目总控台账!D143&lt;&gt;"/"),项目总控台账!D143,项目总控台账!C143))</f>
        <v>查询卸船流程</v>
      </c>
      <c r="D626" s="6" t="str">
        <f>项目总控台账!F143</f>
        <v>第二批次</v>
      </c>
      <c r="E626" s="6" t="str">
        <f>项目总控台账!G143</f>
        <v>已完成</v>
      </c>
      <c r="F626" s="17">
        <f>项目总控台账!V143</f>
        <v>46230</v>
      </c>
      <c r="G626" s="17">
        <f>项目总控台账!W143</f>
        <v>46262</v>
      </c>
      <c r="H626" s="70">
        <v>7.5</v>
      </c>
      <c r="I626" s="6" t="str">
        <f>IF(H626="","待估算",IF(E626="已完成","已结束",IF(AND(ISNUMBER(F626),ISNUMBER(G626),F626&lt;=项目驾驶舱!$B$3,G626&gt;=项目驾驶舱!$B$3),"进行中","计划中")))</f>
        <v>已结束</v>
      </c>
      <c r="J626" s="6" t="str">
        <f>IF(I626="待估算",IF(OR(F626="/",G626="/",F626="",G626=""),"补充计划日期","补充投入工时"),IF(AND(G626&lt;项目驾驶舱!$B$3,E626&lt;&gt;"已完成"),"确认延期和后续安排","按计划跟踪"))</f>
        <v>按计划跟踪</v>
      </c>
      <c r="K626" s="8"/>
      <c r="L626" t="s">
        <v>67</v>
      </c>
    </row>
    <row r="627" spans="1:12">
      <c r="A627" s="72" t="s">
        <v>67</v>
      </c>
      <c r="B627" s="6" t="str">
        <f>项目总控台账!A146</f>
        <v>T143</v>
      </c>
      <c r="C627" s="6" t="str">
        <f>IF(AND(项目总控台账!E146&lt;&gt;"",项目总控台账!E146&lt;&gt;"/"),项目总控台账!E146,IF(AND(项目总控台账!D146&lt;&gt;"",项目总控台账!D146&lt;&gt;"/"),项目总控台账!D146,项目总控台账!C146))</f>
        <v>图片上传</v>
      </c>
      <c r="D627" s="6" t="str">
        <f>项目总控台账!F146</f>
        <v>第一批次</v>
      </c>
      <c r="E627" s="6" t="str">
        <f>项目总控台账!G146</f>
        <v>已完成</v>
      </c>
      <c r="F627" s="17">
        <f>项目总控台账!V146</f>
        <v>46237</v>
      </c>
      <c r="G627" s="17">
        <f>项目总控台账!W146</f>
        <v>46252</v>
      </c>
      <c r="H627" s="70">
        <v>4.5</v>
      </c>
      <c r="I627" s="6" t="str">
        <f>IF(H627="","待估算",IF(E627="已完成","已结束",IF(AND(ISNUMBER(F627),ISNUMBER(G627),F627&lt;=项目驾驶舱!$B$3,G627&gt;=项目驾驶舱!$B$3),"进行中","计划中")))</f>
        <v>已结束</v>
      </c>
      <c r="J627" s="6" t="str">
        <f>IF(I627="待估算",IF(OR(F627="/",G627="/",F627="",G627=""),"补充计划日期","补充投入工时"),IF(AND(G627&lt;项目驾驶舱!$B$3,E627&lt;&gt;"已完成"),"确认延期和后续安排","按计划跟踪"))</f>
        <v>按计划跟踪</v>
      </c>
      <c r="K627" s="8"/>
      <c r="L627" t="s">
        <v>67</v>
      </c>
    </row>
    <row r="628" spans="1:12">
      <c r="B628" s="6" t="str">
        <f>项目总控台账!A147</f>
        <v>T144</v>
      </c>
      <c r="C628" s="6" t="str">
        <f>IF(AND(项目总控台账!E147&lt;&gt;"",项目总控台账!E147&lt;&gt;"/"),项目总控台账!E147,IF(AND(项目总控台账!D147&lt;&gt;"",项目总控台账!D147&lt;&gt;"/"),项目总控台账!D147,项目总控台账!C147))</f>
        <v>图片上传</v>
      </c>
      <c r="D628" s="6" t="str">
        <f>项目总控台账!F147</f>
        <v>第一批次</v>
      </c>
      <c r="E628" s="6" t="str">
        <f>项目总控台账!G147</f>
        <v>已完成</v>
      </c>
      <c r="F628" s="17">
        <f>项目总控台账!V147</f>
        <v>46237</v>
      </c>
      <c r="G628" s="17">
        <f>项目总控台账!W147</f>
        <v>46252</v>
      </c>
      <c r="H628" s="70">
        <v>4.5</v>
      </c>
      <c r="I628" s="6" t="str">
        <f>IF(H628="","待估算",IF(E628="已完成","已结束",IF(AND(ISNUMBER(F628),ISNUMBER(G628),F628&lt;=项目驾驶舱!$B$3,G628&gt;=项目驾驶舱!$B$3),"进行中","计划中")))</f>
        <v>已结束</v>
      </c>
      <c r="J628" s="6" t="str">
        <f>IF(I628="待估算",IF(OR(F628="/",G628="/",F628="",G628=""),"补充计划日期","补充投入工时"),IF(AND(G628&lt;项目驾驶舱!$B$3,E628&lt;&gt;"已完成"),"确认延期和后续安排","按计划跟踪"))</f>
        <v>按计划跟踪</v>
      </c>
      <c r="K628" s="8"/>
      <c r="L628" t="s">
        <v>67</v>
      </c>
    </row>
    <row r="629" spans="1:12">
      <c r="B629" s="6" t="str">
        <f>项目总控台账!A148</f>
        <v>T145</v>
      </c>
      <c r="C629" s="6" t="str">
        <f>IF(AND(项目总控台账!E148&lt;&gt;"",项目总控台账!E148&lt;&gt;"/"),项目总控台账!E148,IF(AND(项目总控台账!D148&lt;&gt;"",项目总控台账!D148&lt;&gt;"/"),项目总控台账!D148,项目总控台账!C148))</f>
        <v>图片上传</v>
      </c>
      <c r="D629" s="6" t="str">
        <f>项目总控台账!F148</f>
        <v>第二批次</v>
      </c>
      <c r="E629" s="6" t="str">
        <f>项目总控台账!G148</f>
        <v>已完成</v>
      </c>
      <c r="F629" s="17">
        <f>项目总控台账!V148</f>
        <v>46237</v>
      </c>
      <c r="G629" s="17">
        <f>项目总控台账!W148</f>
        <v>46252</v>
      </c>
      <c r="H629" s="70">
        <v>4</v>
      </c>
      <c r="I629" s="6" t="str">
        <f>IF(H629="","待估算",IF(E629="已完成","已结束",IF(AND(ISNUMBER(F629),ISNUMBER(G629),F629&lt;=项目驾驶舱!$B$3,G629&gt;=项目驾驶舱!$B$3),"进行中","计划中")))</f>
        <v>已结束</v>
      </c>
      <c r="J629" s="6" t="str">
        <f>IF(I629="待估算",IF(OR(F629="/",G629="/",F629="",G629=""),"补充计划日期","补充投入工时"),IF(AND(G629&lt;项目驾驶舱!$B$3,E629&lt;&gt;"已完成"),"确认延期和后续安排","按计划跟踪"))</f>
        <v>按计划跟踪</v>
      </c>
      <c r="K629" s="8"/>
      <c r="L629" t="s">
        <v>67</v>
      </c>
    </row>
    <row r="630" spans="1:12">
      <c r="B630" s="6" t="str">
        <f>项目总控台账!A124</f>
        <v>T121</v>
      </c>
      <c r="C630" s="6" t="str">
        <f>IF(AND(项目总控台账!E124&lt;&gt;"",项目总控台账!E124&lt;&gt;"/"),项目总控台账!E124,IF(AND(项目总控台账!D124&lt;&gt;"",项目总控台账!D124&lt;&gt;"/"),项目总控台账!D124,项目总控台账!C124))</f>
        <v>船舶供应服务查询</v>
      </c>
      <c r="D630" s="6" t="str">
        <f>项目总控台账!F124</f>
        <v>第二批次</v>
      </c>
      <c r="E630" s="6" t="str">
        <f>项目总控台账!G124</f>
        <v>已完成</v>
      </c>
      <c r="F630" s="17">
        <f>项目总控台账!V124</f>
        <v>46265</v>
      </c>
      <c r="G630" s="17">
        <f>项目总控台账!W124</f>
        <v>46269</v>
      </c>
      <c r="H630" s="70">
        <v>8</v>
      </c>
      <c r="I630" s="6" t="str">
        <f>IF(H630="","待估算",IF(E630="已完成","已结束",IF(AND(ISNUMBER(F630),ISNUMBER(G630),F630&lt;=项目驾驶舱!$B$3,G630&gt;=项目驾驶舱!$B$3),"进行中","计划中")))</f>
        <v>已结束</v>
      </c>
      <c r="J630" s="6" t="str">
        <f>IF(I630="待估算",IF(OR(F630="/",G630="/",F630="",G630=""),"补充计划日期","补充投入工时"),IF(AND(G630&lt;项目驾驶舱!$B$3,E630&lt;&gt;"已完成"),"确认延期和后续安排","按计划跟踪"))</f>
        <v>按计划跟踪</v>
      </c>
      <c r="K630" s="8"/>
      <c r="L630" t="s">
        <v>67</v>
      </c>
    </row>
    <row r="631" spans="1:12">
      <c r="B631" s="6" t="str">
        <f>项目总控台账!A125</f>
        <v>T122</v>
      </c>
      <c r="C631" s="6" t="str">
        <f>IF(AND(项目总控台账!E125&lt;&gt;"",项目总控台账!E125&lt;&gt;"/"),项目总控台账!E125,IF(AND(项目总控台账!D125&lt;&gt;"",项目总控台账!D125&lt;&gt;"/"),项目总控台账!D125,项目总控台账!C125))</f>
        <v>船舶预到（内贸）查询</v>
      </c>
      <c r="D631" s="6" t="str">
        <f>项目总控台账!F125</f>
        <v>第二批次</v>
      </c>
      <c r="E631" s="6" t="str">
        <f>项目总控台账!G125</f>
        <v>已完成</v>
      </c>
      <c r="F631" s="17">
        <f>项目总控台账!V125</f>
        <v>46265</v>
      </c>
      <c r="G631" s="17">
        <f>项目总控台账!W125</f>
        <v>46269</v>
      </c>
      <c r="H631" s="70">
        <v>8</v>
      </c>
      <c r="I631" s="6" t="str">
        <f>IF(H631="","待估算",IF(E631="已完成","已结束",IF(AND(ISNUMBER(F631),ISNUMBER(G631),F631&lt;=项目驾驶舱!$B$3,G631&gt;=项目驾驶舱!$B$3),"进行中","计划中")))</f>
        <v>已结束</v>
      </c>
      <c r="J631" s="6" t="str">
        <f>IF(I631="待估算",IF(OR(F631="/",G631="/",F631="",G631=""),"补充计划日期","补充投入工时"),IF(AND(G631&lt;项目驾驶舱!$B$3,E631&lt;&gt;"已完成"),"确认延期和后续安排","按计划跟踪"))</f>
        <v>按计划跟踪</v>
      </c>
      <c r="K631" s="8"/>
      <c r="L631" t="s">
        <v>67</v>
      </c>
    </row>
    <row r="632" spans="1:12">
      <c r="B632" s="6" t="str">
        <f>项目总控台账!A126</f>
        <v>T123</v>
      </c>
      <c r="C632" s="6" t="str">
        <f>IF(AND(项目总控台账!E126&lt;&gt;"",项目总控台账!E126&lt;&gt;"/"),项目总控台账!E126,IF(AND(项目总控台账!D126&lt;&gt;"",项目总控台账!D126&lt;&gt;"/"),项目总控台账!D126,项目总控台账!C126))</f>
        <v>台账查询</v>
      </c>
      <c r="D632" s="6" t="str">
        <f>项目总控台账!F126</f>
        <v>第二批次</v>
      </c>
      <c r="E632" s="6" t="str">
        <f>项目总控台账!G126</f>
        <v>已完成</v>
      </c>
      <c r="F632" s="17">
        <f>项目总控台账!V126</f>
        <v>46265</v>
      </c>
      <c r="G632" s="17">
        <f>项目总控台账!W126</f>
        <v>46269</v>
      </c>
      <c r="H632" s="70">
        <v>8</v>
      </c>
      <c r="I632" s="6" t="str">
        <f>IF(H632="","待估算",IF(E632="已完成","已结束",IF(AND(ISNUMBER(F632),ISNUMBER(G632),F632&lt;=项目驾驶舱!$B$3,G632&gt;=项目驾驶舱!$B$3),"进行中","计划中")))</f>
        <v>已结束</v>
      </c>
      <c r="J632" s="6" t="str">
        <f>IF(I632="待估算",IF(OR(F632="/",G632="/",F632="",G632=""),"补充计划日期","补充投入工时"),IF(AND(G632&lt;项目驾驶舱!$B$3,E632&lt;&gt;"已完成"),"确认延期和后续安排","按计划跟踪"))</f>
        <v>按计划跟踪</v>
      </c>
      <c r="K632" s="8"/>
      <c r="L632" t="s">
        <v>67</v>
      </c>
    </row>
    <row r="633" spans="1:12">
      <c r="B633" s="6" t="str">
        <f>项目总控台账!A127</f>
        <v>T124</v>
      </c>
      <c r="C633" s="6" t="str">
        <f>IF(AND(项目总控台账!E127&lt;&gt;"",项目总控台账!E127&lt;&gt;"/"),项目总控台账!E127,IF(AND(项目总控台账!D127&lt;&gt;"",项目总控台账!D127&lt;&gt;"/"),项目总控台账!D127,项目总控台账!C127))</f>
        <v>停泊费（内贸）查询</v>
      </c>
      <c r="D633" s="6" t="str">
        <f>项目总控台账!F127</f>
        <v>第二批次</v>
      </c>
      <c r="E633" s="6" t="str">
        <f>项目总控台账!G127</f>
        <v>已完成</v>
      </c>
      <c r="F633" s="17">
        <f>项目总控台账!V127</f>
        <v>46265</v>
      </c>
      <c r="G633" s="17">
        <f>项目总控台账!W127</f>
        <v>46269</v>
      </c>
      <c r="H633" s="70">
        <v>8</v>
      </c>
      <c r="I633" s="6" t="str">
        <f>IF(H633="","待估算",IF(E633="已完成","已结束",IF(AND(ISNUMBER(F633),ISNUMBER(G633),F633&lt;=项目驾驶舱!$B$3,G633&gt;=项目驾驶舱!$B$3),"进行中","计划中")))</f>
        <v>已结束</v>
      </c>
      <c r="J633" s="6" t="str">
        <f>IF(I633="待估算",IF(OR(F633="/",G633="/",F633="",G633=""),"补充计划日期","补充投入工时"),IF(AND(G633&lt;项目驾驶舱!$B$3,E633&lt;&gt;"已完成"),"确认延期和后续安排","按计划跟踪"))</f>
        <v>按计划跟踪</v>
      </c>
      <c r="K633" s="8"/>
      <c r="L633" t="s">
        <v>67</v>
      </c>
    </row>
    <row r="634" spans="1:12">
      <c r="B634" s="6" t="str">
        <f>项目总控台账!A128</f>
        <v>T125</v>
      </c>
      <c r="C634" s="6" t="str">
        <f>IF(AND(项目总控台账!E128&lt;&gt;"",项目总控台账!E128&lt;&gt;"/"),项目总控台账!E128,IF(AND(项目总控台账!D128&lt;&gt;"",项目总控台账!D128&lt;&gt;"/"),项目总控台账!D128,项目总控台账!C128))</f>
        <v>船舶供应服务费（内贸）查询</v>
      </c>
      <c r="D634" s="6" t="str">
        <f>项目总控台账!F128</f>
        <v>第二批次</v>
      </c>
      <c r="E634" s="6" t="str">
        <f>项目总控台账!G128</f>
        <v>已完成</v>
      </c>
      <c r="F634" s="17">
        <f>项目总控台账!V128</f>
        <v>46265</v>
      </c>
      <c r="G634" s="17">
        <f>项目总控台账!W128</f>
        <v>46269</v>
      </c>
      <c r="H634" s="70">
        <v>8</v>
      </c>
      <c r="I634" s="6" t="str">
        <f>IF(H634="","待估算",IF(E634="已完成","已结束",IF(AND(ISNUMBER(F634),ISNUMBER(G634),F634&lt;=项目驾驶舱!$B$3,G634&gt;=项目驾驶舱!$B$3),"进行中","计划中")))</f>
        <v>已结束</v>
      </c>
      <c r="J634" s="6" t="str">
        <f>IF(I634="待估算",IF(OR(F634="/",G634="/",F634="",G634=""),"补充计划日期","补充投入工时"),IF(AND(G634&lt;项目驾驶舱!$B$3,E634&lt;&gt;"已完成"),"确认延期和后续安排","按计划跟踪"))</f>
        <v>按计划跟踪</v>
      </c>
      <c r="K634" s="8"/>
      <c r="L634" t="s">
        <v>67</v>
      </c>
    </row>
    <row r="635" spans="1:12">
      <c r="B635" s="6" t="str">
        <f>项目总控台账!A16</f>
        <v>T013</v>
      </c>
      <c r="C635" s="6" t="str">
        <f>IF(AND(项目总控台账!E16&lt;&gt;"",项目总控台账!E16&lt;&gt;"/"),项目总控台账!E16,IF(AND(项目总控台账!D16&lt;&gt;"",项目总控台账!D16&lt;&gt;"/"),项目总控台账!D16,项目总控台账!C16))</f>
        <v>新增结算条款</v>
      </c>
      <c r="D635" s="6" t="str">
        <f>项目总控台账!F16</f>
        <v>第二批次</v>
      </c>
      <c r="E635" s="6" t="str">
        <f>项目总控台账!G16</f>
        <v>未开始</v>
      </c>
      <c r="F635" s="17">
        <f>项目总控台账!V16</f>
        <v>46272</v>
      </c>
      <c r="G635" s="17">
        <f>项目总控台账!W16</f>
        <v>46304</v>
      </c>
      <c r="H635" s="70">
        <v>17.5</v>
      </c>
      <c r="I635" s="6" t="str">
        <f>IF(H635="","待估算",IF(E635="已完成","已结束",IF(AND(ISNUMBER(F635),ISNUMBER(G635),F635&lt;=项目驾驶舱!$B$3,G635&gt;=项目驾驶舱!$B$3),"进行中","计划中")))</f>
        <v>计划中</v>
      </c>
      <c r="J635" s="6" t="str">
        <f>IF(I635="待估算",IF(OR(F635="/",G635="/",F635="",G635=""),"补充计划日期","补充投入工时"),IF(AND(G635&lt;项目驾驶舱!$B$3,E635&lt;&gt;"已完成"),"确认延期和后续安排","按计划跟踪"))</f>
        <v>按计划跟踪</v>
      </c>
      <c r="K635" s="8"/>
      <c r="L635" t="s">
        <v>67</v>
      </c>
    </row>
    <row r="636" spans="1:12">
      <c r="B636" s="6" t="str">
        <f>项目总控台账!A17</f>
        <v>T014</v>
      </c>
      <c r="C636" s="6" t="str">
        <f>IF(AND(项目总控台账!E17&lt;&gt;"",项目总控台账!E17&lt;&gt;"/"),项目总控台账!E17,IF(AND(项目总控台账!D17&lt;&gt;"",项目总控台账!D17&lt;&gt;"/"),项目总控台账!D17,项目总控台账!C17))</f>
        <v>结算条款审批</v>
      </c>
      <c r="D636" s="6" t="str">
        <f>项目总控台账!F17</f>
        <v>第二批次</v>
      </c>
      <c r="E636" s="6" t="str">
        <f>项目总控台账!G17</f>
        <v>未开始</v>
      </c>
      <c r="F636" s="17">
        <f>项目总控台账!V17</f>
        <v>46272</v>
      </c>
      <c r="G636" s="17">
        <f>项目总控台账!W17</f>
        <v>46304</v>
      </c>
      <c r="H636" s="70">
        <v>17.5</v>
      </c>
      <c r="I636" s="6" t="str">
        <f>IF(H636="","待估算",IF(E636="已完成","已结束",IF(AND(ISNUMBER(F636),ISNUMBER(G636),F636&lt;=项目驾驶舱!$B$3,G636&gt;=项目驾驶舱!$B$3),"进行中","计划中")))</f>
        <v>计划中</v>
      </c>
      <c r="J636" s="6" t="str">
        <f>IF(I636="待估算",IF(OR(F636="/",G636="/",F636="",G636=""),"补充计划日期","补充投入工时"),IF(AND(G636&lt;项目驾驶舱!$B$3,E636&lt;&gt;"已完成"),"确认延期和后续安排","按计划跟踪"))</f>
        <v>按计划跟踪</v>
      </c>
      <c r="K636" s="8"/>
      <c r="L636" t="s">
        <v>67</v>
      </c>
    </row>
    <row r="637" spans="1:12">
      <c r="B637" s="6" t="str">
        <f>项目总控台账!A18</f>
        <v>T015</v>
      </c>
      <c r="C637" s="6" t="str">
        <f>IF(AND(项目总控台账!E18&lt;&gt;"",项目总控台账!E18&lt;&gt;"/"),项目总控台账!E18,IF(AND(项目总控台账!D18&lt;&gt;"",项目总控台账!D18&lt;&gt;"/"),项目总控台账!D18,项目总控台账!C18))</f>
        <v>修改结算条款</v>
      </c>
      <c r="D637" s="6" t="str">
        <f>项目总控台账!F18</f>
        <v>第二批次</v>
      </c>
      <c r="E637" s="6" t="str">
        <f>项目总控台账!G18</f>
        <v>未开始</v>
      </c>
      <c r="F637" s="17">
        <f>项目总控台账!V18</f>
        <v>46272</v>
      </c>
      <c r="G637" s="17">
        <f>项目总控台账!W18</f>
        <v>46304</v>
      </c>
      <c r="H637" s="70">
        <v>17.5</v>
      </c>
      <c r="I637" s="6" t="str">
        <f>IF(H637="","待估算",IF(E637="已完成","已结束",IF(AND(ISNUMBER(F637),ISNUMBER(G637),F637&lt;=项目驾驶舱!$B$3,G637&gt;=项目驾驶舱!$B$3),"进行中","计划中")))</f>
        <v>计划中</v>
      </c>
      <c r="J637" s="6" t="str">
        <f>IF(I637="待估算",IF(OR(F637="/",G637="/",F637="",G637=""),"补充计划日期","补充投入工时"),IF(AND(G637&lt;项目驾驶舱!$B$3,E637&lt;&gt;"已完成"),"确认延期和后续安排","按计划跟踪"))</f>
        <v>按计划跟踪</v>
      </c>
      <c r="K637" s="8"/>
      <c r="L637" t="s">
        <v>67</v>
      </c>
    </row>
    <row r="638" spans="1:12">
      <c r="A638" s="71"/>
      <c r="B638" s="6" t="str">
        <f>项目总控台账!A19</f>
        <v>T016</v>
      </c>
      <c r="C638" s="6" t="str">
        <f>IF(AND(项目总控台账!E19&lt;&gt;"",项目总控台账!E19&lt;&gt;"/"),项目总控台账!E19,IF(AND(项目总控台账!D19&lt;&gt;"",项目总控台账!D19&lt;&gt;"/"),项目总控台账!D19,项目总控台账!C19))</f>
        <v>删除结算条款</v>
      </c>
      <c r="D638" s="6" t="str">
        <f>项目总控台账!F19</f>
        <v>第二批次</v>
      </c>
      <c r="E638" s="6" t="str">
        <f>项目总控台账!G19</f>
        <v>未开始</v>
      </c>
      <c r="F638" s="17">
        <f>项目总控台账!V19</f>
        <v>46272</v>
      </c>
      <c r="G638" s="17">
        <f>项目总控台账!W19</f>
        <v>46304</v>
      </c>
      <c r="H638" s="70">
        <v>17.5</v>
      </c>
      <c r="I638" s="6" t="str">
        <f>IF(H638="","待估算",IF(E638="已完成","已结束",IF(AND(ISNUMBER(F638),ISNUMBER(G638),F638&lt;=项目驾驶舱!$B$3,G638&gt;=项目驾驶舱!$B$3),"进行中","计划中")))</f>
        <v>计划中</v>
      </c>
      <c r="J638" s="6" t="str">
        <f>IF(I638="待估算",IF(OR(F638="/",G638="/",F638="",G638=""),"补充计划日期","补充投入工时"),IF(AND(G638&lt;项目驾驶舱!$B$3,E638&lt;&gt;"已完成"),"确认延期和后续安排","按计划跟踪"))</f>
        <v>按计划跟踪</v>
      </c>
      <c r="K638" s="8"/>
      <c r="L638" t="s">
        <v>67</v>
      </c>
    </row>
    <row r="639" spans="1:12">
      <c r="A639" s="72" t="s">
        <v>67</v>
      </c>
      <c r="B639" s="6" t="str">
        <f>项目总控台账!A20</f>
        <v>T017</v>
      </c>
      <c r="C639" s="6" t="str">
        <f>IF(AND(项目总控台账!E20&lt;&gt;"",项目总控台账!E20&lt;&gt;"/"),项目总控台账!E20,IF(AND(项目总控台账!D20&lt;&gt;"",项目总控台账!D20&lt;&gt;"/"),项目总控台账!D20,项目总控台账!C20))</f>
        <v>查询展示结算条款</v>
      </c>
      <c r="D639" s="6" t="str">
        <f>项目总控台账!F20</f>
        <v>第二批次</v>
      </c>
      <c r="E639" s="6" t="str">
        <f>项目总控台账!G20</f>
        <v>未开始</v>
      </c>
      <c r="F639" s="17">
        <f>项目总控台账!V20</f>
        <v>46272</v>
      </c>
      <c r="G639" s="17">
        <f>项目总控台账!W20</f>
        <v>46304</v>
      </c>
      <c r="H639" s="70">
        <v>17.5</v>
      </c>
      <c r="I639" s="6" t="str">
        <f>IF(H639="","待估算",IF(E639="已完成","已结束",IF(AND(ISNUMBER(F639),ISNUMBER(G639),F639&lt;=项目驾驶舱!$B$3,G639&gt;=项目驾驶舱!$B$3),"进行中","计划中")))</f>
        <v>计划中</v>
      </c>
      <c r="J639" s="6" t="str">
        <f>IF(I639="待估算",IF(OR(F639="/",G639="/",F639="",G639=""),"补充计划日期","补充投入工时"),IF(AND(G639&lt;项目驾驶舱!$B$3,E639&lt;&gt;"已完成"),"确认延期和后续安排","按计划跟踪"))</f>
        <v>按计划跟踪</v>
      </c>
      <c r="K639" s="8"/>
      <c r="L639" t="s">
        <v>67</v>
      </c>
    </row>
    <row r="640" spans="1:12">
      <c r="B640" s="6" t="str">
        <f>项目总控台账!A21</f>
        <v>T018</v>
      </c>
      <c r="C640" s="6" t="str">
        <f>IF(AND(项目总控台账!E21&lt;&gt;"",项目总控台账!E21&lt;&gt;"/"),项目总控台账!E21,IF(AND(项目总控台账!D21&lt;&gt;"",项目总控台账!D21&lt;&gt;"/"),项目总控台账!D21,项目总控台账!C21))</f>
        <v>结算条款推送法务系统</v>
      </c>
      <c r="D640" s="6" t="str">
        <f>项目总控台账!F21</f>
        <v>第二批次</v>
      </c>
      <c r="E640" s="6" t="str">
        <f>项目总控台账!G21</f>
        <v>未开始</v>
      </c>
      <c r="F640" s="17">
        <f>项目总控台账!V21</f>
        <v>46272</v>
      </c>
      <c r="G640" s="17">
        <f>项目总控台账!W21</f>
        <v>46304</v>
      </c>
      <c r="H640" s="70">
        <v>17.5</v>
      </c>
      <c r="I640" s="6" t="str">
        <f>IF(H640="","待估算",IF(E640="已完成","已结束",IF(AND(ISNUMBER(F640),ISNUMBER(G640),F640&lt;=项目驾驶舱!$B$3,G640&gt;=项目驾驶舱!$B$3),"进行中","计划中")))</f>
        <v>计划中</v>
      </c>
      <c r="J640" s="6" t="str">
        <f>IF(I640="待估算",IF(OR(F640="/",G640="/",F640="",G640=""),"补充计划日期","补充投入工时"),IF(AND(G640&lt;项目驾驶舱!$B$3,E640&lt;&gt;"已完成"),"确认延期和后续安排","按计划跟踪"))</f>
        <v>按计划跟踪</v>
      </c>
      <c r="K640" s="8"/>
      <c r="L640" t="s">
        <v>67</v>
      </c>
    </row>
    <row r="641" spans="1:12">
      <c r="B641" s="6" t="str">
        <f>项目总控台账!A56</f>
        <v>T053</v>
      </c>
      <c r="C641" s="6" t="str">
        <f>IF(AND(项目总控台账!E56&lt;&gt;"",项目总控台账!E56&lt;&gt;"/"),项目总控台账!E56,IF(AND(项目总控台账!D56&lt;&gt;"",项目总控台账!D56&lt;&gt;"/"),项目总控台账!D56,项目总控台账!C56))</f>
        <v>接入港口侧视频监控</v>
      </c>
      <c r="D641" s="6" t="str">
        <f>项目总控台账!F56</f>
        <v>第二批次</v>
      </c>
      <c r="E641" s="6" t="str">
        <f>项目总控台账!G56</f>
        <v>未开始</v>
      </c>
      <c r="F641" s="17">
        <f>项目总控台账!V56</f>
        <v>46272</v>
      </c>
      <c r="G641" s="17">
        <f>项目总控台账!W56</f>
        <v>46304</v>
      </c>
      <c r="H641" s="70">
        <v>17.5</v>
      </c>
      <c r="I641" s="6" t="str">
        <f>IF(H641="","待估算",IF(E641="已完成","已结束",IF(AND(ISNUMBER(F641),ISNUMBER(G641),F641&lt;=项目驾驶舱!$B$3,G641&gt;=项目驾驶舱!$B$3),"进行中","计划中")))</f>
        <v>计划中</v>
      </c>
      <c r="J641" s="6" t="str">
        <f>IF(I641="待估算",IF(OR(F641="/",G641="/",F641="",G641=""),"补充计划日期","补充投入工时"),IF(AND(G641&lt;项目驾驶舱!$B$3,E641&lt;&gt;"已完成"),"确认延期和后续安排","按计划跟踪"))</f>
        <v>按计划跟踪</v>
      </c>
      <c r="K641" s="8"/>
      <c r="L641" t="s">
        <v>67</v>
      </c>
    </row>
    <row r="642" spans="1:12">
      <c r="B642" s="6" t="str">
        <f>项目总控台账!A57</f>
        <v>T054</v>
      </c>
      <c r="C642" s="6" t="str">
        <f>IF(AND(项目总控台账!E57&lt;&gt;"",项目总控台账!E57&lt;&gt;"/"),项目总控台账!E57,IF(AND(项目总控台账!D57&lt;&gt;"",项目总控台账!D57&lt;&gt;"/"),项目总控台账!D57,项目总控台账!C57))</f>
        <v>视频查看权限申请</v>
      </c>
      <c r="D642" s="6" t="str">
        <f>项目总控台账!F57</f>
        <v>第二批次</v>
      </c>
      <c r="E642" s="6" t="str">
        <f>项目总控台账!G57</f>
        <v>未开始</v>
      </c>
      <c r="F642" s="17">
        <f>项目总控台账!V57</f>
        <v>46272</v>
      </c>
      <c r="G642" s="17">
        <f>项目总控台账!W57</f>
        <v>46304</v>
      </c>
      <c r="H642" s="70">
        <v>17.5</v>
      </c>
      <c r="I642" s="6" t="str">
        <f>IF(H642="","待估算",IF(E642="已完成","已结束",IF(AND(ISNUMBER(F642),ISNUMBER(G642),F642&lt;=项目驾驶舱!$B$3,G642&gt;=项目驾驶舱!$B$3),"进行中","计划中")))</f>
        <v>计划中</v>
      </c>
      <c r="J642" s="6" t="str">
        <f>IF(I642="待估算",IF(OR(F642="/",G642="/",F642="",G642=""),"补充计划日期","补充投入工时"),IF(AND(G642&lt;项目驾驶舱!$B$3,E642&lt;&gt;"已完成"),"确认延期和后续安排","按计划跟踪"))</f>
        <v>按计划跟踪</v>
      </c>
      <c r="K642" s="8"/>
      <c r="L642" t="s">
        <v>67</v>
      </c>
    </row>
    <row r="643" spans="1:12">
      <c r="B643" s="6" t="str">
        <f>项目总控台账!A58</f>
        <v>T055</v>
      </c>
      <c r="C643" s="6" t="str">
        <f>IF(AND(项目总控台账!E58&lt;&gt;"",项目总控台账!E58&lt;&gt;"/"),项目总控台账!E58,IF(AND(项目总控台账!D58&lt;&gt;"",项目总控台账!D58&lt;&gt;"/"),项目总控台账!D58,项目总控台账!C58))</f>
        <v>视频查看权限审批</v>
      </c>
      <c r="D643" s="6" t="str">
        <f>项目总控台账!F58</f>
        <v>第二批次</v>
      </c>
      <c r="E643" s="6" t="str">
        <f>项目总控台账!G58</f>
        <v>未开始</v>
      </c>
      <c r="F643" s="17">
        <f>项目总控台账!V58</f>
        <v>46272</v>
      </c>
      <c r="G643" s="17">
        <f>项目总控台账!W58</f>
        <v>46304</v>
      </c>
      <c r="H643" s="70">
        <v>15</v>
      </c>
      <c r="I643" s="6" t="str">
        <f>IF(H643="","待估算",IF(E643="已完成","已结束",IF(AND(ISNUMBER(F643),ISNUMBER(G643),F643&lt;=项目驾驶舱!$B$3,G643&gt;=项目驾驶舱!$B$3),"进行中","计划中")))</f>
        <v>计划中</v>
      </c>
      <c r="J643" s="6" t="str">
        <f>IF(I643="待估算",IF(OR(F643="/",G643="/",F643="",G643=""),"补充计划日期","补充投入工时"),IF(AND(G643&lt;项目驾驶舱!$B$3,E643&lt;&gt;"已完成"),"确认延期和后续安排","按计划跟踪"))</f>
        <v>按计划跟踪</v>
      </c>
      <c r="K643" s="8"/>
      <c r="L643" t="s">
        <v>67</v>
      </c>
    </row>
    <row r="644" spans="1:12">
      <c r="B644" s="6" t="str">
        <f>项目总控台账!A59</f>
        <v>T056</v>
      </c>
      <c r="C644" s="6" t="str">
        <f>IF(AND(项目总控台账!E59&lt;&gt;"",项目总控台账!E59&lt;&gt;"/"),项目总控台账!E59,IF(AND(项目总控台账!D59&lt;&gt;"",项目总控台账!D59&lt;&gt;"/"),项目总控台账!D59,项目总控台账!C59))</f>
        <v>视频查看权限有效期控制</v>
      </c>
      <c r="D644" s="6" t="str">
        <f>项目总控台账!F59</f>
        <v>第二批次</v>
      </c>
      <c r="E644" s="6" t="str">
        <f>项目总控台账!G59</f>
        <v>未开始</v>
      </c>
      <c r="F644" s="17">
        <f>项目总控台账!V59</f>
        <v>46272</v>
      </c>
      <c r="G644" s="17">
        <f>项目总控台账!W59</f>
        <v>46304</v>
      </c>
      <c r="H644" s="70">
        <v>15</v>
      </c>
      <c r="I644" s="6" t="str">
        <f>IF(H644="","待估算",IF(E644="已完成","已结束",IF(AND(ISNUMBER(F644),ISNUMBER(G644),F644&lt;=项目驾驶舱!$B$3,G644&gt;=项目驾驶舱!$B$3),"进行中","计划中")))</f>
        <v>计划中</v>
      </c>
      <c r="J644" s="6" t="str">
        <f>IF(I644="待估算",IF(OR(F644="/",G644="/",F644="",G644=""),"补充计划日期","补充投入工时"),IF(AND(G644&lt;项目驾驶舱!$B$3,E644&lt;&gt;"已完成"),"确认延期和后续安排","按计划跟踪"))</f>
        <v>按计划跟踪</v>
      </c>
      <c r="K644" s="8"/>
      <c r="L644" t="s">
        <v>67</v>
      </c>
    </row>
    <row r="645" spans="1:12">
      <c r="B645" s="6" t="str">
        <f>项目总控台账!A60</f>
        <v>T057</v>
      </c>
      <c r="C645" s="6" t="str">
        <f>IF(AND(项目总控台账!E60&lt;&gt;"",项目总控台账!E60&lt;&gt;"/"),项目总控台账!E60,IF(AND(项目总控台账!D60&lt;&gt;"",项目总控台账!D60&lt;&gt;"/"),项目总控台账!D60,项目总控台账!C60))</f>
        <v>外网PC端视频监控查询</v>
      </c>
      <c r="D645" s="6" t="str">
        <f>项目总控台账!F60</f>
        <v>第二批次</v>
      </c>
      <c r="E645" s="6" t="str">
        <f>项目总控台账!G60</f>
        <v>未开始</v>
      </c>
      <c r="F645" s="17">
        <f>项目总控台账!V60</f>
        <v>46272</v>
      </c>
      <c r="G645" s="17">
        <f>项目总控台账!W60</f>
        <v>46304</v>
      </c>
      <c r="H645" s="70">
        <v>15</v>
      </c>
      <c r="I645" s="6" t="str">
        <f>IF(H645="","待估算",IF(E645="已完成","已结束",IF(AND(ISNUMBER(F645),ISNUMBER(G645),F645&lt;=项目驾驶舱!$B$3,G645&gt;=项目驾驶舱!$B$3),"进行中","计划中")))</f>
        <v>计划中</v>
      </c>
      <c r="J645" s="6" t="str">
        <f>IF(I645="待估算",IF(OR(F645="/",G645="/",F645="",G645=""),"补充计划日期","补充投入工时"),IF(AND(G645&lt;项目驾驶舱!$B$3,E645&lt;&gt;"已完成"),"确认延期和后续安排","按计划跟踪"))</f>
        <v>按计划跟踪</v>
      </c>
      <c r="K645" s="8"/>
      <c r="L645" t="s">
        <v>67</v>
      </c>
    </row>
    <row r="646" spans="1:12">
      <c r="B646" s="6" t="str">
        <f>项目总控台账!A144</f>
        <v>T141</v>
      </c>
      <c r="C646" s="6" t="str">
        <f>IF(AND(项目总控台账!E144&lt;&gt;"",项目总控台账!E144&lt;&gt;"/"),项目总控台账!E144,IF(AND(项目总控台账!D144&lt;&gt;"",项目总控台账!D144&lt;&gt;"/"),项目总控台账!D144,项目总控台账!C144))</f>
        <v>视频监控查询</v>
      </c>
      <c r="D646" s="6" t="str">
        <f>项目总控台账!F144</f>
        <v>第二批次</v>
      </c>
      <c r="E646" s="6" t="str">
        <f>项目总控台账!G144</f>
        <v>未开始</v>
      </c>
      <c r="F646" s="17">
        <f>项目总控台账!V144</f>
        <v>46272</v>
      </c>
      <c r="G646" s="17">
        <f>项目总控台账!W144</f>
        <v>46304</v>
      </c>
      <c r="H646" s="70">
        <v>15</v>
      </c>
      <c r="I646" s="6" t="str">
        <f>IF(H646="","待估算",IF(E646="已完成","已结束",IF(AND(ISNUMBER(F646),ISNUMBER(G646),F646&lt;=项目驾驶舱!$B$3,G646&gt;=项目驾驶舱!$B$3),"进行中","计划中")))</f>
        <v>计划中</v>
      </c>
      <c r="J646" s="6" t="str">
        <f>IF(I646="待估算",IF(OR(F646="/",G646="/",F646="",G646=""),"补充计划日期","补充投入工时"),IF(AND(G646&lt;项目驾驶舱!$B$3,E646&lt;&gt;"已完成"),"确认延期和后续安排","按计划跟踪"))</f>
        <v>按计划跟踪</v>
      </c>
      <c r="K646" s="8"/>
      <c r="L646" t="s">
        <v>67</v>
      </c>
    </row>
    <row r="647" spans="1:12">
      <c r="B647" s="6" t="str">
        <f>项目总控台账!A8</f>
        <v>T005</v>
      </c>
      <c r="C647" s="6" t="str">
        <f>IF(AND(项目总控台账!E8&lt;&gt;"",项目总控台账!E8&lt;&gt;"/"),项目总控台账!E8,IF(AND(项目总控台账!D8&lt;&gt;"",项目总控台账!D8&lt;&gt;"/"),项目总控台账!D8,项目总控台账!C8))</f>
        <v>船舶唯一性校验</v>
      </c>
      <c r="D647" s="6" t="str">
        <f>项目总控台账!F8</f>
        <v>第二批次</v>
      </c>
      <c r="E647" s="6" t="str">
        <f>项目总控台账!G8</f>
        <v>已完成</v>
      </c>
      <c r="F647" s="17">
        <f>项目总控台账!V8</f>
        <v>46307</v>
      </c>
      <c r="G647" s="17">
        <f>项目总控台账!W8</f>
        <v>46339</v>
      </c>
      <c r="H647" s="70">
        <v>5</v>
      </c>
      <c r="I647" s="6" t="str">
        <f>IF(H647="","待估算",IF(E647="已完成","已结束",IF(AND(ISNUMBER(F647),ISNUMBER(G647),F647&lt;=项目驾驶舱!$B$3,G647&gt;=项目驾驶舱!$B$3),"进行中","计划中")))</f>
        <v>已结束</v>
      </c>
      <c r="J647" s="6" t="str">
        <f>IF(I647="待估算",IF(OR(F647="/",G647="/",F647="",G647=""),"补充计划日期","补充投入工时"),IF(AND(G647&lt;项目驾驶舱!$B$3,E647&lt;&gt;"已完成"),"确认延期和后续安排","按计划跟踪"))</f>
        <v>按计划跟踪</v>
      </c>
      <c r="K647" s="8"/>
      <c r="L647" t="s">
        <v>67</v>
      </c>
    </row>
    <row r="648" spans="1:12">
      <c r="B648" s="6" t="str">
        <f>项目总控台账!A22</f>
        <v>T019</v>
      </c>
      <c r="C648" s="6" t="str">
        <f>IF(AND(项目总控台账!E22&lt;&gt;"",项目总控台账!E22&lt;&gt;"/"),项目总控台账!E22,IF(AND(项目总控台账!D22&lt;&gt;"",项目总控台账!D22&lt;&gt;"/"),项目总控台账!D22,项目总控台账!C22))</f>
        <v>对接卸船计划</v>
      </c>
      <c r="D648" s="6" t="str">
        <f>项目总控台账!F22</f>
        <v>第二批次</v>
      </c>
      <c r="E648" s="6" t="str">
        <f>项目总控台账!G22</f>
        <v>进行中</v>
      </c>
      <c r="F648" s="17">
        <f>项目总控台账!V22</f>
        <v>46307</v>
      </c>
      <c r="G648" s="17">
        <f>项目总控台账!W22</f>
        <v>46339</v>
      </c>
      <c r="H648" s="70">
        <v>5</v>
      </c>
      <c r="I648" s="6" t="str">
        <f>IF(H648="","待估算",IF(E648="已完成","已结束",IF(AND(ISNUMBER(F648),ISNUMBER(G648),F648&lt;=项目驾驶舱!$B$3,G648&gt;=项目驾驶舱!$B$3),"进行中","计划中")))</f>
        <v>计划中</v>
      </c>
      <c r="J648" s="6" t="str">
        <f>IF(I648="待估算",IF(OR(F648="/",G648="/",F648="",G648=""),"补充计划日期","补充投入工时"),IF(AND(G648&lt;项目驾驶舱!$B$3,E648&lt;&gt;"已完成"),"确认延期和后续安排","按计划跟踪"))</f>
        <v>按计划跟踪</v>
      </c>
      <c r="K648" s="8"/>
      <c r="L648" t="s">
        <v>67</v>
      </c>
    </row>
    <row r="649" spans="1:12">
      <c r="B649" s="6" t="str">
        <f>项目总控台账!A23</f>
        <v>T020</v>
      </c>
      <c r="C649" s="6" t="str">
        <f>IF(AND(项目总控台账!E23&lt;&gt;"",项目总控台账!E23&lt;&gt;"/"),项目总控台账!E23,IF(AND(项目总控台账!D23&lt;&gt;"",项目总控台账!D23&lt;&gt;"/"),项目总控台账!D23,项目总控台账!C23))</f>
        <v>查询卸车计划</v>
      </c>
      <c r="D649" s="6" t="str">
        <f>项目总控台账!F23</f>
        <v>第二批次</v>
      </c>
      <c r="E649" s="6" t="str">
        <f>项目总控台账!G23</f>
        <v>进行中</v>
      </c>
      <c r="F649" s="17">
        <f>项目总控台账!V23</f>
        <v>46307</v>
      </c>
      <c r="G649" s="17">
        <f>项目总控台账!W23</f>
        <v>46339</v>
      </c>
      <c r="H649" s="70">
        <v>5</v>
      </c>
      <c r="I649" s="6" t="str">
        <f>IF(H649="","待估算",IF(E649="已完成","已结束",IF(AND(ISNUMBER(F649),ISNUMBER(G649),F649&lt;=项目驾驶舱!$B$3,G649&gt;=项目驾驶舱!$B$3),"进行中","计划中")))</f>
        <v>计划中</v>
      </c>
      <c r="J649" s="6" t="str">
        <f>IF(I649="待估算",IF(OR(F649="/",G649="/",F649="",G649=""),"补充计划日期","补充投入工时"),IF(AND(G649&lt;项目驾驶舱!$B$3,E649&lt;&gt;"已完成"),"确认延期和后续安排","按计划跟踪"))</f>
        <v>按计划跟踪</v>
      </c>
      <c r="K649" s="8"/>
      <c r="L649" t="s">
        <v>67</v>
      </c>
    </row>
    <row r="650" spans="1:12">
      <c r="A650" s="71"/>
      <c r="B650" s="6" t="str">
        <f>项目总控台账!A24</f>
        <v>T021</v>
      </c>
      <c r="C650" s="6" t="str">
        <f>IF(AND(项目总控台账!E24&lt;&gt;"",项目总控台账!E24&lt;&gt;"/"),项目总控台账!E24,IF(AND(项目总控台账!D24&lt;&gt;"",项目总控台账!D24&lt;&gt;"/"),项目总控台账!D24,项目总控台账!C24))</f>
        <v>外部客户确认</v>
      </c>
      <c r="D650" s="6" t="str">
        <f>项目总控台账!F24</f>
        <v>第二批次</v>
      </c>
      <c r="E650" s="6" t="str">
        <f>项目总控台账!G24</f>
        <v>进行中</v>
      </c>
      <c r="F650" s="17">
        <f>项目总控台账!V24</f>
        <v>46307</v>
      </c>
      <c r="G650" s="17">
        <f>项目总控台账!W24</f>
        <v>46339</v>
      </c>
      <c r="H650" s="70">
        <v>5</v>
      </c>
      <c r="I650" s="6" t="str">
        <f>IF(H650="","待估算",IF(E650="已完成","已结束",IF(AND(ISNUMBER(F650),ISNUMBER(G650),F650&lt;=项目驾驶舱!$B$3,G650&gt;=项目驾驶舱!$B$3),"进行中","计划中")))</f>
        <v>计划中</v>
      </c>
      <c r="J650" s="6" t="str">
        <f>IF(I650="待估算",IF(OR(F650="/",G650="/",F650="",G650=""),"补充计划日期","补充投入工时"),IF(AND(G650&lt;项目驾驶舱!$B$3,E650&lt;&gt;"已完成"),"确认延期和后续安排","按计划跟踪"))</f>
        <v>按计划跟踪</v>
      </c>
      <c r="K650" s="8"/>
      <c r="L650" t="s">
        <v>67</v>
      </c>
    </row>
    <row r="651" spans="1:12">
      <c r="A651" s="72" t="s">
        <v>67</v>
      </c>
      <c r="B651" s="6" t="str">
        <f>项目总控台账!A25</f>
        <v>T022</v>
      </c>
      <c r="C651" s="6" t="str">
        <f>IF(AND(项目总控台账!E25&lt;&gt;"",项目总控台账!E25&lt;&gt;"/"),项目总控台账!E25,IF(AND(项目总控台账!D25&lt;&gt;"",项目总控台账!D25&lt;&gt;"/"),项目总控台账!D25,项目总控台账!C25))</f>
        <v>对接卸船作业信息</v>
      </c>
      <c r="D651" s="6" t="str">
        <f>项目总控台账!F25</f>
        <v>第二批次</v>
      </c>
      <c r="E651" s="6" t="str">
        <f>项目总控台账!G25</f>
        <v>未开始</v>
      </c>
      <c r="F651" s="17">
        <f>项目总控台账!V25</f>
        <v>46307</v>
      </c>
      <c r="G651" s="17">
        <f>项目总控台账!W25</f>
        <v>46339</v>
      </c>
      <c r="H651" s="70">
        <v>5</v>
      </c>
      <c r="I651" s="6" t="str">
        <f>IF(H651="","待估算",IF(E651="已完成","已结束",IF(AND(ISNUMBER(F651),ISNUMBER(G651),F651&lt;=项目驾驶舱!$B$3,G651&gt;=项目驾驶舱!$B$3),"进行中","计划中")))</f>
        <v>计划中</v>
      </c>
      <c r="J651" s="6" t="str">
        <f>IF(I651="待估算",IF(OR(F651="/",G651="/",F651="",G651=""),"补充计划日期","补充投入工时"),IF(AND(G651&lt;项目驾驶舱!$B$3,E651&lt;&gt;"已完成"),"确认延期和后续安排","按计划跟踪"))</f>
        <v>按计划跟踪</v>
      </c>
      <c r="K651" s="8"/>
      <c r="L651" t="s">
        <v>67</v>
      </c>
    </row>
    <row r="652" spans="1:12">
      <c r="B652" s="6" t="str">
        <f>项目总控台账!A26</f>
        <v>T023</v>
      </c>
      <c r="C652" s="6" t="str">
        <f>IF(AND(项目总控台账!E26&lt;&gt;"",项目总控台账!E26&lt;&gt;"/"),项目总控台账!E26,IF(AND(项目总控台账!D26&lt;&gt;"",项目总控台账!D26&lt;&gt;"/"),项目总控台账!D26,项目总控台账!C26))</f>
        <v>查询卸船作业信息</v>
      </c>
      <c r="D652" s="6" t="str">
        <f>项目总控台账!F26</f>
        <v>第二批次</v>
      </c>
      <c r="E652" s="6" t="str">
        <f>项目总控台账!G26</f>
        <v>未开始</v>
      </c>
      <c r="F652" s="17">
        <f>项目总控台账!V26</f>
        <v>46307</v>
      </c>
      <c r="G652" s="17">
        <f>项目总控台账!W26</f>
        <v>46339</v>
      </c>
      <c r="H652" s="70">
        <v>5</v>
      </c>
      <c r="I652" s="6" t="str">
        <f>IF(H652="","待估算",IF(E652="已完成","已结束",IF(AND(ISNUMBER(F652),ISNUMBER(G652),F652&lt;=项目驾驶舱!$B$3,G652&gt;=项目驾驶舱!$B$3),"进行中","计划中")))</f>
        <v>计划中</v>
      </c>
      <c r="J652" s="6" t="str">
        <f>IF(I652="待估算",IF(OR(F652="/",G652="/",F652="",G652=""),"补充计划日期","补充投入工时"),IF(AND(G652&lt;项目驾驶舱!$B$3,E652&lt;&gt;"已完成"),"确认延期和后续安排","按计划跟踪"))</f>
        <v>按计划跟踪</v>
      </c>
      <c r="K652" s="8"/>
      <c r="L652" t="s">
        <v>67</v>
      </c>
    </row>
    <row r="653" spans="1:12">
      <c r="B653" s="6" t="str">
        <f>项目总控台账!A27</f>
        <v>T024</v>
      </c>
      <c r="C653" s="6" t="str">
        <f>IF(AND(项目总控台账!E27&lt;&gt;"",项目总控台账!E27&lt;&gt;"/"),项目总控台账!E27,IF(AND(项目总控台账!D27&lt;&gt;"",项目总控台账!D27&lt;&gt;"/"),项目总控台账!D27,项目总控台账!C27))</f>
        <v>卸船查询列表</v>
      </c>
      <c r="D653" s="6" t="str">
        <f>项目总控台账!F27</f>
        <v>第二批次</v>
      </c>
      <c r="E653" s="6" t="str">
        <f>项目总控台账!G27</f>
        <v>未开始</v>
      </c>
      <c r="F653" s="17">
        <f>项目总控台账!V27</f>
        <v>46307</v>
      </c>
      <c r="G653" s="17">
        <f>项目总控台账!W27</f>
        <v>46339</v>
      </c>
      <c r="H653" s="70">
        <v>5</v>
      </c>
      <c r="I653" s="6" t="str">
        <f>IF(H653="","待估算",IF(E653="已完成","已结束",IF(AND(ISNUMBER(F653),ISNUMBER(G653),F653&lt;=项目驾驶舱!$B$3,G653&gt;=项目驾驶舱!$B$3),"进行中","计划中")))</f>
        <v>计划中</v>
      </c>
      <c r="J653" s="6" t="str">
        <f>IF(I653="待估算",IF(OR(F653="/",G653="/",F653="",G653=""),"补充计划日期","补充投入工时"),IF(AND(G653&lt;项目驾驶舱!$B$3,E653&lt;&gt;"已完成"),"确认延期和后续安排","按计划跟踪"))</f>
        <v>按计划跟踪</v>
      </c>
      <c r="K653" s="8"/>
      <c r="L653" t="s">
        <v>67</v>
      </c>
    </row>
    <row r="654" spans="1:12">
      <c r="B654" s="6" t="str">
        <f>项目总控台账!A28</f>
        <v>T025</v>
      </c>
      <c r="C654" s="6" t="str">
        <f>IF(AND(项目总控台账!E28&lt;&gt;"",项目总控台账!E28&lt;&gt;"/"),项目总控台账!E28,IF(AND(项目总控台账!D28&lt;&gt;"",项目总控台账!D28&lt;&gt;"/"),项目总控台账!D28,项目总控台账!C28))</f>
        <v>卸船查询详情</v>
      </c>
      <c r="D654" s="6" t="str">
        <f>项目总控台账!F28</f>
        <v>第二批次</v>
      </c>
      <c r="E654" s="6" t="str">
        <f>项目总控台账!G28</f>
        <v>未开始</v>
      </c>
      <c r="F654" s="17">
        <f>项目总控台账!V28</f>
        <v>46307</v>
      </c>
      <c r="G654" s="17">
        <f>项目总控台账!W28</f>
        <v>46339</v>
      </c>
      <c r="H654" s="70">
        <v>5</v>
      </c>
      <c r="I654" s="6" t="str">
        <f>IF(H654="","待估算",IF(E654="已完成","已结束",IF(AND(ISNUMBER(F654),ISNUMBER(G654),F654&lt;=项目驾驶舱!$B$3,G654&gt;=项目驾驶舱!$B$3),"进行中","计划中")))</f>
        <v>计划中</v>
      </c>
      <c r="J654" s="6" t="str">
        <f>IF(I654="待估算",IF(OR(F654="/",G654="/",F654="",G654=""),"补充计划日期","补充投入工时"),IF(AND(G654&lt;项目驾驶舱!$B$3,E654&lt;&gt;"已完成"),"确认延期和后续安排","按计划跟踪"))</f>
        <v>按计划跟踪</v>
      </c>
      <c r="K654" s="8"/>
      <c r="L654" t="s">
        <v>67</v>
      </c>
    </row>
    <row r="655" spans="1:12">
      <c r="B655" s="6" t="str">
        <f>项目总控台账!A29</f>
        <v>T026</v>
      </c>
      <c r="C655" s="6" t="str">
        <f>IF(AND(项目总控台账!E29&lt;&gt;"",项目总控台账!E29&lt;&gt;"/"),项目总控台账!E29,IF(AND(项目总控台账!D29&lt;&gt;"",项目总控台账!D29&lt;&gt;"/"),项目总控台账!D29,项目总控台账!C29))</f>
        <v>创建卸船作业委托信息</v>
      </c>
      <c r="D655" s="6" t="str">
        <f>项目总控台账!F29</f>
        <v>第二批次</v>
      </c>
      <c r="E655" s="6" t="str">
        <f>项目总控台账!G29</f>
        <v>进行中</v>
      </c>
      <c r="F655" s="17">
        <f>项目总控台账!V29</f>
        <v>46307</v>
      </c>
      <c r="G655" s="17">
        <f>项目总控台账!W29</f>
        <v>46339</v>
      </c>
      <c r="H655" s="70">
        <v>5</v>
      </c>
      <c r="I655" s="6" t="str">
        <f>IF(H655="","待估算",IF(E655="已完成","已结束",IF(AND(ISNUMBER(F655),ISNUMBER(G655),F655&lt;=项目驾驶舱!$B$3,G655&gt;=项目驾驶舱!$B$3),"进行中","计划中")))</f>
        <v>计划中</v>
      </c>
      <c r="J655" s="6" t="str">
        <f>IF(I655="待估算",IF(OR(F655="/",G655="/",F655="",G655=""),"补充计划日期","补充投入工时"),IF(AND(G655&lt;项目驾驶舱!$B$3,E655&lt;&gt;"已完成"),"确认延期和后续安排","按计划跟踪"))</f>
        <v>按计划跟踪</v>
      </c>
      <c r="K655" s="8"/>
      <c r="L655" t="s">
        <v>67</v>
      </c>
    </row>
    <row r="656" spans="1:12">
      <c r="B656" s="6" t="str">
        <f>项目总控台账!A30</f>
        <v>T027</v>
      </c>
      <c r="C656" s="6" t="str">
        <f>IF(AND(项目总控台账!E30&lt;&gt;"",项目总控台账!E30&lt;&gt;"/"),项目总控台账!E30,IF(AND(项目总控台账!D30&lt;&gt;"",项目总控台账!D30&lt;&gt;"/"),项目总控台账!D30,项目总控台账!C30))</f>
        <v>修改卸船作业委托信息</v>
      </c>
      <c r="D656" s="6" t="str">
        <f>项目总控台账!F30</f>
        <v>第二批次</v>
      </c>
      <c r="E656" s="6" t="str">
        <f>项目总控台账!G30</f>
        <v>进行中</v>
      </c>
      <c r="F656" s="17">
        <f>项目总控台账!V30</f>
        <v>46307</v>
      </c>
      <c r="G656" s="17">
        <f>项目总控台账!W30</f>
        <v>46339</v>
      </c>
      <c r="H656" s="70">
        <v>5</v>
      </c>
      <c r="I656" s="6" t="str">
        <f>IF(H656="","待估算",IF(E656="已完成","已结束",IF(AND(ISNUMBER(F656),ISNUMBER(G656),F656&lt;=项目驾驶舱!$B$3,G656&gt;=项目驾驶舱!$B$3),"进行中","计划中")))</f>
        <v>计划中</v>
      </c>
      <c r="J656" s="6" t="str">
        <f>IF(I656="待估算",IF(OR(F656="/",G656="/",F656="",G656=""),"补充计划日期","补充投入工时"),IF(AND(G656&lt;项目驾驶舱!$B$3,E656&lt;&gt;"已完成"),"确认延期和后续安排","按计划跟踪"))</f>
        <v>按计划跟踪</v>
      </c>
      <c r="K656" s="8"/>
      <c r="L656" t="s">
        <v>67</v>
      </c>
    </row>
    <row r="657" spans="1:12">
      <c r="B657" s="6" t="str">
        <f>项目总控台账!A31</f>
        <v>T028</v>
      </c>
      <c r="C657" s="6" t="str">
        <f>IF(AND(项目总控台账!E31&lt;&gt;"",项目总控台账!E31&lt;&gt;"/"),项目总控台账!E31,IF(AND(项目总控台账!D31&lt;&gt;"",项目总控台账!D31&lt;&gt;"/"),项目总控台账!D31,项目总控台账!C31))</f>
        <v>作废卸船作业委托信息</v>
      </c>
      <c r="D657" s="6" t="str">
        <f>项目总控台账!F31</f>
        <v>第二批次</v>
      </c>
      <c r="E657" s="6" t="str">
        <f>项目总控台账!G31</f>
        <v>进行中</v>
      </c>
      <c r="F657" s="17">
        <f>项目总控台账!V31</f>
        <v>46307</v>
      </c>
      <c r="G657" s="17">
        <f>项目总控台账!W31</f>
        <v>46339</v>
      </c>
      <c r="H657" s="70">
        <v>5</v>
      </c>
      <c r="I657" s="6" t="str">
        <f>IF(H657="","待估算",IF(E657="已完成","已结束",IF(AND(ISNUMBER(F657),ISNUMBER(G657),F657&lt;=项目驾驶舱!$B$3,G657&gt;=项目驾驶舱!$B$3),"进行中","计划中")))</f>
        <v>计划中</v>
      </c>
      <c r="J657" s="6" t="str">
        <f>IF(I657="待估算",IF(OR(F657="/",G657="/",F657="",G657=""),"补充计划日期","补充投入工时"),IF(AND(G657&lt;项目驾驶舱!$B$3,E657&lt;&gt;"已完成"),"确认延期和后续安排","按计划跟踪"))</f>
        <v>按计划跟踪</v>
      </c>
      <c r="K657" s="8"/>
      <c r="L657" t="s">
        <v>67</v>
      </c>
    </row>
    <row r="658" spans="1:12">
      <c r="B658" s="6" t="str">
        <f>项目总控台账!A32</f>
        <v>T029</v>
      </c>
      <c r="C658" s="6" t="str">
        <f>IF(AND(项目总控台账!E32&lt;&gt;"",项目总控台账!E32&lt;&gt;"/"),项目总控台账!E32,IF(AND(项目总控台账!D32&lt;&gt;"",项目总控台账!D32&lt;&gt;"/"),项目总控台账!D32,项目总控台账!C32))</f>
        <v>推送卸船作业委托信息</v>
      </c>
      <c r="D658" s="6" t="str">
        <f>项目总控台账!F32</f>
        <v>第二批次</v>
      </c>
      <c r="E658" s="6" t="str">
        <f>项目总控台账!G32</f>
        <v>进行中</v>
      </c>
      <c r="F658" s="17">
        <f>项目总控台账!V32</f>
        <v>46307</v>
      </c>
      <c r="G658" s="17">
        <f>项目总控台账!W32</f>
        <v>46339</v>
      </c>
      <c r="H658" s="70">
        <v>5</v>
      </c>
      <c r="I658" s="6" t="str">
        <f>IF(H658="","待估算",IF(E658="已完成","已结束",IF(AND(ISNUMBER(F658),ISNUMBER(G658),F658&lt;=项目驾驶舱!$B$3,G658&gt;=项目驾驶舱!$B$3),"进行中","计划中")))</f>
        <v>计划中</v>
      </c>
      <c r="J658" s="6" t="str">
        <f>IF(I658="待估算",IF(OR(F658="/",G658="/",F658="",G658=""),"补充计划日期","补充投入工时"),IF(AND(G658&lt;项目驾驶舱!$B$3,E658&lt;&gt;"已完成"),"确认延期和后续安排","按计划跟踪"))</f>
        <v>按计划跟踪</v>
      </c>
      <c r="K658" s="8"/>
      <c r="L658" t="s">
        <v>67</v>
      </c>
    </row>
    <row r="659" spans="1:12">
      <c r="B659" s="6" t="str">
        <f>项目总控台账!A33</f>
        <v>T030</v>
      </c>
      <c r="C659" s="6" t="str">
        <f>IF(AND(项目总控台账!E33&lt;&gt;"",项目总控台账!E33&lt;&gt;"/"),项目总控台账!E33,IF(AND(项目总控台账!D33&lt;&gt;"",项目总控台账!D33&lt;&gt;"/"),项目总控台账!D33,项目总控台账!C33))</f>
        <v>查询卸船作业委托信息</v>
      </c>
      <c r="D659" s="6" t="str">
        <f>项目总控台账!F33</f>
        <v>第二批次</v>
      </c>
      <c r="E659" s="6" t="str">
        <f>项目总控台账!G33</f>
        <v>进行中</v>
      </c>
      <c r="F659" s="17">
        <f>项目总控台账!V33</f>
        <v>46307</v>
      </c>
      <c r="G659" s="17">
        <f>项目总控台账!W33</f>
        <v>46339</v>
      </c>
      <c r="H659" s="70">
        <v>5</v>
      </c>
      <c r="I659" s="6" t="str">
        <f>IF(H659="","待估算",IF(E659="已完成","已结束",IF(AND(ISNUMBER(F659),ISNUMBER(G659),F659&lt;=项目驾驶舱!$B$3,G659&gt;=项目驾驶舱!$B$3),"进行中","计划中")))</f>
        <v>计划中</v>
      </c>
      <c r="J659" s="6" t="str">
        <f>IF(I659="待估算",IF(OR(F659="/",G659="/",F659="",G659=""),"补充计划日期","补充投入工时"),IF(AND(G659&lt;项目驾驶舱!$B$3,E659&lt;&gt;"已完成"),"确认延期和后续安排","按计划跟踪"))</f>
        <v>按计划跟踪</v>
      </c>
      <c r="K659" s="8"/>
      <c r="L659" t="s">
        <v>67</v>
      </c>
    </row>
    <row r="660" spans="1:12">
      <c r="B660" s="6" t="str">
        <f>项目总控台账!A34</f>
        <v>T031</v>
      </c>
      <c r="C660" s="6" t="str">
        <f>IF(AND(项目总控台账!E34&lt;&gt;"",项目总控台账!E34&lt;&gt;"/"),项目总控台账!E34,IF(AND(项目总控台账!D34&lt;&gt;"",项目总控台账!D34&lt;&gt;"/"),项目总控台账!D34,项目总控台账!C34))</f>
        <v>创建外轮转内贸业务信息</v>
      </c>
      <c r="D660" s="6" t="str">
        <f>项目总控台账!F34</f>
        <v>第二批次</v>
      </c>
      <c r="E660" s="6" t="str">
        <f>项目总控台账!G34</f>
        <v>未开始</v>
      </c>
      <c r="F660" s="17">
        <f>项目总控台账!V34</f>
        <v>46307</v>
      </c>
      <c r="G660" s="17">
        <f>项目总控台账!W34</f>
        <v>46339</v>
      </c>
      <c r="H660" s="70">
        <v>5</v>
      </c>
      <c r="I660" s="6" t="str">
        <f>IF(H660="","待估算",IF(E660="已完成","已结束",IF(AND(ISNUMBER(F660),ISNUMBER(G660),F660&lt;=项目驾驶舱!$B$3,G660&gt;=项目驾驶舱!$B$3),"进行中","计划中")))</f>
        <v>计划中</v>
      </c>
      <c r="J660" s="6" t="str">
        <f>IF(I660="待估算",IF(OR(F660="/",G660="/",F660="",G660=""),"补充计划日期","补充投入工时"),IF(AND(G660&lt;项目驾驶舱!$B$3,E660&lt;&gt;"已完成"),"确认延期和后续安排","按计划跟踪"))</f>
        <v>按计划跟踪</v>
      </c>
      <c r="K660" s="8"/>
      <c r="L660" t="s">
        <v>67</v>
      </c>
    </row>
    <row r="661" spans="1:12">
      <c r="B661" s="6" t="str">
        <f>项目总控台账!A35</f>
        <v>T032</v>
      </c>
      <c r="C661" s="6" t="str">
        <f>IF(AND(项目总控台账!E35&lt;&gt;"",项目总控台账!E35&lt;&gt;"/"),项目总控台账!E35,IF(AND(项目总控台账!D35&lt;&gt;"",项目总控台账!D35&lt;&gt;"/"),项目总控台账!D35,项目总控台账!C35))</f>
        <v>作废外轮转内贸业务信息</v>
      </c>
      <c r="D661" s="6" t="str">
        <f>项目总控台账!F35</f>
        <v>第二批次</v>
      </c>
      <c r="E661" s="6" t="str">
        <f>项目总控台账!G35</f>
        <v>未开始</v>
      </c>
      <c r="F661" s="17">
        <f>项目总控台账!V35</f>
        <v>46307</v>
      </c>
      <c r="G661" s="17">
        <f>项目总控台账!W35</f>
        <v>46339</v>
      </c>
      <c r="H661" s="70">
        <v>5</v>
      </c>
      <c r="I661" s="6" t="str">
        <f>IF(H661="","待估算",IF(E661="已完成","已结束",IF(AND(ISNUMBER(F661),ISNUMBER(G661),F661&lt;=项目驾驶舱!$B$3,G661&gt;=项目驾驶舱!$B$3),"进行中","计划中")))</f>
        <v>计划中</v>
      </c>
      <c r="J661" s="6" t="str">
        <f>IF(I661="待估算",IF(OR(F661="/",G661="/",F661="",G661=""),"补充计划日期","补充投入工时"),IF(AND(G661&lt;项目驾驶舱!$B$3,E661&lt;&gt;"已完成"),"确认延期和后续安排","按计划跟踪"))</f>
        <v>按计划跟踪</v>
      </c>
      <c r="K661" s="8"/>
      <c r="L661" t="s">
        <v>67</v>
      </c>
    </row>
    <row r="662" spans="1:12">
      <c r="A662" s="71"/>
      <c r="B662" s="6" t="str">
        <f>项目总控台账!A36</f>
        <v>T033</v>
      </c>
      <c r="C662" s="6" t="str">
        <f>IF(AND(项目总控台账!E36&lt;&gt;"",项目总控台账!E36&lt;&gt;"/"),项目总控台账!E36,IF(AND(项目总控台账!D36&lt;&gt;"",项目总控台账!D36&lt;&gt;"/"),项目总控台账!D36,项目总控台账!C36))</f>
        <v>查询外轮转内贸业务信息</v>
      </c>
      <c r="D662" s="6" t="str">
        <f>项目总控台账!F36</f>
        <v>第二批次</v>
      </c>
      <c r="E662" s="6" t="str">
        <f>项目总控台账!G36</f>
        <v>未开始</v>
      </c>
      <c r="F662" s="17">
        <f>项目总控台账!V36</f>
        <v>46307</v>
      </c>
      <c r="G662" s="17">
        <f>项目总控台账!W36</f>
        <v>46339</v>
      </c>
      <c r="H662" s="70">
        <v>5</v>
      </c>
      <c r="I662" s="6" t="str">
        <f>IF(H662="","待估算",IF(E662="已完成","已结束",IF(AND(ISNUMBER(F662),ISNUMBER(G662),F662&lt;=项目驾驶舱!$B$3,G662&gt;=项目驾驶舱!$B$3),"进行中","计划中")))</f>
        <v>计划中</v>
      </c>
      <c r="J662" s="6" t="str">
        <f>IF(I662="待估算",IF(OR(F662="/",G662="/",F662="",G662=""),"补充计划日期","补充投入工时"),IF(AND(G662&lt;项目驾驶舱!$B$3,E662&lt;&gt;"已完成"),"确认延期和后续安排","按计划跟踪"))</f>
        <v>按计划跟踪</v>
      </c>
      <c r="K662" s="8"/>
      <c r="L662" t="s">
        <v>67</v>
      </c>
    </row>
    <row r="663" spans="1:12">
      <c r="A663" s="72" t="s">
        <v>67</v>
      </c>
      <c r="B663" s="6" t="str">
        <f>项目总控台账!A37</f>
        <v>T034</v>
      </c>
      <c r="C663" s="6" t="str">
        <f>IF(AND(项目总控台账!E37&lt;&gt;"",项目总控台账!E37&lt;&gt;"/"),项目总控台账!E37,IF(AND(项目总控台账!D37&lt;&gt;"",项目总控台账!D37&lt;&gt;"/"),项目总控台账!D37,项目总控台账!C37))</f>
        <v>新增船舶靠泊通知单</v>
      </c>
      <c r="D663" s="6" t="str">
        <f>项目总控台账!F37</f>
        <v>第二批次</v>
      </c>
      <c r="E663" s="6" t="str">
        <f>项目总控台账!G37</f>
        <v>进行中</v>
      </c>
      <c r="F663" s="17">
        <f>项目总控台账!V37</f>
        <v>46307</v>
      </c>
      <c r="G663" s="17">
        <f>项目总控台账!W37</f>
        <v>46339</v>
      </c>
      <c r="H663" s="70">
        <v>5</v>
      </c>
      <c r="I663" s="6" t="str">
        <f>IF(H663="","待估算",IF(E663="已完成","已结束",IF(AND(ISNUMBER(F663),ISNUMBER(G663),F663&lt;=项目驾驶舱!$B$3,G663&gt;=项目驾驶舱!$B$3),"进行中","计划中")))</f>
        <v>计划中</v>
      </c>
      <c r="J663" s="6" t="str">
        <f>IF(I663="待估算",IF(OR(F663="/",G663="/",F663="",G663=""),"补充计划日期","补充投入工时"),IF(AND(G663&lt;项目驾驶舱!$B$3,E663&lt;&gt;"已完成"),"确认延期和后续安排","按计划跟踪"))</f>
        <v>按计划跟踪</v>
      </c>
      <c r="K663" s="8"/>
      <c r="L663" t="s">
        <v>67</v>
      </c>
    </row>
    <row r="664" spans="1:12">
      <c r="B664" s="6" t="str">
        <f>项目总控台账!A38</f>
        <v>T035</v>
      </c>
      <c r="C664" s="6" t="str">
        <f>IF(AND(项目总控台账!E38&lt;&gt;"",项目总控台账!E38&lt;&gt;"/"),项目总控台账!E38,IF(AND(项目总控台账!D38&lt;&gt;"",项目总控台账!D38&lt;&gt;"/"),项目总控台账!D38,项目总控台账!C38))</f>
        <v>审批船舶靠泊通知单</v>
      </c>
      <c r="D664" s="6" t="str">
        <f>项目总控台账!F38</f>
        <v>第二批次</v>
      </c>
      <c r="E664" s="6" t="str">
        <f>项目总控台账!G38</f>
        <v>进行中</v>
      </c>
      <c r="F664" s="17">
        <f>项目总控台账!V38</f>
        <v>46307</v>
      </c>
      <c r="G664" s="17">
        <f>项目总控台账!W38</f>
        <v>46339</v>
      </c>
      <c r="H664" s="70">
        <v>5</v>
      </c>
      <c r="I664" s="6" t="str">
        <f>IF(H664="","待估算",IF(E664="已完成","已结束",IF(AND(ISNUMBER(F664),ISNUMBER(G664),F664&lt;=项目驾驶舱!$B$3,G664&gt;=项目驾驶舱!$B$3),"进行中","计划中")))</f>
        <v>计划中</v>
      </c>
      <c r="J664" s="6" t="str">
        <f>IF(I664="待估算",IF(OR(F664="/",G664="/",F664="",G664=""),"补充计划日期","补充投入工时"),IF(AND(G664&lt;项目驾驶舱!$B$3,E664&lt;&gt;"已完成"),"确认延期和后续安排","按计划跟踪"))</f>
        <v>按计划跟踪</v>
      </c>
      <c r="K664" s="8"/>
      <c r="L664" t="s">
        <v>67</v>
      </c>
    </row>
    <row r="665" spans="1:12">
      <c r="B665" s="6" t="str">
        <f>项目总控台账!A39</f>
        <v>T036</v>
      </c>
      <c r="C665" s="6" t="str">
        <f>IF(AND(项目总控台账!E39&lt;&gt;"",项目总控台账!E39&lt;&gt;"/"),项目总控台账!E39,IF(AND(项目总控台账!D39&lt;&gt;"",项目总控台账!D39&lt;&gt;"/"),项目总控台账!D39,项目总控台账!C39))</f>
        <v>查询船舶靠泊通知单</v>
      </c>
      <c r="D665" s="6" t="str">
        <f>项目总控台账!F39</f>
        <v>第二批次</v>
      </c>
      <c r="E665" s="6" t="str">
        <f>项目总控台账!G39</f>
        <v>进行中</v>
      </c>
      <c r="F665" s="17">
        <f>项目总控台账!V39</f>
        <v>46307</v>
      </c>
      <c r="G665" s="17">
        <f>项目总控台账!W39</f>
        <v>46339</v>
      </c>
      <c r="H665" s="70">
        <v>5</v>
      </c>
      <c r="I665" s="6" t="str">
        <f>IF(H665="","待估算",IF(E665="已完成","已结束",IF(AND(ISNUMBER(F665),ISNUMBER(G665),F665&lt;=项目驾驶舱!$B$3,G665&gt;=项目驾驶舱!$B$3),"进行中","计划中")))</f>
        <v>计划中</v>
      </c>
      <c r="J665" s="6" t="str">
        <f>IF(I665="待估算",IF(OR(F665="/",G665="/",F665="",G665=""),"补充计划日期","补充投入工时"),IF(AND(G665&lt;项目驾驶舱!$B$3,E665&lt;&gt;"已完成"),"确认延期和后续安排","按计划跟踪"))</f>
        <v>按计划跟踪</v>
      </c>
      <c r="K665" s="8"/>
      <c r="L665" t="s">
        <v>67</v>
      </c>
    </row>
    <row r="666" spans="1:12">
      <c r="B666" s="6" t="str">
        <f>项目总控台账!A49</f>
        <v>T046</v>
      </c>
      <c r="C666" s="6" t="str">
        <f>IF(AND(项目总控台账!E49&lt;&gt;"",项目总控台账!E49&lt;&gt;"/"),项目总控台账!E49,IF(AND(项目总控台账!D49&lt;&gt;"",项目总控台账!D49&lt;&gt;"/"),项目总控台账!D49,项目总控台账!C49))</f>
        <v>新增船舶预到（外贸）</v>
      </c>
      <c r="D666" s="6" t="str">
        <f>项目总控台账!F49</f>
        <v>第二批次</v>
      </c>
      <c r="E666" s="6" t="str">
        <f>项目总控台账!G49</f>
        <v>已完成</v>
      </c>
      <c r="F666" s="17">
        <f>项目总控台账!V49</f>
        <v>46307</v>
      </c>
      <c r="G666" s="17">
        <f>项目总控台账!W49</f>
        <v>46339</v>
      </c>
      <c r="H666" s="70">
        <v>5</v>
      </c>
      <c r="I666" s="6" t="str">
        <f>IF(H666="","待估算",IF(E666="已完成","已结束",IF(AND(ISNUMBER(F666),ISNUMBER(G666),F666&lt;=项目驾驶舱!$B$3,G666&gt;=项目驾驶舱!$B$3),"进行中","计划中")))</f>
        <v>已结束</v>
      </c>
      <c r="J666" s="6" t="str">
        <f>IF(I666="待估算",IF(OR(F666="/",G666="/",F666="",G666=""),"补充计划日期","补充投入工时"),IF(AND(G666&lt;项目驾驶舱!$B$3,E666&lt;&gt;"已完成"),"确认延期和后续安排","按计划跟踪"))</f>
        <v>按计划跟踪</v>
      </c>
      <c r="K666" s="8"/>
      <c r="L666" t="s">
        <v>67</v>
      </c>
    </row>
    <row r="667" spans="1:12">
      <c r="B667" s="6" t="str">
        <f>项目总控台账!A50</f>
        <v>T047</v>
      </c>
      <c r="C667" s="6" t="str">
        <f>IF(AND(项目总控台账!E50&lt;&gt;"",项目总控台账!E50&lt;&gt;"/"),项目总控台账!E50,IF(AND(项目总控台账!D50&lt;&gt;"",项目总控台账!D50&lt;&gt;"/"),项目总控台账!D50,项目总控台账!C50))</f>
        <v>退回船舶预到（外贸）</v>
      </c>
      <c r="D667" s="6" t="str">
        <f>项目总控台账!F50</f>
        <v>第二批次</v>
      </c>
      <c r="E667" s="6" t="str">
        <f>项目总控台账!G50</f>
        <v>未开始</v>
      </c>
      <c r="F667" s="17">
        <f>项目总控台账!V50</f>
        <v>46307</v>
      </c>
      <c r="G667" s="17">
        <f>项目总控台账!W50</f>
        <v>46339</v>
      </c>
      <c r="H667" s="70">
        <v>5</v>
      </c>
      <c r="I667" s="6" t="str">
        <f>IF(H667="","待估算",IF(E667="已完成","已结束",IF(AND(ISNUMBER(F667),ISNUMBER(G667),F667&lt;=项目驾驶舱!$B$3,G667&gt;=项目驾驶舱!$B$3),"进行中","计划中")))</f>
        <v>计划中</v>
      </c>
      <c r="J667" s="6" t="str">
        <f>IF(I667="待估算",IF(OR(F667="/",G667="/",F667="",G667=""),"补充计划日期","补充投入工时"),IF(AND(G667&lt;项目驾驶舱!$B$3,E667&lt;&gt;"已完成"),"确认延期和后续安排","按计划跟踪"))</f>
        <v>按计划跟踪</v>
      </c>
      <c r="K667" s="8"/>
      <c r="L667" t="s">
        <v>67</v>
      </c>
    </row>
    <row r="668" spans="1:12">
      <c r="B668" s="6" t="str">
        <f>项目总控台账!A51</f>
        <v>T048</v>
      </c>
      <c r="C668" s="6" t="str">
        <f>IF(AND(项目总控台账!E51&lt;&gt;"",项目总控台账!E51&lt;&gt;"/"),项目总控台账!E51,IF(AND(项目总控台账!D51&lt;&gt;"",项目总控台账!D51&lt;&gt;"/"),项目总控台账!D51,项目总控台账!C51))</f>
        <v>退回船舶预到（外贸）</v>
      </c>
      <c r="D668" s="6" t="str">
        <f>项目总控台账!F51</f>
        <v>第二批次</v>
      </c>
      <c r="E668" s="6" t="str">
        <f>项目总控台账!G51</f>
        <v>未开始</v>
      </c>
      <c r="F668" s="17">
        <f>项目总控台账!V51</f>
        <v>46307</v>
      </c>
      <c r="G668" s="17">
        <f>项目总控台账!W51</f>
        <v>46339</v>
      </c>
      <c r="H668" s="70">
        <v>5</v>
      </c>
      <c r="I668" s="6" t="str">
        <f>IF(H668="","待估算",IF(E668="已完成","已结束",IF(AND(ISNUMBER(F668),ISNUMBER(G668),F668&lt;=项目驾驶舱!$B$3,G668&gt;=项目驾驶舱!$B$3),"进行中","计划中")))</f>
        <v>计划中</v>
      </c>
      <c r="J668" s="6" t="str">
        <f>IF(I668="待估算",IF(OR(F668="/",G668="/",F668="",G668=""),"补充计划日期","补充投入工时"),IF(AND(G668&lt;项目驾驶舱!$B$3,E668&lt;&gt;"已完成"),"确认延期和后续安排","按计划跟踪"))</f>
        <v>按计划跟踪</v>
      </c>
      <c r="K668" s="8"/>
      <c r="L668" t="s">
        <v>67</v>
      </c>
    </row>
    <row r="669" spans="1:12">
      <c r="B669" s="6" t="str">
        <f>项目总控台账!A52</f>
        <v>T049</v>
      </c>
      <c r="C669" s="6" t="str">
        <f>IF(AND(项目总控台账!E52&lt;&gt;"",项目总控台账!E52&lt;&gt;"/"),项目总控台账!E52,IF(AND(项目总控台账!D52&lt;&gt;"",项目总控台账!D52&lt;&gt;"/"),项目总控台账!D52,项目总控台账!C52))</f>
        <v>申请采样申请（外贸）</v>
      </c>
      <c r="D669" s="6" t="str">
        <f>项目总控台账!F52</f>
        <v>第二批次</v>
      </c>
      <c r="E669" s="6" t="str">
        <f>项目总控台账!G52</f>
        <v>已完成</v>
      </c>
      <c r="F669" s="17">
        <f>项目总控台账!V52</f>
        <v>46307</v>
      </c>
      <c r="G669" s="17">
        <f>项目总控台账!W52</f>
        <v>46339</v>
      </c>
      <c r="H669" s="70">
        <v>5</v>
      </c>
      <c r="I669" s="6" t="str">
        <f>IF(H669="","待估算",IF(E669="已完成","已结束",IF(AND(ISNUMBER(F669),ISNUMBER(G669),F669&lt;=项目驾驶舱!$B$3,G669&gt;=项目驾驶舱!$B$3),"进行中","计划中")))</f>
        <v>已结束</v>
      </c>
      <c r="J669" s="6" t="str">
        <f>IF(I669="待估算",IF(OR(F669="/",G669="/",F669="",G669=""),"补充计划日期","补充投入工时"),IF(AND(G669&lt;项目驾驶舱!$B$3,E669&lt;&gt;"已完成"),"确认延期和后续安排","按计划跟踪"))</f>
        <v>按计划跟踪</v>
      </c>
      <c r="K669" s="8"/>
      <c r="L669" t="s">
        <v>67</v>
      </c>
    </row>
    <row r="670" spans="1:12">
      <c r="B670" s="6" t="str">
        <f>项目总控台账!A81</f>
        <v>T078</v>
      </c>
      <c r="C670" s="6" t="str">
        <f>IF(AND(项目总控台账!E81&lt;&gt;"",项目总控台账!E81&lt;&gt;"/"),项目总控台账!E81,IF(AND(项目总控台账!D81&lt;&gt;"",项目总控台账!D81&lt;&gt;"/"),项目总控台账!D81,项目总控台账!C81))</f>
        <v>业务数据合同签订校验</v>
      </c>
      <c r="D670" s="6" t="str">
        <f>项目总控台账!F81</f>
        <v>第二批次</v>
      </c>
      <c r="E670" s="6" t="str">
        <f>项目总控台账!G81</f>
        <v>未开始</v>
      </c>
      <c r="F670" s="17">
        <f>项目总控台账!V81</f>
        <v>46307</v>
      </c>
      <c r="G670" s="17">
        <f>项目总控台账!W81</f>
        <v>46339</v>
      </c>
      <c r="H670" s="70">
        <v>5</v>
      </c>
      <c r="I670" s="6" t="str">
        <f>IF(H670="","待估算",IF(E670="已完成","已结束",IF(AND(ISNUMBER(F670),ISNUMBER(G670),F670&lt;=项目驾驶舱!$B$3,G670&gt;=项目驾驶舱!$B$3),"进行中","计划中")))</f>
        <v>计划中</v>
      </c>
      <c r="J670" s="6" t="str">
        <f>IF(I670="待估算",IF(OR(F670="/",G670="/",F670="",G670=""),"补充计划日期","补充投入工时"),IF(AND(G670&lt;项目驾驶舱!$B$3,E670&lt;&gt;"已完成"),"确认延期和后续安排","按计划跟踪"))</f>
        <v>按计划跟踪</v>
      </c>
      <c r="K670" s="8"/>
      <c r="L670" t="s">
        <v>67</v>
      </c>
    </row>
    <row r="671" spans="1:12">
      <c r="B671" s="6" t="str">
        <f>项目总控台账!A82</f>
        <v>T079</v>
      </c>
      <c r="C671" s="6" t="str">
        <f>IF(AND(项目总控台账!E82&lt;&gt;"",项目总控台账!E82&lt;&gt;"/"),项目总控台账!E82,IF(AND(项目总控台账!D82&lt;&gt;"",项目总控台账!D82&lt;&gt;"/"),项目总控台账!D82,项目总控台账!C82))</f>
        <v>结算数据合同签订校验</v>
      </c>
      <c r="D671" s="6" t="str">
        <f>项目总控台账!F82</f>
        <v>第二批次</v>
      </c>
      <c r="E671" s="6" t="str">
        <f>项目总控台账!G82</f>
        <v>未开始</v>
      </c>
      <c r="F671" s="17">
        <f>项目总控台账!V82</f>
        <v>46307</v>
      </c>
      <c r="G671" s="17">
        <f>项目总控台账!W82</f>
        <v>46339</v>
      </c>
      <c r="H671" s="70">
        <v>5</v>
      </c>
      <c r="I671" s="6" t="str">
        <f>IF(H671="","待估算",IF(E671="已完成","已结束",IF(AND(ISNUMBER(F671),ISNUMBER(G671),F671&lt;=项目驾驶舱!$B$3,G671&gt;=项目驾驶舱!$B$3),"进行中","计划中")))</f>
        <v>计划中</v>
      </c>
      <c r="J671" s="6" t="str">
        <f>IF(I671="待估算",IF(OR(F671="/",G671="/",F671="",G671=""),"补充计划日期","补充投入工时"),IF(AND(G671&lt;项目驾驶舱!$B$3,E671&lt;&gt;"已完成"),"确认延期和后续安排","按计划跟踪"))</f>
        <v>按计划跟踪</v>
      </c>
      <c r="K671" s="8"/>
      <c r="L671" t="s">
        <v>67</v>
      </c>
    </row>
    <row r="672" spans="1:12">
      <c r="B672" s="6" t="str">
        <f>项目总控台账!A83</f>
        <v>T080</v>
      </c>
      <c r="C672" s="6" t="str">
        <f>IF(AND(项目总控台账!E83&lt;&gt;"",项目总控台账!E83&lt;&gt;"/"),项目总控台账!E83,IF(AND(项目总控台账!D83&lt;&gt;"",项目总控台账!D83&lt;&gt;"/"),项目总控台账!D83,项目总控台账!C83))</f>
        <v>合同校验结果查询</v>
      </c>
      <c r="D672" s="6" t="str">
        <f>项目总控台账!F83</f>
        <v>第二批次</v>
      </c>
      <c r="E672" s="6" t="str">
        <f>项目总控台账!G83</f>
        <v>未开始</v>
      </c>
      <c r="F672" s="17">
        <f>项目总控台账!V83</f>
        <v>46307</v>
      </c>
      <c r="G672" s="17">
        <f>项目总控台账!W83</f>
        <v>46339</v>
      </c>
      <c r="H672" s="70">
        <v>5</v>
      </c>
      <c r="I672" s="6" t="str">
        <f>IF(H672="","待估算",IF(E672="已完成","已结束",IF(AND(ISNUMBER(F672),ISNUMBER(G672),F672&lt;=项目驾驶舱!$B$3,G672&gt;=项目驾驶舱!$B$3),"进行中","计划中")))</f>
        <v>计划中</v>
      </c>
      <c r="J672" s="6" t="str">
        <f>IF(I672="待估算",IF(OR(F672="/",G672="/",F672="",G672=""),"补充计划日期","补充投入工时"),IF(AND(G672&lt;项目驾驶舱!$B$3,E672&lt;&gt;"已完成"),"确认延期和后续安排","按计划跟踪"))</f>
        <v>按计划跟踪</v>
      </c>
      <c r="K672" s="8"/>
      <c r="L672" t="s">
        <v>67</v>
      </c>
    </row>
    <row r="673" spans="1:12">
      <c r="B673" s="6" t="str">
        <f>项目总控台账!A84</f>
        <v>T081</v>
      </c>
      <c r="C673" s="6" t="str">
        <f>IF(AND(项目总控台账!E84&lt;&gt;"",项目总控台账!E84&lt;&gt;"/"),项目总控台账!E84,IF(AND(项目总控台账!D84&lt;&gt;"",项目总控台账!D84&lt;&gt;"/"),项目总控台账!D84,项目总控台账!C84))</f>
        <v>数据对接</v>
      </c>
      <c r="D673" s="6" t="str">
        <f>项目总控台账!F84</f>
        <v>第二批次</v>
      </c>
      <c r="E673" s="6" t="str">
        <f>项目总控台账!G84</f>
        <v>未开始</v>
      </c>
      <c r="F673" s="17">
        <f>项目总控台账!V84</f>
        <v>46307</v>
      </c>
      <c r="G673" s="17">
        <f>项目总控台账!W84</f>
        <v>46339</v>
      </c>
      <c r="H673" s="70">
        <v>5</v>
      </c>
      <c r="I673" s="6" t="str">
        <f>IF(H673="","待估算",IF(E673="已完成","已结束",IF(AND(ISNUMBER(F673),ISNUMBER(G673),F673&lt;=项目驾驶舱!$B$3,G673&gt;=项目驾驶舱!$B$3),"进行中","计划中")))</f>
        <v>计划中</v>
      </c>
      <c r="J673" s="6" t="str">
        <f>IF(I673="待估算",IF(OR(F673="/",G673="/",F673="",G673=""),"补充计划日期","补充投入工时"),IF(AND(G673&lt;项目驾驶舱!$B$3,E673&lt;&gt;"已完成"),"确认延期和后续安排","按计划跟踪"))</f>
        <v>按计划跟踪</v>
      </c>
      <c r="K673" s="8"/>
      <c r="L673" t="s">
        <v>67</v>
      </c>
    </row>
    <row r="674" spans="1:12">
      <c r="A674" s="71"/>
      <c r="B674" s="6" t="str">
        <f>项目总控台账!A85</f>
        <v>T082</v>
      </c>
      <c r="C674" s="6" t="str">
        <f>IF(AND(项目总控台账!E85&lt;&gt;"",项目总控台账!E85&lt;&gt;"/"),项目总控台账!E85,IF(AND(项目总控台账!D85&lt;&gt;"",项目总控台账!D85&lt;&gt;"/"),项目总控台账!D85,项目总控台账!C85))</f>
        <v>数据展示</v>
      </c>
      <c r="D674" s="6" t="str">
        <f>项目总控台账!F85</f>
        <v>第二批次</v>
      </c>
      <c r="E674" s="6" t="str">
        <f>项目总控台账!G85</f>
        <v>未开始</v>
      </c>
      <c r="F674" s="17">
        <f>项目总控台账!V85</f>
        <v>46307</v>
      </c>
      <c r="G674" s="17">
        <f>项目总控台账!W85</f>
        <v>46339</v>
      </c>
      <c r="H674" s="70">
        <v>5</v>
      </c>
      <c r="I674" s="6" t="str">
        <f>IF(H674="","待估算",IF(E674="已完成","已结束",IF(AND(ISNUMBER(F674),ISNUMBER(G674),F674&lt;=项目驾驶舱!$B$3,G674&gt;=项目驾驶舱!$B$3),"进行中","计划中")))</f>
        <v>计划中</v>
      </c>
      <c r="J674" s="6" t="str">
        <f>IF(I674="待估算",IF(OR(F674="/",G674="/",F674="",G674=""),"补充计划日期","补充投入工时"),IF(AND(G674&lt;项目驾驶舱!$B$3,E674&lt;&gt;"已完成"),"确认延期和后续安排","按计划跟踪"))</f>
        <v>按计划跟踪</v>
      </c>
      <c r="K674" s="8"/>
      <c r="L674" t="s">
        <v>67</v>
      </c>
    </row>
    <row r="675" spans="1:12">
      <c r="A675" s="72" t="s">
        <v>67</v>
      </c>
      <c r="B675" s="6" t="str">
        <f>项目总控台账!A86</f>
        <v>T083</v>
      </c>
      <c r="C675" s="6" t="str">
        <f>IF(AND(项目总控台账!E86&lt;&gt;"",项目总控台账!E86&lt;&gt;"/"),项目总控台账!E86,IF(AND(项目总控台账!D86&lt;&gt;"",项目总控台账!D86&lt;&gt;"/"),项目总控台账!D86,项目总控台账!C86))</f>
        <v>数据对接</v>
      </c>
      <c r="D675" s="6" t="str">
        <f>项目总控台账!F86</f>
        <v>第二批次</v>
      </c>
      <c r="E675" s="6" t="str">
        <f>项目总控台账!G86</f>
        <v>未开始</v>
      </c>
      <c r="F675" s="17">
        <f>项目总控台账!V86</f>
        <v>46307</v>
      </c>
      <c r="G675" s="17">
        <f>项目总控台账!W86</f>
        <v>46339</v>
      </c>
      <c r="H675" s="70">
        <v>5</v>
      </c>
      <c r="I675" s="6" t="str">
        <f>IF(H675="","待估算",IF(E675="已完成","已结束",IF(AND(ISNUMBER(F675),ISNUMBER(G675),F675&lt;=项目驾驶舱!$B$3,G675&gt;=项目驾驶舱!$B$3),"进行中","计划中")))</f>
        <v>计划中</v>
      </c>
      <c r="J675" s="6" t="str">
        <f>IF(I675="待估算",IF(OR(F675="/",G675="/",F675="",G675=""),"补充计划日期","补充投入工时"),IF(AND(G675&lt;项目驾驶舱!$B$3,E675&lt;&gt;"已完成"),"确认延期和后续安排","按计划跟踪"))</f>
        <v>按计划跟踪</v>
      </c>
      <c r="K675" s="8"/>
      <c r="L675" t="s">
        <v>67</v>
      </c>
    </row>
    <row r="676" spans="1:12">
      <c r="B676" s="6" t="str">
        <f>项目总控台账!A87</f>
        <v>T084</v>
      </c>
      <c r="C676" s="6" t="str">
        <f>IF(AND(项目总控台账!E87&lt;&gt;"",项目总控台账!E87&lt;&gt;"/"),项目总控台账!E87,IF(AND(项目总控台账!D87&lt;&gt;"",项目总控台账!D87&lt;&gt;"/"),项目总控台账!D87,项目总控台账!C87))</f>
        <v>数据产生</v>
      </c>
      <c r="D676" s="6" t="str">
        <f>项目总控台账!F87</f>
        <v>第二批次</v>
      </c>
      <c r="E676" s="6" t="str">
        <f>项目总控台账!G87</f>
        <v>未开始</v>
      </c>
      <c r="F676" s="17">
        <f>项目总控台账!V87</f>
        <v>46307</v>
      </c>
      <c r="G676" s="17">
        <f>项目总控台账!W87</f>
        <v>46339</v>
      </c>
      <c r="H676" s="70">
        <v>2.5</v>
      </c>
      <c r="I676" s="6" t="str">
        <f>IF(H676="","待估算",IF(E676="已完成","已结束",IF(AND(ISNUMBER(F676),ISNUMBER(G676),F676&lt;=项目驾驶舱!$B$3,G676&gt;=项目驾驶舱!$B$3),"进行中","计划中")))</f>
        <v>计划中</v>
      </c>
      <c r="J676" s="6" t="str">
        <f>IF(I676="待估算",IF(OR(F676="/",G676="/",F676="",G676=""),"补充计划日期","补充投入工时"),IF(AND(G676&lt;项目驾驶舱!$B$3,E676&lt;&gt;"已完成"),"确认延期和后续安排","按计划跟踪"))</f>
        <v>按计划跟踪</v>
      </c>
      <c r="K676" s="8"/>
      <c r="L676" t="s">
        <v>67</v>
      </c>
    </row>
    <row r="677" spans="1:12">
      <c r="B677" s="6" t="str">
        <f>项目总控台账!A88</f>
        <v>T085</v>
      </c>
      <c r="C677" s="6" t="str">
        <f>IF(AND(项目总控台账!E88&lt;&gt;"",项目总控台账!E88&lt;&gt;"/"),项目总控台账!E88,IF(AND(项目总控台账!D88&lt;&gt;"",项目总控台账!D88&lt;&gt;"/"),项目总控台账!D88,项目总控台账!C88))</f>
        <v>数据对接</v>
      </c>
      <c r="D677" s="6" t="str">
        <f>项目总控台账!F88</f>
        <v>第二批次</v>
      </c>
      <c r="E677" s="6" t="str">
        <f>项目总控台账!G88</f>
        <v>未开始</v>
      </c>
      <c r="F677" s="17">
        <f>项目总控台账!V88</f>
        <v>46307</v>
      </c>
      <c r="G677" s="17">
        <f>项目总控台账!W88</f>
        <v>46339</v>
      </c>
      <c r="H677" s="70">
        <v>2.5</v>
      </c>
      <c r="I677" s="6" t="str">
        <f>IF(H677="","待估算",IF(E677="已完成","已结束",IF(AND(ISNUMBER(F677),ISNUMBER(G677),F677&lt;=项目驾驶舱!$B$3,G677&gt;=项目驾驶舱!$B$3),"进行中","计划中")))</f>
        <v>计划中</v>
      </c>
      <c r="J677" s="6" t="str">
        <f>IF(I677="待估算",IF(OR(F677="/",G677="/",F677="",G677=""),"补充计划日期","补充投入工时"),IF(AND(G677&lt;项目驾驶舱!$B$3,E677&lt;&gt;"已完成"),"确认延期和后续安排","按计划跟踪"))</f>
        <v>按计划跟踪</v>
      </c>
      <c r="K677" s="8"/>
      <c r="L677" t="s">
        <v>67</v>
      </c>
    </row>
    <row r="678" spans="1:12">
      <c r="B678" s="6" t="str">
        <f>项目总控台账!A89</f>
        <v>T086</v>
      </c>
      <c r="C678" s="6" t="str">
        <f>IF(AND(项目总控台账!E89&lt;&gt;"",项目总控台账!E89&lt;&gt;"/"),项目总控台账!E89,IF(AND(项目总控台账!D89&lt;&gt;"",项目总控台账!D89&lt;&gt;"/"),项目总控台账!D89,项目总控台账!C89))</f>
        <v>数据展示</v>
      </c>
      <c r="D678" s="6" t="str">
        <f>项目总控台账!F89</f>
        <v>第二批次</v>
      </c>
      <c r="E678" s="6" t="str">
        <f>项目总控台账!G89</f>
        <v>未开始</v>
      </c>
      <c r="F678" s="17">
        <f>项目总控台账!V89</f>
        <v>46307</v>
      </c>
      <c r="G678" s="17">
        <f>项目总控台账!W89</f>
        <v>46339</v>
      </c>
      <c r="H678" s="70">
        <v>2.5</v>
      </c>
      <c r="I678" s="6" t="str">
        <f>IF(H678="","待估算",IF(E678="已完成","已结束",IF(AND(ISNUMBER(F678),ISNUMBER(G678),F678&lt;=项目驾驶舱!$B$3,G678&gt;=项目驾驶舱!$B$3),"进行中","计划中")))</f>
        <v>计划中</v>
      </c>
      <c r="J678" s="6" t="str">
        <f>IF(I678="待估算",IF(OR(F678="/",G678="/",F678="",G678=""),"补充计划日期","补充投入工时"),IF(AND(G678&lt;项目驾驶舱!$B$3,E678&lt;&gt;"已完成"),"确认延期和后续安排","按计划跟踪"))</f>
        <v>按计划跟踪</v>
      </c>
      <c r="K678" s="8"/>
      <c r="L678" t="s">
        <v>67</v>
      </c>
    </row>
    <row r="679" spans="1:12">
      <c r="B679" s="6" t="str">
        <f>项目总控台账!A90</f>
        <v>T087</v>
      </c>
      <c r="C679" s="6" t="str">
        <f>IF(AND(项目总控台账!E90&lt;&gt;"",项目总控台账!E90&lt;&gt;"/"),项目总控台账!E90,IF(AND(项目总控台账!D90&lt;&gt;"",项目总控台账!D90&lt;&gt;"/"),项目总控台账!D90,项目总控台账!C90))</f>
        <v>数据对接</v>
      </c>
      <c r="D679" s="6" t="str">
        <f>项目总控台账!F90</f>
        <v>第二批次</v>
      </c>
      <c r="E679" s="6" t="str">
        <f>项目总控台账!G90</f>
        <v>未开始</v>
      </c>
      <c r="F679" s="17">
        <f>项目总控台账!V90</f>
        <v>46307</v>
      </c>
      <c r="G679" s="17">
        <f>项目总控台账!W90</f>
        <v>46339</v>
      </c>
      <c r="H679" s="70">
        <v>2.5</v>
      </c>
      <c r="I679" s="6" t="str">
        <f>IF(H679="","待估算",IF(E679="已完成","已结束",IF(AND(ISNUMBER(F679),ISNUMBER(G679),F679&lt;=项目驾驶舱!$B$3,G679&gt;=项目驾驶舱!$B$3),"进行中","计划中")))</f>
        <v>计划中</v>
      </c>
      <c r="J679" s="6" t="str">
        <f>IF(I679="待估算",IF(OR(F679="/",G679="/",F679="",G679=""),"补充计划日期","补充投入工时"),IF(AND(G679&lt;项目驾驶舱!$B$3,E679&lt;&gt;"已完成"),"确认延期和后续安排","按计划跟踪"))</f>
        <v>按计划跟踪</v>
      </c>
      <c r="K679" s="8"/>
      <c r="L679" t="s">
        <v>67</v>
      </c>
    </row>
    <row r="680" spans="1:12">
      <c r="B680" s="6" t="str">
        <f>项目总控台账!A91</f>
        <v>T088</v>
      </c>
      <c r="C680" s="6" t="str">
        <f>IF(AND(项目总控台账!E91&lt;&gt;"",项目总控台账!E91&lt;&gt;"/"),项目总控台账!E91,IF(AND(项目总控台账!D91&lt;&gt;"",项目总控台账!D91&lt;&gt;"/"),项目总控台账!D91,项目总控台账!C91))</f>
        <v>数据展示</v>
      </c>
      <c r="D680" s="6" t="str">
        <f>项目总控台账!F91</f>
        <v>第二批次</v>
      </c>
      <c r="E680" s="6" t="str">
        <f>项目总控台账!G91</f>
        <v>未开始</v>
      </c>
      <c r="F680" s="17">
        <f>项目总控台账!V91</f>
        <v>46307</v>
      </c>
      <c r="G680" s="17">
        <f>项目总控台账!W91</f>
        <v>46339</v>
      </c>
      <c r="H680" s="70">
        <v>2.5</v>
      </c>
      <c r="I680" s="6" t="str">
        <f>IF(H680="","待估算",IF(E680="已完成","已结束",IF(AND(ISNUMBER(F680),ISNUMBER(G680),F680&lt;=项目驾驶舱!$B$3,G680&gt;=项目驾驶舱!$B$3),"进行中","计划中")))</f>
        <v>计划中</v>
      </c>
      <c r="J680" s="6" t="str">
        <f>IF(I680="待估算",IF(OR(F680="/",G680="/",F680="",G680=""),"补充计划日期","补充投入工时"),IF(AND(G680&lt;项目驾驶舱!$B$3,E680&lt;&gt;"已完成"),"确认延期和后续安排","按计划跟踪"))</f>
        <v>按计划跟踪</v>
      </c>
      <c r="K680" s="8"/>
      <c r="L680" t="s">
        <v>67</v>
      </c>
    </row>
    <row r="681" spans="1:12">
      <c r="B681" s="6" t="str">
        <f>项目总控台账!A92</f>
        <v>T089</v>
      </c>
      <c r="C681" s="6" t="str">
        <f>IF(AND(项目总控台账!E92&lt;&gt;"",项目总控台账!E92&lt;&gt;"/"),项目总控台账!E92,IF(AND(项目总控台账!D92&lt;&gt;"",项目总控台账!D92&lt;&gt;"/"),项目总控台账!D92,项目总控台账!C92))</f>
        <v>新增采样服务费（外贸）</v>
      </c>
      <c r="D681" s="6" t="str">
        <f>项目总控台账!F92</f>
        <v>第二批次</v>
      </c>
      <c r="E681" s="6" t="str">
        <f>项目总控台账!G92</f>
        <v>未开始</v>
      </c>
      <c r="F681" s="17">
        <f>项目总控台账!V92</f>
        <v>46307</v>
      </c>
      <c r="G681" s="17">
        <f>项目总控台账!W92</f>
        <v>46339</v>
      </c>
      <c r="H681" s="70">
        <v>2.5</v>
      </c>
      <c r="I681" s="6" t="str">
        <f>IF(H681="","待估算",IF(E681="已完成","已结束",IF(AND(ISNUMBER(F681),ISNUMBER(G681),F681&lt;=项目驾驶舱!$B$3,G681&gt;=项目驾驶舱!$B$3),"进行中","计划中")))</f>
        <v>计划中</v>
      </c>
      <c r="J681" s="6" t="str">
        <f>IF(I681="待估算",IF(OR(F681="/",G681="/",F681="",G681=""),"补充计划日期","补充投入工时"),IF(AND(G681&lt;项目驾驶舱!$B$3,E681&lt;&gt;"已完成"),"确认延期和后续安排","按计划跟踪"))</f>
        <v>按计划跟踪</v>
      </c>
      <c r="K681" s="8"/>
      <c r="L681" t="s">
        <v>67</v>
      </c>
    </row>
    <row r="682" spans="1:12">
      <c r="B682" s="6" t="str">
        <f>项目总控台账!A93</f>
        <v>T090</v>
      </c>
      <c r="C682" s="6" t="str">
        <f>IF(AND(项目总控台账!E93&lt;&gt;"",项目总控台账!E93&lt;&gt;"/"),项目总控台账!E93,IF(AND(项目总控台账!D93&lt;&gt;"",项目总控台账!D93&lt;&gt;"/"),项目总控台账!D93,项目总控台账!C93))</f>
        <v>审批采样服务费（外贸）</v>
      </c>
      <c r="D682" s="6" t="str">
        <f>项目总控台账!F93</f>
        <v>第二批次</v>
      </c>
      <c r="E682" s="6" t="str">
        <f>项目总控台账!G93</f>
        <v>未开始</v>
      </c>
      <c r="F682" s="17">
        <f>项目总控台账!V93</f>
        <v>46307</v>
      </c>
      <c r="G682" s="17">
        <f>项目总控台账!W93</f>
        <v>46339</v>
      </c>
      <c r="H682" s="70">
        <v>2.5</v>
      </c>
      <c r="I682" s="6" t="str">
        <f>IF(H682="","待估算",IF(E682="已完成","已结束",IF(AND(ISNUMBER(F682),ISNUMBER(G682),F682&lt;=项目驾驶舱!$B$3,G682&gt;=项目驾驶舱!$B$3),"进行中","计划中")))</f>
        <v>计划中</v>
      </c>
      <c r="J682" s="6" t="str">
        <f>IF(I682="待估算",IF(OR(F682="/",G682="/",F682="",G682=""),"补充计划日期","补充投入工时"),IF(AND(G682&lt;项目驾驶舱!$B$3,E682&lt;&gt;"已完成"),"确认延期和后续安排","按计划跟踪"))</f>
        <v>按计划跟踪</v>
      </c>
      <c r="K682" s="8"/>
      <c r="L682" t="s">
        <v>67</v>
      </c>
    </row>
    <row r="683" spans="1:12">
      <c r="B683" s="6" t="str">
        <f>项目总控台账!A94</f>
        <v>T091</v>
      </c>
      <c r="C683" s="6" t="str">
        <f>IF(AND(项目总控台账!E94&lt;&gt;"",项目总控台账!E94&lt;&gt;"/"),项目总控台账!E94,IF(AND(项目总控台账!D94&lt;&gt;"",项目总控台账!D94&lt;&gt;"/"),项目总控台账!D94,项目总控台账!C94))</f>
        <v>单据签章</v>
      </c>
      <c r="D683" s="6" t="str">
        <f>项目总控台账!F94</f>
        <v>第二批次</v>
      </c>
      <c r="E683" s="6" t="str">
        <f>项目总控台账!G94</f>
        <v>未开始</v>
      </c>
      <c r="F683" s="17">
        <f>项目总控台账!V94</f>
        <v>46307</v>
      </c>
      <c r="G683" s="17">
        <f>项目总控台账!W94</f>
        <v>46339</v>
      </c>
      <c r="H683" s="70">
        <v>2.5</v>
      </c>
      <c r="I683" s="6" t="str">
        <f>IF(H683="","待估算",IF(E683="已完成","已结束",IF(AND(ISNUMBER(F683),ISNUMBER(G683),F683&lt;=项目驾驶舱!$B$3,G683&gt;=项目驾驶舱!$B$3),"进行中","计划中")))</f>
        <v>计划中</v>
      </c>
      <c r="J683" s="6" t="str">
        <f>IF(I683="待估算",IF(OR(F683="/",G683="/",F683="",G683=""),"补充计划日期","补充投入工时"),IF(AND(G683&lt;项目驾驶舱!$B$3,E683&lt;&gt;"已完成"),"确认延期和后续安排","按计划跟踪"))</f>
        <v>按计划跟踪</v>
      </c>
      <c r="K683" s="8"/>
      <c r="L683" t="s">
        <v>67</v>
      </c>
    </row>
    <row r="684" spans="1:12">
      <c r="B684" s="6" t="str">
        <f>项目总控台账!A95</f>
        <v>T092</v>
      </c>
      <c r="C684" s="6" t="str">
        <f>IF(AND(项目总控台账!E95&lt;&gt;"",项目总控台账!E95&lt;&gt;"/"),项目总控台账!E95,IF(AND(项目总控台账!D95&lt;&gt;"",项目总控台账!D95&lt;&gt;"/"),项目总控台账!D95,项目总控台账!C95))</f>
        <v>数据推送</v>
      </c>
      <c r="D684" s="6" t="str">
        <f>项目总控台账!F95</f>
        <v>第二批次</v>
      </c>
      <c r="E684" s="6" t="str">
        <f>项目总控台账!G95</f>
        <v>未开始</v>
      </c>
      <c r="F684" s="17">
        <f>项目总控台账!V95</f>
        <v>46307</v>
      </c>
      <c r="G684" s="17">
        <f>项目总控台账!W95</f>
        <v>46339</v>
      </c>
      <c r="H684" s="70">
        <v>2.5</v>
      </c>
      <c r="I684" s="6" t="str">
        <f>IF(H684="","待估算",IF(E684="已完成","已结束",IF(AND(ISNUMBER(F684),ISNUMBER(G684),F684&lt;=项目驾驶舱!$B$3,G684&gt;=项目驾驶舱!$B$3),"进行中","计划中")))</f>
        <v>计划中</v>
      </c>
      <c r="J684" s="6" t="str">
        <f>IF(I684="待估算",IF(OR(F684="/",G684="/",F684="",G684=""),"补充计划日期","补充投入工时"),IF(AND(G684&lt;项目驾驶舱!$B$3,E684&lt;&gt;"已完成"),"确认延期和后续安排","按计划跟踪"))</f>
        <v>按计划跟踪</v>
      </c>
      <c r="K684" s="8"/>
      <c r="L684" t="s">
        <v>67</v>
      </c>
    </row>
    <row r="685" spans="1:12">
      <c r="B685" s="6" t="str">
        <f>项目总控台账!A96</f>
        <v>T093</v>
      </c>
      <c r="C685" s="6" t="str">
        <f>IF(AND(项目总控台账!E96&lt;&gt;"",项目总控台账!E96&lt;&gt;"/"),项目总控台账!E96,IF(AND(项目总控台账!D96&lt;&gt;"",项目总控台账!D96&lt;&gt;"/"),项目总控台账!D96,项目总控台账!C96))</f>
        <v>数据对接</v>
      </c>
      <c r="D685" s="6" t="str">
        <f>项目总控台账!F96</f>
        <v>第二批次</v>
      </c>
      <c r="E685" s="6" t="str">
        <f>项目总控台账!G96</f>
        <v>未开始</v>
      </c>
      <c r="F685" s="17">
        <f>项目总控台账!V96</f>
        <v>46307</v>
      </c>
      <c r="G685" s="17">
        <f>项目总控台账!W96</f>
        <v>46339</v>
      </c>
      <c r="H685" s="70">
        <v>2.5</v>
      </c>
      <c r="I685" s="6" t="str">
        <f>IF(H685="","待估算",IF(E685="已完成","已结束",IF(AND(ISNUMBER(F685),ISNUMBER(G685),F685&lt;=项目驾驶舱!$B$3,G685&gt;=项目驾驶舱!$B$3),"进行中","计划中")))</f>
        <v>计划中</v>
      </c>
      <c r="J685" s="6" t="str">
        <f>IF(I685="待估算",IF(OR(F685="/",G685="/",F685="",G685=""),"补充计划日期","补充投入工时"),IF(AND(G685&lt;项目驾驶舱!$B$3,E685&lt;&gt;"已完成"),"确认延期和后续安排","按计划跟踪"))</f>
        <v>按计划跟踪</v>
      </c>
      <c r="K685" s="8"/>
      <c r="L685" t="s">
        <v>67</v>
      </c>
    </row>
    <row r="686" spans="1:12">
      <c r="A686" s="71"/>
      <c r="B686" s="6" t="str">
        <f>项目总控台账!A97</f>
        <v>T094</v>
      </c>
      <c r="C686" s="6" t="str">
        <f>IF(AND(项目总控台账!E97&lt;&gt;"",项目总控台账!E97&lt;&gt;"/"),项目总控台账!E97,IF(AND(项目总控台账!D97&lt;&gt;"",项目总控台账!D97&lt;&gt;"/"),项目总控台账!D97,项目总控台账!C97))</f>
        <v>数据展示</v>
      </c>
      <c r="D686" s="6" t="str">
        <f>项目总控台账!F97</f>
        <v>第二批次</v>
      </c>
      <c r="E686" s="6" t="str">
        <f>项目总控台账!G97</f>
        <v>未开始</v>
      </c>
      <c r="F686" s="17">
        <f>项目总控台账!V97</f>
        <v>46307</v>
      </c>
      <c r="G686" s="17">
        <f>项目总控台账!W97</f>
        <v>46339</v>
      </c>
      <c r="H686" s="70">
        <v>2.5</v>
      </c>
      <c r="I686" s="6" t="str">
        <f>IF(H686="","待估算",IF(E686="已完成","已结束",IF(AND(ISNUMBER(F686),ISNUMBER(G686),F686&lt;=项目驾驶舱!$B$3,G686&gt;=项目驾驶舱!$B$3),"进行中","计划中")))</f>
        <v>计划中</v>
      </c>
      <c r="J686" s="6" t="str">
        <f>IF(I686="待估算",IF(OR(F686="/",G686="/",F686="",G686=""),"补充计划日期","补充投入工时"),IF(AND(G686&lt;项目驾驶舱!$B$3,E686&lt;&gt;"已完成"),"确认延期和后续安排","按计划跟踪"))</f>
        <v>按计划跟踪</v>
      </c>
      <c r="K686" s="8"/>
      <c r="L686" t="s">
        <v>67</v>
      </c>
    </row>
    <row r="687" spans="1:12">
      <c r="A687" s="72" t="s">
        <v>67</v>
      </c>
      <c r="B687" s="6" t="str">
        <f>项目总控台账!A129</f>
        <v>T126</v>
      </c>
      <c r="C687" s="6" t="str">
        <f>IF(AND(项目总控台账!E129&lt;&gt;"",项目总控台账!E129&lt;&gt;"/"),项目总控台账!E129,IF(AND(项目总控台账!D129&lt;&gt;"",项目总控台账!D129&lt;&gt;"/"),项目总控台账!D129,项目总控台账!C129))</f>
        <v>停泊费（外贸）查询</v>
      </c>
      <c r="D687" s="6" t="str">
        <f>项目总控台账!F129</f>
        <v>第二批次</v>
      </c>
      <c r="E687" s="6" t="str">
        <f>项目总控台账!G129</f>
        <v>未开始</v>
      </c>
      <c r="F687" s="17">
        <f>项目总控台账!V129</f>
        <v>46307</v>
      </c>
      <c r="G687" s="17">
        <f>项目总控台账!W129</f>
        <v>46339</v>
      </c>
      <c r="H687" s="70">
        <v>2.5</v>
      </c>
      <c r="I687" s="6" t="str">
        <f>IF(H687="","待估算",IF(E687="已完成","已结束",IF(AND(ISNUMBER(F687),ISNUMBER(G687),F687&lt;=项目驾驶舱!$B$3,G687&gt;=项目驾驶舱!$B$3),"进行中","计划中")))</f>
        <v>计划中</v>
      </c>
      <c r="J687" s="6" t="str">
        <f>IF(I687="待估算",IF(OR(F687="/",G687="/",F687="",G687=""),"补充计划日期","补充投入工时"),IF(AND(G687&lt;项目驾驶舱!$B$3,E687&lt;&gt;"已完成"),"确认延期和后续安排","按计划跟踪"))</f>
        <v>按计划跟踪</v>
      </c>
      <c r="K687" s="8"/>
      <c r="L687" t="s">
        <v>67</v>
      </c>
    </row>
    <row r="688" spans="1:12">
      <c r="B688" s="6" t="str">
        <f>项目总控台账!A130</f>
        <v>T127</v>
      </c>
      <c r="C688" s="6" t="str">
        <f>IF(AND(项目总控台账!E130&lt;&gt;"",项目总控台账!E130&lt;&gt;"/"),项目总控台账!E130,IF(AND(项目总控台账!D130&lt;&gt;"",项目总控台账!D130&lt;&gt;"/"),项目总控台账!D130,项目总控台账!C130))</f>
        <v>锚泊费（外贸）查询</v>
      </c>
      <c r="D688" s="6" t="str">
        <f>项目总控台账!F130</f>
        <v>第二批次</v>
      </c>
      <c r="E688" s="6" t="str">
        <f>项目总控台账!G130</f>
        <v>未开始</v>
      </c>
      <c r="F688" s="17">
        <f>项目总控台账!V130</f>
        <v>46307</v>
      </c>
      <c r="G688" s="17">
        <f>项目总控台账!W130</f>
        <v>46339</v>
      </c>
      <c r="H688" s="70">
        <v>2.5</v>
      </c>
      <c r="I688" s="6" t="str">
        <f>IF(H688="","待估算",IF(E688="已完成","已结束",IF(AND(ISNUMBER(F688),ISNUMBER(G688),F688&lt;=项目驾驶舱!$B$3,G688&gt;=项目驾驶舱!$B$3),"进行中","计划中")))</f>
        <v>计划中</v>
      </c>
      <c r="J688" s="6" t="str">
        <f>IF(I688="待估算",IF(OR(F688="/",G688="/",F688="",G688=""),"补充计划日期","补充投入工时"),IF(AND(G688&lt;项目驾驶舱!$B$3,E688&lt;&gt;"已完成"),"确认延期和后续安排","按计划跟踪"))</f>
        <v>按计划跟踪</v>
      </c>
      <c r="K688" s="8"/>
      <c r="L688" t="s">
        <v>67</v>
      </c>
    </row>
    <row r="689" spans="1:12">
      <c r="B689" s="6" t="str">
        <f>项目总控台账!A131</f>
        <v>T128</v>
      </c>
      <c r="C689" s="6" t="str">
        <f>IF(AND(项目总控台账!E131&lt;&gt;"",项目总控台账!E131&lt;&gt;"/"),项目总控台账!E131,IF(AND(项目总控台账!D131&lt;&gt;"",项目总控台账!D131&lt;&gt;"/"),项目总控台账!D131,项目总控台账!C131))</f>
        <v>堆存费（外贸）查询</v>
      </c>
      <c r="D689" s="6" t="str">
        <f>项目总控台账!F131</f>
        <v>第二批次</v>
      </c>
      <c r="E689" s="6" t="str">
        <f>项目总控台账!G131</f>
        <v>未开始</v>
      </c>
      <c r="F689" s="17">
        <f>项目总控台账!V131</f>
        <v>46307</v>
      </c>
      <c r="G689" s="17">
        <f>项目总控台账!W131</f>
        <v>46339</v>
      </c>
      <c r="H689" s="70">
        <v>2.5</v>
      </c>
      <c r="I689" s="6" t="str">
        <f>IF(H689="","待估算",IF(E689="已完成","已结束",IF(AND(ISNUMBER(F689),ISNUMBER(G689),F689&lt;=项目驾驶舱!$B$3,G689&gt;=项目驾驶舱!$B$3),"进行中","计划中")))</f>
        <v>计划中</v>
      </c>
      <c r="J689" s="6" t="str">
        <f>IF(I689="待估算",IF(OR(F689="/",G689="/",F689="",G689=""),"补充计划日期","补充投入工时"),IF(AND(G689&lt;项目驾驶舱!$B$3,E689&lt;&gt;"已完成"),"确认延期和后续安排","按计划跟踪"))</f>
        <v>按计划跟踪</v>
      </c>
      <c r="K689" s="8"/>
      <c r="L689" t="s">
        <v>67</v>
      </c>
    </row>
    <row r="690" spans="1:12">
      <c r="B690" s="6" t="str">
        <f>项目总控台账!A132</f>
        <v>T129</v>
      </c>
      <c r="C690" s="6" t="str">
        <f>IF(AND(项目总控台账!E132&lt;&gt;"",项目总控台账!E132&lt;&gt;"/"),项目总控台账!E132,IF(AND(项目总控台账!D132&lt;&gt;"",项目总控台账!D132&lt;&gt;"/"),项目总控台账!D132,项目总控台账!C132))</f>
        <v>卸船费（外贸）查询</v>
      </c>
      <c r="D690" s="6" t="str">
        <f>项目总控台账!F132</f>
        <v>第二批次</v>
      </c>
      <c r="E690" s="6" t="str">
        <f>项目总控台账!G132</f>
        <v>未开始</v>
      </c>
      <c r="F690" s="17">
        <f>项目总控台账!V132</f>
        <v>46307</v>
      </c>
      <c r="G690" s="17">
        <f>项目总控台账!W132</f>
        <v>46339</v>
      </c>
      <c r="H690" s="70">
        <v>2.5</v>
      </c>
      <c r="I690" s="6" t="str">
        <f>IF(H690="","待估算",IF(E690="已完成","已结束",IF(AND(ISNUMBER(F690),ISNUMBER(G690),F690&lt;=项目驾驶舱!$B$3,G690&gt;=项目驾驶舱!$B$3),"进行中","计划中")))</f>
        <v>计划中</v>
      </c>
      <c r="J690" s="6" t="str">
        <f>IF(I690="待估算",IF(OR(F690="/",G690="/",F690="",G690=""),"补充计划日期","补充投入工时"),IF(AND(G690&lt;项目驾驶舱!$B$3,E690&lt;&gt;"已完成"),"确认延期和后续安排","按计划跟踪"))</f>
        <v>按计划跟踪</v>
      </c>
      <c r="K690" s="8"/>
      <c r="L690" t="s">
        <v>67</v>
      </c>
    </row>
    <row r="691" spans="1:12">
      <c r="B691" s="6" t="str">
        <f>项目总控台账!A133</f>
        <v>T130</v>
      </c>
      <c r="C691" s="6" t="str">
        <f>IF(AND(项目总控台账!E133&lt;&gt;"",项目总控台账!E133&lt;&gt;"/"),项目总控台账!E133,IF(AND(项目总控台账!D133&lt;&gt;"",项目总控台账!D133&lt;&gt;"/"),项目总控台账!D133,项目总控台账!C133))</f>
        <v>采样服务费（外贸）查询</v>
      </c>
      <c r="D691" s="6" t="str">
        <f>项目总控台账!F133</f>
        <v>第二批次</v>
      </c>
      <c r="E691" s="6" t="str">
        <f>项目总控台账!G133</f>
        <v>未开始</v>
      </c>
      <c r="F691" s="17">
        <f>项目总控台账!V133</f>
        <v>46307</v>
      </c>
      <c r="G691" s="17">
        <f>项目总控台账!W133</f>
        <v>46339</v>
      </c>
      <c r="H691" s="70">
        <v>2.5</v>
      </c>
      <c r="I691" s="6" t="str">
        <f>IF(H691="","待估算",IF(E691="已完成","已结束",IF(AND(ISNUMBER(F691),ISNUMBER(G691),F691&lt;=项目驾驶舱!$B$3,G691&gt;=项目驾驶舱!$B$3),"进行中","计划中")))</f>
        <v>计划中</v>
      </c>
      <c r="J691" s="6" t="str">
        <f>IF(I691="待估算",IF(OR(F691="/",G691="/",F691="",G691=""),"补充计划日期","补充投入工时"),IF(AND(G691&lt;项目驾驶舱!$B$3,E691&lt;&gt;"已完成"),"确认延期和后续安排","按计划跟踪"))</f>
        <v>按计划跟踪</v>
      </c>
      <c r="K691" s="8"/>
      <c r="L691" t="s">
        <v>67</v>
      </c>
    </row>
    <row r="692" spans="1:12">
      <c r="B692" s="6" t="str">
        <f>项目总控台账!A134</f>
        <v>T131</v>
      </c>
      <c r="C692" s="6" t="str">
        <f>IF(AND(项目总控台账!E134&lt;&gt;"",项目总控台账!E134&lt;&gt;"/"),项目总控台账!E134,IF(AND(项目总控台账!D134&lt;&gt;"",项目总控台账!D134&lt;&gt;"/"),项目总控台账!D134,项目总控台账!C134))</f>
        <v>船舶供应服务费（外贸）查询</v>
      </c>
      <c r="D692" s="6" t="str">
        <f>项目总控台账!F134</f>
        <v>第二批次</v>
      </c>
      <c r="E692" s="6" t="str">
        <f>项目总控台账!G134</f>
        <v>未开始</v>
      </c>
      <c r="F692" s="17">
        <f>项目总控台账!V134</f>
        <v>46307</v>
      </c>
      <c r="G692" s="17">
        <f>项目总控台账!W134</f>
        <v>46339</v>
      </c>
      <c r="H692" s="70">
        <v>2.5</v>
      </c>
      <c r="I692" s="6" t="str">
        <f>IF(H692="","待估算",IF(E692="已完成","已结束",IF(AND(ISNUMBER(F692),ISNUMBER(G692),F692&lt;=项目驾驶舱!$B$3,G692&gt;=项目驾驶舱!$B$3),"进行中","计划中")))</f>
        <v>计划中</v>
      </c>
      <c r="J692" s="6" t="str">
        <f>IF(I692="待估算",IF(OR(F692="/",G692="/",F692="",G692=""),"补充计划日期","补充投入工时"),IF(AND(G692&lt;项目驾驶舱!$B$3,E692&lt;&gt;"已完成"),"确认延期和后续安排","按计划跟踪"))</f>
        <v>按计划跟踪</v>
      </c>
      <c r="K692" s="8"/>
      <c r="L692" t="s">
        <v>67</v>
      </c>
    </row>
    <row r="693" spans="1:12">
      <c r="B693" s="6" t="str">
        <f>项目总控台账!A135</f>
        <v>T132</v>
      </c>
      <c r="C693" s="6" t="str">
        <f>IF(AND(项目总控台账!E135&lt;&gt;"",项目总控台账!E135&lt;&gt;"/"),项目总控台账!E135,IF(AND(项目总控台账!D135&lt;&gt;"",项目总控台账!D135&lt;&gt;"/"),项目总控台账!D135,项目总控台账!C135))</f>
        <v>新增船舶靠泊通知单</v>
      </c>
      <c r="D693" s="6" t="str">
        <f>项目总控台账!F135</f>
        <v>第二批次</v>
      </c>
      <c r="E693" s="6" t="str">
        <f>项目总控台账!G135</f>
        <v>未开始</v>
      </c>
      <c r="F693" s="17">
        <f>项目总控台账!V135</f>
        <v>46307</v>
      </c>
      <c r="G693" s="17">
        <f>项目总控台账!W135</f>
        <v>46339</v>
      </c>
      <c r="H693" s="70">
        <v>2.5</v>
      </c>
      <c r="I693" s="6" t="str">
        <f>IF(H693="","待估算",IF(E693="已完成","已结束",IF(AND(ISNUMBER(F693),ISNUMBER(G693),F693&lt;=项目驾驶舱!$B$3,G693&gt;=项目驾驶舱!$B$3),"进行中","计划中")))</f>
        <v>计划中</v>
      </c>
      <c r="J693" s="6" t="str">
        <f>IF(I693="待估算",IF(OR(F693="/",G693="/",F693="",G693=""),"补充计划日期","补充投入工时"),IF(AND(G693&lt;项目驾驶舱!$B$3,E693&lt;&gt;"已完成"),"确认延期和后续安排","按计划跟踪"))</f>
        <v>按计划跟踪</v>
      </c>
      <c r="K693" s="8"/>
      <c r="L693" t="s">
        <v>67</v>
      </c>
    </row>
    <row r="694" spans="1:12">
      <c r="B694" s="6" t="str">
        <f>项目总控台账!A136</f>
        <v>T133</v>
      </c>
      <c r="C694" s="6" t="str">
        <f>IF(AND(项目总控台账!E136&lt;&gt;"",项目总控台账!E136&lt;&gt;"/"),项目总控台账!E136,IF(AND(项目总控台账!D136&lt;&gt;"",项目总控台账!D136&lt;&gt;"/"),项目总控台账!D136,项目总控台账!C136))</f>
        <v>查询船舶靠泊通知单</v>
      </c>
      <c r="D694" s="6" t="str">
        <f>项目总控台账!F136</f>
        <v>第二批次</v>
      </c>
      <c r="E694" s="6" t="str">
        <f>项目总控台账!G136</f>
        <v>未开始</v>
      </c>
      <c r="F694" s="17">
        <f>项目总控台账!V136</f>
        <v>46307</v>
      </c>
      <c r="G694" s="17">
        <f>项目总控台账!W136</f>
        <v>46339</v>
      </c>
      <c r="H694" s="70">
        <v>2.5</v>
      </c>
      <c r="I694" s="6" t="str">
        <f>IF(H694="","待估算",IF(E694="已完成","已结束",IF(AND(ISNUMBER(F694),ISNUMBER(G694),F694&lt;=项目驾驶舱!$B$3,G694&gt;=项目驾驶舱!$B$3),"进行中","计划中")))</f>
        <v>计划中</v>
      </c>
      <c r="J694" s="6" t="str">
        <f>IF(I694="待估算",IF(OR(F694="/",G694="/",F694="",G694=""),"补充计划日期","补充投入工时"),IF(AND(G694&lt;项目驾驶舱!$B$3,E694&lt;&gt;"已完成"),"确认延期和后续安排","按计划跟踪"))</f>
        <v>按计划跟踪</v>
      </c>
      <c r="K694" s="8"/>
      <c r="L694" t="s">
        <v>67</v>
      </c>
    </row>
    <row r="695" spans="1:12">
      <c r="B695" s="6" t="str">
        <f>项目总控台账!A139</f>
        <v>T136</v>
      </c>
      <c r="C695" s="6" t="str">
        <f>IF(AND(项目总控台账!E139&lt;&gt;"",项目总控台账!E139&lt;&gt;"/"),项目总控台账!E139,IF(AND(项目总控台账!D139&lt;&gt;"",项目总控台账!D139&lt;&gt;"/"),项目总控台账!D139,项目总控台账!C139))</f>
        <v>卸船作业委托</v>
      </c>
      <c r="D695" s="6" t="str">
        <f>项目总控台账!F139</f>
        <v>第二批次</v>
      </c>
      <c r="E695" s="6" t="str">
        <f>项目总控台账!G139</f>
        <v>未开始</v>
      </c>
      <c r="F695" s="17">
        <f>项目总控台账!V139</f>
        <v>46307</v>
      </c>
      <c r="G695" s="17">
        <f>项目总控台账!W139</f>
        <v>46339</v>
      </c>
      <c r="H695" s="70">
        <v>2.5</v>
      </c>
      <c r="I695" s="6" t="str">
        <f>IF(H695="","待估算",IF(E695="已完成","已结束",IF(AND(ISNUMBER(F695),ISNUMBER(G695),F695&lt;=项目驾驶舱!$B$3,G695&gt;=项目驾驶舱!$B$3),"进行中","计划中")))</f>
        <v>计划中</v>
      </c>
      <c r="J695" s="6" t="str">
        <f>IF(I695="待估算",IF(OR(F695="/",G695="/",F695="",G695=""),"补充计划日期","补充投入工时"),IF(AND(G695&lt;项目驾驶舱!$B$3,E695&lt;&gt;"已完成"),"确认延期和后续安排","按计划跟踪"))</f>
        <v>按计划跟踪</v>
      </c>
      <c r="K695" s="8"/>
      <c r="L695" t="s">
        <v>67</v>
      </c>
    </row>
    <row r="696" spans="1:12">
      <c r="B696" s="6" t="str">
        <f>项目总控台账!A140</f>
        <v>T137</v>
      </c>
      <c r="C696" s="6" t="str">
        <f>IF(AND(项目总控台账!E140&lt;&gt;"",项目总控台账!E140&lt;&gt;"/"),项目总控台账!E140,IF(AND(项目总控台账!D140&lt;&gt;"",项目总控台账!D140&lt;&gt;"/"),项目总控台账!D140,项目总控台账!C140))</f>
        <v>外轮转内贸业务查询</v>
      </c>
      <c r="D696" s="6" t="str">
        <f>项目总控台账!F140</f>
        <v>第二批次</v>
      </c>
      <c r="E696" s="6" t="str">
        <f>项目总控台账!G140</f>
        <v>未开始</v>
      </c>
      <c r="F696" s="17">
        <f>项目总控台账!V140</f>
        <v>46307</v>
      </c>
      <c r="G696" s="17">
        <f>项目总控台账!W140</f>
        <v>46339</v>
      </c>
      <c r="H696" s="70">
        <v>2.5</v>
      </c>
      <c r="I696" s="6" t="str">
        <f>IF(H696="","待估算",IF(E696="已完成","已结束",IF(AND(ISNUMBER(F696),ISNUMBER(G696),F696&lt;=项目驾驶舱!$B$3,G696&gt;=项目驾驶舱!$B$3),"进行中","计划中")))</f>
        <v>计划中</v>
      </c>
      <c r="J696" s="6" t="str">
        <f>IF(I696="待估算",IF(OR(F696="/",G696="/",F696="",G696=""),"补充计划日期","补充投入工时"),IF(AND(G696&lt;项目驾驶舱!$B$3,E696&lt;&gt;"已完成"),"确认延期和后续安排","按计划跟踪"))</f>
        <v>按计划跟踪</v>
      </c>
      <c r="K696" s="8"/>
      <c r="L696" t="s">
        <v>67</v>
      </c>
    </row>
    <row r="697" ht="17.55" spans="1:12">
      <c r="A697" s="71"/>
      <c r="B697" s="6" t="str">
        <f>项目总控台账!A145</f>
        <v>T142</v>
      </c>
      <c r="C697" s="6" t="str">
        <f>IF(AND(项目总控台账!E145&lt;&gt;"",项目总控台账!E145&lt;&gt;"/"),项目总控台账!E145,IF(AND(项目总控台账!D145&lt;&gt;"",项目总控台账!D145&lt;&gt;"/"),项目总控台账!D145,项目总控台账!C145))</f>
        <v>审批船舶靠泊通知单</v>
      </c>
      <c r="D697" s="6" t="str">
        <f>项目总控台账!F145</f>
        <v>第二批次</v>
      </c>
      <c r="E697" s="6" t="str">
        <f>项目总控台账!G145</f>
        <v>未开始</v>
      </c>
      <c r="F697" s="17">
        <f>项目总控台账!V145</f>
        <v>46307</v>
      </c>
      <c r="G697" s="17">
        <f>项目总控台账!W145</f>
        <v>46339</v>
      </c>
      <c r="H697" s="70">
        <v>2.5</v>
      </c>
      <c r="I697" s="6" t="str">
        <f>IF(H697="","待估算",IF(E697="已完成","已结束",IF(AND(ISNUMBER(F697),ISNUMBER(G697),F697&lt;=项目驾驶舱!$B$3,G697&gt;=项目驾驶舱!$B$3),"进行中","计划中")))</f>
        <v>计划中</v>
      </c>
      <c r="J697" s="6" t="str">
        <f>IF(I697="待估算",IF(OR(F697="/",G697="/",F697="",G697=""),"补充计划日期","补充投入工时"),IF(AND(G697&lt;项目驾驶舱!$B$3,E697&lt;&gt;"已完成"),"确认延期和后续安排","按计划跟踪"))</f>
        <v>按计划跟踪</v>
      </c>
      <c r="K697" s="8"/>
      <c r="L697" t="s">
        <v>67</v>
      </c>
    </row>
    <row r="698" spans="1:12">
      <c r="A698" s="65" t="s">
        <v>65</v>
      </c>
      <c r="B698" s="66" t="str">
        <f>项目总控台账!A61</f>
        <v>T058</v>
      </c>
      <c r="C698" s="66" t="str">
        <f>IF(AND(项目总控台账!E61&lt;&gt;"",项目总控台账!E61&lt;&gt;"/"),项目总控台账!E61,IF(AND(项目总控台账!D61&lt;&gt;"",项目总控台账!D61&lt;&gt;"/"),项目总控台账!D61,项目总控台账!C61))</f>
        <v>OCR识别及编辑</v>
      </c>
      <c r="D698" s="66" t="str">
        <f>项目总控台账!F61</f>
        <v>第一批次</v>
      </c>
      <c r="E698" s="66" t="str">
        <f>项目总控台账!G61</f>
        <v>已完成</v>
      </c>
      <c r="F698" s="67" t="str">
        <f>项目总控台账!N61</f>
        <v>/</v>
      </c>
      <c r="G698" s="67" t="str">
        <f>项目总控台账!O61</f>
        <v>/</v>
      </c>
      <c r="H698" s="68"/>
      <c r="I698" s="66" t="str">
        <f>IF(H698="","待估算",IF(E698="已完成","已结束",IF(AND(ISNUMBER(F698),ISNUMBER(G698),F698&lt;=项目驾驶舱!$B$3,G698&gt;=项目驾驶舱!$B$3),"进行中","计划中")))</f>
        <v>待估算</v>
      </c>
      <c r="J698" s="66" t="str">
        <f>IF(I698="待估算",IF(OR(F698="/",G698="/",F698="",G698=""),"补充计划日期","补充投入工时"),IF(AND(G698&lt;项目驾驶舱!$B$3,E698&lt;&gt;"已完成"),"确认延期和后续安排","按计划跟踪"))</f>
        <v>补充计划日期</v>
      </c>
      <c r="K698" s="69"/>
      <c r="L698" t="s">
        <v>65</v>
      </c>
    </row>
    <row r="699" spans="1:12">
      <c r="B699" s="6" t="str">
        <f>项目总控台账!A72</f>
        <v>T069</v>
      </c>
      <c r="C699" s="6" t="str">
        <f>IF(AND(项目总控台账!E72&lt;&gt;"",项目总控台账!E72&lt;&gt;"/"),项目总控台账!E72,IF(AND(项目总控台账!D72&lt;&gt;"",项目总控台账!D72&lt;&gt;"/"),项目总控台账!D72,项目总控台账!C72))</f>
        <v>新增、详情、修改页内容调整</v>
      </c>
      <c r="D699" s="6" t="str">
        <f>项目总控台账!F72</f>
        <v>第一批次</v>
      </c>
      <c r="E699" s="6" t="str">
        <f>项目总控台账!G72</f>
        <v>已完成</v>
      </c>
      <c r="F699" s="17" t="str">
        <f>项目总控台账!N72</f>
        <v>/</v>
      </c>
      <c r="G699" s="17" t="str">
        <f>项目总控台账!O72</f>
        <v>/</v>
      </c>
      <c r="H699" s="70"/>
      <c r="I699" s="6" t="str">
        <f>IF(H699="","待估算",IF(E699="已完成","已结束",IF(AND(ISNUMBER(F699),ISNUMBER(G699),F699&lt;=项目驾驶舱!$B$3,G699&gt;=项目驾驶舱!$B$3),"进行中","计划中")))</f>
        <v>待估算</v>
      </c>
      <c r="J699" s="6" t="str">
        <f>IF(I699="待估算",IF(OR(F699="/",G699="/",F699="",G699=""),"补充计划日期","补充投入工时"),IF(AND(G699&lt;项目驾驶舱!$B$3,E699&lt;&gt;"已完成"),"确认延期和后续安排","按计划跟踪"))</f>
        <v>补充计划日期</v>
      </c>
      <c r="K699" s="8"/>
      <c r="L699" t="s">
        <v>65</v>
      </c>
    </row>
    <row r="700" spans="1:12">
      <c r="B700" s="6" t="str">
        <f>项目总控台账!A73</f>
        <v>T070</v>
      </c>
      <c r="C700" s="6" t="str">
        <f>IF(AND(项目总控台账!E73&lt;&gt;"",项目总控台账!E73&lt;&gt;"/"),项目总控台账!E73,IF(AND(项目总控台账!D73&lt;&gt;"",项目总控台账!D73&lt;&gt;"/"),项目总控台账!D73,项目总控台账!C73))</f>
        <v>生成报告</v>
      </c>
      <c r="D700" s="6" t="str">
        <f>项目总控台账!F73</f>
        <v>第一批次</v>
      </c>
      <c r="E700" s="6" t="str">
        <f>项目总控台账!G73</f>
        <v>已完成</v>
      </c>
      <c r="F700" s="17" t="str">
        <f>项目总控台账!N73</f>
        <v>/</v>
      </c>
      <c r="G700" s="17" t="str">
        <f>项目总控台账!O73</f>
        <v>/</v>
      </c>
      <c r="H700" s="70"/>
      <c r="I700" s="6" t="str">
        <f>IF(H700="","待估算",IF(E700="已完成","已结束",IF(AND(ISNUMBER(F700),ISNUMBER(G700),F700&lt;=项目驾驶舱!$B$3,G700&gt;=项目驾驶舱!$B$3),"进行中","计划中")))</f>
        <v>待估算</v>
      </c>
      <c r="J700" s="6" t="str">
        <f>IF(I700="待估算",IF(OR(F700="/",G700="/",F700="",G700=""),"补充计划日期","补充投入工时"),IF(AND(G700&lt;项目驾驶舱!$B$3,E700&lt;&gt;"已完成"),"确认延期和后续安排","按计划跟踪"))</f>
        <v>补充计划日期</v>
      </c>
      <c r="K700" s="8"/>
      <c r="L700" t="s">
        <v>65</v>
      </c>
    </row>
    <row r="701" spans="1:12">
      <c r="B701" s="6" t="str">
        <f>项目总控台账!A74</f>
        <v>T071</v>
      </c>
      <c r="C701" s="6" t="str">
        <f>IF(AND(项目总控台账!E74&lt;&gt;"",项目总控台账!E74&lt;&gt;"/"),项目总控台账!E74,IF(AND(项目总控台账!D74&lt;&gt;"",项目总控台账!D74&lt;&gt;"/"),项目总控台账!D74,项目总控台账!C74))</f>
        <v>装船作业信息录入优化（太仓）</v>
      </c>
      <c r="D701" s="6" t="str">
        <f>项目总控台账!F74</f>
        <v>第一批次</v>
      </c>
      <c r="E701" s="6" t="str">
        <f>项目总控台账!G74</f>
        <v>已完成</v>
      </c>
      <c r="F701" s="17" t="str">
        <f>项目总控台账!N74</f>
        <v>/</v>
      </c>
      <c r="G701" s="17" t="str">
        <f>项目总控台账!O74</f>
        <v>/</v>
      </c>
      <c r="H701" s="70"/>
      <c r="I701" s="6" t="str">
        <f>IF(H701="","待估算",IF(E701="已完成","已结束",IF(AND(ISNUMBER(F701),ISNUMBER(G701),F701&lt;=项目驾驶舱!$B$3,G701&gt;=项目驾驶舱!$B$3),"进行中","计划中")))</f>
        <v>待估算</v>
      </c>
      <c r="J701" s="6" t="str">
        <f>IF(I701="待估算",IF(OR(F701="/",G701="/",F701="",G701=""),"补充计划日期","补充投入工时"),IF(AND(G701&lt;项目驾驶舱!$B$3,E701&lt;&gt;"已完成"),"确认延期和后续安排","按计划跟踪"))</f>
        <v>补充计划日期</v>
      </c>
      <c r="K701" s="8"/>
      <c r="L701" t="s">
        <v>65</v>
      </c>
    </row>
    <row r="702" spans="1:12">
      <c r="B702" s="6" t="str">
        <f>项目总控台账!A120</f>
        <v>T117</v>
      </c>
      <c r="C702" s="6" t="str">
        <f>IF(AND(项目总控台账!E120&lt;&gt;"",项目总控台账!E120&lt;&gt;"/"),项目总控台账!E120,IF(AND(项目总控台账!D120&lt;&gt;"",项目总控台账!D120&lt;&gt;"/"),项目总控台账!D120,项目总控台账!C120))</f>
        <v>经营任务情况分析报告</v>
      </c>
      <c r="D702" s="6" t="str">
        <f>项目总控台账!F120</f>
        <v>第一批次</v>
      </c>
      <c r="E702" s="6" t="str">
        <f>项目总控台账!G120</f>
        <v>已完成</v>
      </c>
      <c r="F702" s="17" t="str">
        <f>项目总控台账!N120</f>
        <v>/</v>
      </c>
      <c r="G702" s="17" t="str">
        <f>项目总控台账!O120</f>
        <v>/</v>
      </c>
      <c r="H702" s="70"/>
      <c r="I702" s="6" t="str">
        <f>IF(H702="","待估算",IF(E702="已完成","已结束",IF(AND(ISNUMBER(F702),ISNUMBER(G702),F702&lt;=项目驾驶舱!$B$3,G702&gt;=项目驾驶舱!$B$3),"进行中","计划中")))</f>
        <v>待估算</v>
      </c>
      <c r="J702" s="6" t="str">
        <f>IF(I702="待估算",IF(OR(F702="/",G702="/",F702="",G702=""),"补充计划日期","补充投入工时"),IF(AND(G702&lt;项目驾驶舱!$B$3,E702&lt;&gt;"已完成"),"确认延期和后续安排","按计划跟踪"))</f>
        <v>补充计划日期</v>
      </c>
      <c r="K702" s="8"/>
      <c r="L702" t="s">
        <v>65</v>
      </c>
    </row>
    <row r="703" spans="1:12">
      <c r="B703" s="6" t="str">
        <f>项目总控台账!A121</f>
        <v>T118</v>
      </c>
      <c r="C703" s="6" t="str">
        <f>IF(AND(项目总控台账!E121&lt;&gt;"",项目总控台账!E121&lt;&gt;"/"),项目总控台账!E121,IF(AND(项目总控台账!D121&lt;&gt;"",项目总控台账!D121&lt;&gt;"/"),项目总控台账!D121,项目总控台账!C121))</f>
        <v>客户月报报告</v>
      </c>
      <c r="D703" s="6" t="str">
        <f>项目总控台账!F121</f>
        <v>第一批次</v>
      </c>
      <c r="E703" s="6" t="str">
        <f>项目总控台账!G121</f>
        <v>已完成</v>
      </c>
      <c r="F703" s="17" t="str">
        <f>项目总控台账!N121</f>
        <v>/</v>
      </c>
      <c r="G703" s="17" t="str">
        <f>项目总控台账!O121</f>
        <v>/</v>
      </c>
      <c r="H703" s="70"/>
      <c r="I703" s="6" t="str">
        <f>IF(H703="","待估算",IF(E703="已完成","已结束",IF(AND(ISNUMBER(F703),ISNUMBER(G703),F703&lt;=项目驾驶舱!$B$3,G703&gt;=项目驾驶舱!$B$3),"进行中","计划中")))</f>
        <v>待估算</v>
      </c>
      <c r="J703" s="6" t="str">
        <f>IF(I703="待估算",IF(OR(F703="/",G703="/",F703="",G703=""),"补充计划日期","补充投入工时"),IF(AND(G703&lt;项目驾驶舱!$B$3,E703&lt;&gt;"已完成"),"确认延期和后续安排","按计划跟踪"))</f>
        <v>补充计划日期</v>
      </c>
      <c r="K703" s="8"/>
      <c r="L703" t="s">
        <v>65</v>
      </c>
    </row>
    <row r="704" spans="1:12">
      <c r="B704" s="6" t="str">
        <f>项目总控台账!A122</f>
        <v>T119</v>
      </c>
      <c r="C704" s="6" t="str">
        <f>IF(AND(项目总控台账!E122&lt;&gt;"",项目总控台账!E122&lt;&gt;"/"),项目总控台账!E122,IF(AND(项目总控台账!D122&lt;&gt;"",项目总控台账!D122&lt;&gt;"/"),项目总控台账!D122,项目总控台账!C122))</f>
        <v>月度客户情况报告</v>
      </c>
      <c r="D704" s="6" t="str">
        <f>项目总控台账!F122</f>
        <v>第一批次</v>
      </c>
      <c r="E704" s="6" t="str">
        <f>项目总控台账!G122</f>
        <v>已完成</v>
      </c>
      <c r="F704" s="17" t="str">
        <f>项目总控台账!N122</f>
        <v>/</v>
      </c>
      <c r="G704" s="17" t="str">
        <f>项目总控台账!O122</f>
        <v>/</v>
      </c>
      <c r="H704" s="70"/>
      <c r="I704" s="6" t="str">
        <f>IF(H704="","待估算",IF(E704="已完成","已结束",IF(AND(ISNUMBER(F704),ISNUMBER(G704),F704&lt;=项目驾驶舱!$B$3,G704&gt;=项目驾驶舱!$B$3),"进行中","计划中")))</f>
        <v>待估算</v>
      </c>
      <c r="J704" s="6" t="str">
        <f>IF(I704="待估算",IF(OR(F704="/",G704="/",F704="",G704=""),"补充计划日期","补充投入工时"),IF(AND(G704&lt;项目驾驶舱!$B$3,E704&lt;&gt;"已完成"),"确认延期和后续安排","按计划跟踪"))</f>
        <v>补充计划日期</v>
      </c>
      <c r="K704" s="8"/>
      <c r="L704" t="s">
        <v>65</v>
      </c>
    </row>
    <row r="705" spans="1:12">
      <c r="B705" s="6" t="str">
        <f>项目总控台账!A123</f>
        <v>T120</v>
      </c>
      <c r="C705" s="6" t="str">
        <f>IF(AND(项目总控台账!E123&lt;&gt;"",项目总控台账!E123&lt;&gt;"/"),项目总控台账!E123,IF(AND(项目总控台账!D123&lt;&gt;"",项目总控台账!D123&lt;&gt;"/"),项目总控台账!D123,项目总控台账!C123))</f>
        <v>商务计划周报</v>
      </c>
      <c r="D705" s="6" t="str">
        <f>项目总控台账!F123</f>
        <v>第一批次</v>
      </c>
      <c r="E705" s="6" t="str">
        <f>项目总控台账!G123</f>
        <v>已完成</v>
      </c>
      <c r="F705" s="17" t="str">
        <f>项目总控台账!N123</f>
        <v>/</v>
      </c>
      <c r="G705" s="17" t="str">
        <f>项目总控台账!O123</f>
        <v>/</v>
      </c>
      <c r="H705" s="70"/>
      <c r="I705" s="6" t="str">
        <f>IF(H705="","待估算",IF(E705="已完成","已结束",IF(AND(ISNUMBER(F705),ISNUMBER(G705),F705&lt;=项目驾驶舱!$B$3,G705&gt;=项目驾驶舱!$B$3),"进行中","计划中")))</f>
        <v>待估算</v>
      </c>
      <c r="J705" s="6" t="str">
        <f>IF(I705="待估算",IF(OR(F705="/",G705="/",F705="",G705=""),"补充计划日期","补充投入工时"),IF(AND(G705&lt;项目驾驶舱!$B$3,E705&lt;&gt;"已完成"),"确认延期和后续安排","按计划跟踪"))</f>
        <v>补充计划日期</v>
      </c>
      <c r="K705" s="8"/>
      <c r="L705" t="s">
        <v>65</v>
      </c>
    </row>
    <row r="706" spans="1:12">
      <c r="B706" s="6" t="str">
        <f>项目总控台账!A4</f>
        <v>T001</v>
      </c>
      <c r="C706" s="6" t="str">
        <f>IF(AND(项目总控台账!E4&lt;&gt;"",项目总控台账!E4&lt;&gt;"/"),项目总控台账!E4,IF(AND(项目总控台账!D4&lt;&gt;"",项目总控台账!D4&lt;&gt;"/"),项目总控台账!D4,项目总控台账!C4))</f>
        <v>新增车辆信息</v>
      </c>
      <c r="D706" s="6" t="str">
        <f>项目总控台账!F4</f>
        <v>第一批次</v>
      </c>
      <c r="E706" s="6" t="str">
        <f>项目总控台账!G4</f>
        <v>已完成</v>
      </c>
      <c r="F706" s="17">
        <f>项目总控台账!N4</f>
        <v>46202</v>
      </c>
      <c r="G706" s="17">
        <f>项目总控台账!O4</f>
        <v>46206</v>
      </c>
      <c r="H706" s="70">
        <v>1.5</v>
      </c>
      <c r="I706" s="6" t="str">
        <f>IF(H706="","待估算",IF(E706="已完成","已结束",IF(AND(ISNUMBER(F706),ISNUMBER(G706),F706&lt;=项目驾驶舱!$B$3,G706&gt;=项目驾驶舱!$B$3),"进行中","计划中")))</f>
        <v>已结束</v>
      </c>
      <c r="J706" s="6" t="str">
        <f>IF(I706="待估算",IF(OR(F706="/",G706="/",F706="",G706=""),"补充计划日期","补充投入工时"),IF(AND(G706&lt;项目驾驶舱!$B$3,E706&lt;&gt;"已完成"),"确认延期和后续安排","按计划跟踪"))</f>
        <v>按计划跟踪</v>
      </c>
      <c r="K706" s="8"/>
      <c r="L706" t="s">
        <v>65</v>
      </c>
    </row>
    <row r="707" spans="1:12">
      <c r="B707" s="6" t="str">
        <f>项目总控台账!A5</f>
        <v>T002</v>
      </c>
      <c r="C707" s="6" t="str">
        <f>IF(AND(项目总控台账!E5&lt;&gt;"",项目总控台账!E5&lt;&gt;"/"),项目总控台账!E5,IF(AND(项目总控台账!D5&lt;&gt;"",项目总控台账!D5&lt;&gt;"/"),项目总控台账!D5,项目总控台账!C5))</f>
        <v>修改车辆信息</v>
      </c>
      <c r="D707" s="6" t="str">
        <f>项目总控台账!F5</f>
        <v>第一批次</v>
      </c>
      <c r="E707" s="6" t="str">
        <f>项目总控台账!G5</f>
        <v>已完成</v>
      </c>
      <c r="F707" s="17">
        <f>项目总控台账!N5</f>
        <v>46202</v>
      </c>
      <c r="G707" s="17">
        <f>项目总控台账!O5</f>
        <v>46206</v>
      </c>
      <c r="H707" s="70">
        <v>1.5</v>
      </c>
      <c r="I707" s="6" t="str">
        <f>IF(H707="","待估算",IF(E707="已完成","已结束",IF(AND(ISNUMBER(F707),ISNUMBER(G707),F707&lt;=项目驾驶舱!$B$3,G707&gt;=项目驾驶舱!$B$3),"进行中","计划中")))</f>
        <v>已结束</v>
      </c>
      <c r="J707" s="6" t="str">
        <f>IF(I707="待估算",IF(OR(F707="/",G707="/",F707="",G707=""),"补充计划日期","补充投入工时"),IF(AND(G707&lt;项目驾驶舱!$B$3,E707&lt;&gt;"已完成"),"确认延期和后续安排","按计划跟踪"))</f>
        <v>按计划跟踪</v>
      </c>
      <c r="K707" s="8"/>
      <c r="L707" t="s">
        <v>65</v>
      </c>
    </row>
    <row r="708" spans="1:12">
      <c r="B708" s="6" t="str">
        <f>项目总控台账!A6</f>
        <v>T003</v>
      </c>
      <c r="C708" s="6" t="str">
        <f>IF(AND(项目总控台账!E6&lt;&gt;"",项目总控台账!E6&lt;&gt;"/"),项目总控台账!E6,IF(AND(项目总控台账!D6&lt;&gt;"",项目总控台账!D6&lt;&gt;"/"),项目总控台账!D6,项目总控台账!C6))</f>
        <v>删除车辆信息</v>
      </c>
      <c r="D708" s="6" t="str">
        <f>项目总控台账!F6</f>
        <v>第一批次</v>
      </c>
      <c r="E708" s="6" t="str">
        <f>项目总控台账!G6</f>
        <v>已完成</v>
      </c>
      <c r="F708" s="17">
        <f>项目总控台账!N6</f>
        <v>46202</v>
      </c>
      <c r="G708" s="17">
        <f>项目总控台账!O6</f>
        <v>46206</v>
      </c>
      <c r="H708" s="70">
        <v>1.5</v>
      </c>
      <c r="I708" s="6" t="str">
        <f>IF(H708="","待估算",IF(E708="已完成","已结束",IF(AND(ISNUMBER(F708),ISNUMBER(G708),F708&lt;=项目驾驶舱!$B$3,G708&gt;=项目驾驶舱!$B$3),"进行中","计划中")))</f>
        <v>已结束</v>
      </c>
      <c r="J708" s="6" t="str">
        <f>IF(I708="待估算",IF(OR(F708="/",G708="/",F708="",G708=""),"补充计划日期","补充投入工时"),IF(AND(G708&lt;项目驾驶舱!$B$3,E708&lt;&gt;"已完成"),"确认延期和后续安排","按计划跟踪"))</f>
        <v>按计划跟踪</v>
      </c>
      <c r="K708" s="8"/>
      <c r="L708" t="s">
        <v>65</v>
      </c>
    </row>
    <row r="709" spans="1:12">
      <c r="A709" s="71"/>
      <c r="B709" s="6" t="str">
        <f>项目总控台账!A7</f>
        <v>T004</v>
      </c>
      <c r="C709" s="6" t="str">
        <f>IF(AND(项目总控台账!E7&lt;&gt;"",项目总控台账!E7&lt;&gt;"/"),项目总控台账!E7,IF(AND(项目总控台账!D7&lt;&gt;"",项目总控台账!D7&lt;&gt;"/"),项目总控台账!D7,项目总控台账!C7))</f>
        <v>查询展示车辆信息</v>
      </c>
      <c r="D709" s="6" t="str">
        <f>项目总控台账!F7</f>
        <v>第一批次</v>
      </c>
      <c r="E709" s="6" t="str">
        <f>项目总控台账!G7</f>
        <v>已完成</v>
      </c>
      <c r="F709" s="17">
        <f>项目总控台账!N7</f>
        <v>46202</v>
      </c>
      <c r="G709" s="17">
        <f>项目总控台账!O7</f>
        <v>46206</v>
      </c>
      <c r="H709" s="70">
        <v>1.5</v>
      </c>
      <c r="I709" s="6" t="str">
        <f>IF(H709="","待估算",IF(E709="已完成","已结束",IF(AND(ISNUMBER(F709),ISNUMBER(G709),F709&lt;=项目驾驶舱!$B$3,G709&gt;=项目驾驶舱!$B$3),"进行中","计划中")))</f>
        <v>已结束</v>
      </c>
      <c r="J709" s="6" t="str">
        <f>IF(I709="待估算",IF(OR(F709="/",G709="/",F709="",G709=""),"补充计划日期","补充投入工时"),IF(AND(G709&lt;项目驾驶舱!$B$3,E709&lt;&gt;"已完成"),"确认延期和后续安排","按计划跟踪"))</f>
        <v>按计划跟踪</v>
      </c>
      <c r="K709" s="8"/>
      <c r="L709" t="s">
        <v>65</v>
      </c>
    </row>
    <row r="710" spans="1:12">
      <c r="A710" s="72" t="s">
        <v>65</v>
      </c>
      <c r="B710" s="6" t="str">
        <f>项目总控台账!A9</f>
        <v>T006</v>
      </c>
      <c r="C710" s="6" t="str">
        <f>IF(AND(项目总控台账!E9&lt;&gt;"",项目总控台账!E9&lt;&gt;"/"),项目总控台账!E9,IF(AND(项目总控台账!D9&lt;&gt;"",项目总控台账!D9&lt;&gt;"/"),项目总控台账!D9,项目总控台账!C9))</f>
        <v>优化收费标准（装卸费）新增</v>
      </c>
      <c r="D710" s="6" t="str">
        <f>项目总控台账!F9</f>
        <v>第一批次</v>
      </c>
      <c r="E710" s="6" t="str">
        <f>项目总控台账!G9</f>
        <v>已完成</v>
      </c>
      <c r="F710" s="17">
        <f>项目总控台账!N9</f>
        <v>46202</v>
      </c>
      <c r="G710" s="17">
        <f>项目总控台账!O9</f>
        <v>46206</v>
      </c>
      <c r="H710" s="70">
        <v>1.5</v>
      </c>
      <c r="I710" s="6" t="str">
        <f>IF(H710="","待估算",IF(E710="已完成","已结束",IF(AND(ISNUMBER(F710),ISNUMBER(G710),F710&lt;=项目驾驶舱!$B$3,G710&gt;=项目驾驶舱!$B$3),"进行中","计划中")))</f>
        <v>已结束</v>
      </c>
      <c r="J710" s="6" t="str">
        <f>IF(I710="待估算",IF(OR(F710="/",G710="/",F710="",G710=""),"补充计划日期","补充投入工时"),IF(AND(G710&lt;项目驾驶舱!$B$3,E710&lt;&gt;"已完成"),"确认延期和后续安排","按计划跟踪"))</f>
        <v>按计划跟踪</v>
      </c>
      <c r="K710" s="8"/>
      <c r="L710" t="s">
        <v>65</v>
      </c>
    </row>
    <row r="711" spans="1:12">
      <c r="B711" s="6" t="str">
        <f>项目总控台账!A10</f>
        <v>T007</v>
      </c>
      <c r="C711" s="6" t="str">
        <f>IF(AND(项目总控台账!E10&lt;&gt;"",项目总控台账!E10&lt;&gt;"/"),项目总控台账!E10,IF(AND(项目总控台账!D10&lt;&gt;"",项目总控台账!D10&lt;&gt;"/"),项目总控台账!D10,项目总控台账!C10))</f>
        <v>优化收费标准（装卸费）编辑</v>
      </c>
      <c r="D711" s="6" t="str">
        <f>项目总控台账!F10</f>
        <v>第一批次</v>
      </c>
      <c r="E711" s="6" t="str">
        <f>项目总控台账!G10</f>
        <v>已完成</v>
      </c>
      <c r="F711" s="17">
        <f>项目总控台账!N10</f>
        <v>46202</v>
      </c>
      <c r="G711" s="17">
        <f>项目总控台账!O10</f>
        <v>46206</v>
      </c>
      <c r="H711" s="70">
        <v>1.5</v>
      </c>
      <c r="I711" s="6" t="str">
        <f>IF(H711="","待估算",IF(E711="已完成","已结束",IF(AND(ISNUMBER(F711),ISNUMBER(G711),F711&lt;=项目驾驶舱!$B$3,G711&gt;=项目驾驶舱!$B$3),"进行中","计划中")))</f>
        <v>已结束</v>
      </c>
      <c r="J711" s="6" t="str">
        <f>IF(I711="待估算",IF(OR(F711="/",G711="/",F711="",G711=""),"补充计划日期","补充投入工时"),IF(AND(G711&lt;项目驾驶舱!$B$3,E711&lt;&gt;"已完成"),"确认延期和后续安排","按计划跟踪"))</f>
        <v>按计划跟踪</v>
      </c>
      <c r="K711" s="8"/>
      <c r="L711" t="s">
        <v>65</v>
      </c>
    </row>
    <row r="712" spans="1:12">
      <c r="B712" s="6" t="str">
        <f>项目总控台账!A11</f>
        <v>T008</v>
      </c>
      <c r="C712" s="6" t="str">
        <f>IF(AND(项目总控台账!E11&lt;&gt;"",项目总控台账!E11&lt;&gt;"/"),项目总控台账!E11,IF(AND(项目总控台账!D11&lt;&gt;"",项目总控台账!D11&lt;&gt;"/"),项目总控台账!D11,项目总控台账!C11))</f>
        <v>优化收费标准（装卸费）详情</v>
      </c>
      <c r="D712" s="6" t="str">
        <f>项目总控台账!F11</f>
        <v>第一批次</v>
      </c>
      <c r="E712" s="6" t="str">
        <f>项目总控台账!G11</f>
        <v>已完成</v>
      </c>
      <c r="F712" s="17">
        <f>项目总控台账!N11</f>
        <v>46202</v>
      </c>
      <c r="G712" s="17">
        <f>项目总控台账!O11</f>
        <v>46206</v>
      </c>
      <c r="H712" s="70">
        <v>1.5</v>
      </c>
      <c r="I712" s="6" t="str">
        <f>IF(H712="","待估算",IF(E712="已完成","已结束",IF(AND(ISNUMBER(F712),ISNUMBER(G712),F712&lt;=项目驾驶舱!$B$3,G712&gt;=项目驾驶舱!$B$3),"进行中","计划中")))</f>
        <v>已结束</v>
      </c>
      <c r="J712" s="6" t="str">
        <f>IF(I712="待估算",IF(OR(F712="/",G712="/",F712="",G712=""),"补充计划日期","补充投入工时"),IF(AND(G712&lt;项目驾驶舱!$B$3,E712&lt;&gt;"已完成"),"确认延期和后续安排","按计划跟踪"))</f>
        <v>按计划跟踪</v>
      </c>
      <c r="K712" s="8"/>
      <c r="L712" t="s">
        <v>65</v>
      </c>
    </row>
    <row r="713" spans="1:12">
      <c r="B713" s="6" t="str">
        <f>项目总控台账!A12</f>
        <v>T009</v>
      </c>
      <c r="C713" s="6" t="str">
        <f>IF(AND(项目总控台账!E12&lt;&gt;"",项目总控台账!E12&lt;&gt;"/"),项目总控台账!E12,IF(AND(项目总控台账!D12&lt;&gt;"",项目总控台账!D12&lt;&gt;"/"),项目总控台账!D12,项目总控台账!C12))</f>
        <v>优化采样方式新增</v>
      </c>
      <c r="D713" s="6" t="str">
        <f>项目总控台账!F12</f>
        <v>第一批次</v>
      </c>
      <c r="E713" s="6" t="str">
        <f>项目总控台账!G12</f>
        <v>已完成</v>
      </c>
      <c r="F713" s="17">
        <f>项目总控台账!N12</f>
        <v>46202</v>
      </c>
      <c r="G713" s="17">
        <f>项目总控台账!O12</f>
        <v>46206</v>
      </c>
      <c r="H713" s="70">
        <v>1.5</v>
      </c>
      <c r="I713" s="6" t="str">
        <f>IF(H713="","待估算",IF(E713="已完成","已结束",IF(AND(ISNUMBER(F713),ISNUMBER(G713),F713&lt;=项目驾驶舱!$B$3,G713&gt;=项目驾驶舱!$B$3),"进行中","计划中")))</f>
        <v>已结束</v>
      </c>
      <c r="J713" s="6" t="str">
        <f>IF(I713="待估算",IF(OR(F713="/",G713="/",F713="",G713=""),"补充计划日期","补充投入工时"),IF(AND(G713&lt;项目驾驶舱!$B$3,E713&lt;&gt;"已完成"),"确认延期和后续安排","按计划跟踪"))</f>
        <v>按计划跟踪</v>
      </c>
      <c r="K713" s="8"/>
      <c r="L713" t="s">
        <v>65</v>
      </c>
    </row>
    <row r="714" spans="1:12">
      <c r="B714" s="6" t="str">
        <f>项目总控台账!A13</f>
        <v>T010</v>
      </c>
      <c r="C714" s="6" t="str">
        <f>IF(AND(项目总控台账!E13&lt;&gt;"",项目总控台账!E13&lt;&gt;"/"),项目总控台账!E13,IF(AND(项目总控台账!D13&lt;&gt;"",项目总控台账!D13&lt;&gt;"/"),项目总控台账!D13,项目总控台账!C13))</f>
        <v>优化采样方式编辑</v>
      </c>
      <c r="D714" s="6" t="str">
        <f>项目总控台账!F13</f>
        <v>第一批次</v>
      </c>
      <c r="E714" s="6" t="str">
        <f>项目总控台账!G13</f>
        <v>已完成</v>
      </c>
      <c r="F714" s="17">
        <f>项目总控台账!N13</f>
        <v>46202</v>
      </c>
      <c r="G714" s="17">
        <f>项目总控台账!O13</f>
        <v>46206</v>
      </c>
      <c r="H714" s="70">
        <v>1.5</v>
      </c>
      <c r="I714" s="6" t="str">
        <f>IF(H714="","待估算",IF(E714="已完成","已结束",IF(AND(ISNUMBER(F714),ISNUMBER(G714),F714&lt;=项目驾驶舱!$B$3,G714&gt;=项目驾驶舱!$B$3),"进行中","计划中")))</f>
        <v>已结束</v>
      </c>
      <c r="J714" s="6" t="str">
        <f>IF(I714="待估算",IF(OR(F714="/",G714="/",F714="",G714=""),"补充计划日期","补充投入工时"),IF(AND(G714&lt;项目驾驶舱!$B$3,E714&lt;&gt;"已完成"),"确认延期和后续安排","按计划跟踪"))</f>
        <v>按计划跟踪</v>
      </c>
      <c r="K714" s="8"/>
      <c r="L714" t="s">
        <v>65</v>
      </c>
    </row>
    <row r="715" spans="1:12">
      <c r="B715" s="6" t="str">
        <f>项目总控台账!A14</f>
        <v>T011</v>
      </c>
      <c r="C715" s="6" t="str">
        <f>IF(AND(项目总控台账!E14&lt;&gt;"",项目总控台账!E14&lt;&gt;"/"),项目总控台账!E14,IF(AND(项目总控台账!D14&lt;&gt;"",项目总控台账!D14&lt;&gt;"/"),项目总控台账!D14,项目总控台账!C14))</f>
        <v>获取报单数据及展示</v>
      </c>
      <c r="D715" s="6" t="str">
        <f>项目总控台账!F14</f>
        <v>第一批次</v>
      </c>
      <c r="E715" s="6" t="str">
        <f>项目总控台账!G14</f>
        <v>已完成</v>
      </c>
      <c r="F715" s="17">
        <f>项目总控台账!N14</f>
        <v>46202</v>
      </c>
      <c r="G715" s="17">
        <f>项目总控台账!O14</f>
        <v>46206</v>
      </c>
      <c r="H715" s="70">
        <v>1.5</v>
      </c>
      <c r="I715" s="6" t="str">
        <f>IF(H715="","待估算",IF(E715="已完成","已结束",IF(AND(ISNUMBER(F715),ISNUMBER(G715),F715&lt;=项目驾驶舱!$B$3,G715&gt;=项目驾驶舱!$B$3),"进行中","计划中")))</f>
        <v>已结束</v>
      </c>
      <c r="J715" s="6" t="str">
        <f>IF(I715="待估算",IF(OR(F715="/",G715="/",F715="",G715=""),"补充计划日期","补充投入工时"),IF(AND(G715&lt;项目驾驶舱!$B$3,E715&lt;&gt;"已完成"),"确认延期和后续安排","按计划跟踪"))</f>
        <v>按计划跟踪</v>
      </c>
      <c r="K715" s="8"/>
      <c r="L715" t="s">
        <v>65</v>
      </c>
    </row>
    <row r="716" spans="1:12">
      <c r="B716" s="6" t="str">
        <f>项目总控台账!A15</f>
        <v>T012</v>
      </c>
      <c r="C716" s="6" t="str">
        <f>IF(AND(项目总控台账!E15&lt;&gt;"",项目总控台账!E15&lt;&gt;"/"),项目总控台账!E15,IF(AND(项目总控台账!D15&lt;&gt;"",项目总控台账!D15&lt;&gt;"/"),项目总控台账!D15,项目总控台账!C15))</f>
        <v>应单入口</v>
      </c>
      <c r="D716" s="6" t="str">
        <f>项目总控台账!F15</f>
        <v>第一批次</v>
      </c>
      <c r="E716" s="6" t="str">
        <f>项目总控台账!G15</f>
        <v>已完成</v>
      </c>
      <c r="F716" s="17">
        <f>项目总控台账!N15</f>
        <v>46202</v>
      </c>
      <c r="G716" s="17">
        <f>项目总控台账!O15</f>
        <v>46206</v>
      </c>
      <c r="H716" s="70">
        <v>1.5</v>
      </c>
      <c r="I716" s="6" t="str">
        <f>IF(H716="","待估算",IF(E716="已完成","已结束",IF(AND(ISNUMBER(F716),ISNUMBER(G716),F716&lt;=项目驾驶舱!$B$3,G716&gt;=项目驾驶舱!$B$3),"进行中","计划中")))</f>
        <v>已结束</v>
      </c>
      <c r="J716" s="6" t="str">
        <f>IF(I716="待估算",IF(OR(F716="/",G716="/",F716="",G716=""),"补充计划日期","补充投入工时"),IF(AND(G716&lt;项目驾驶舱!$B$3,E716&lt;&gt;"已完成"),"确认延期和后续安排","按计划跟踪"))</f>
        <v>按计划跟踪</v>
      </c>
      <c r="K716" s="8"/>
      <c r="L716" t="s">
        <v>65</v>
      </c>
    </row>
    <row r="717" spans="1:12">
      <c r="B717" s="6" t="str">
        <f>项目总控台账!A53</f>
        <v>T050</v>
      </c>
      <c r="C717" s="6" t="str">
        <f>IF(AND(项目总控台账!E53&lt;&gt;"",项目总控台账!E53&lt;&gt;"/"),项目总控台账!E53,IF(AND(项目总控台账!D53&lt;&gt;"",项目总控台账!D53&lt;&gt;"/"),项目总控台账!D53,项目总控台账!C53))</f>
        <v>维护需跟踪船舶清单</v>
      </c>
      <c r="D717" s="6" t="str">
        <f>项目总控台账!F53</f>
        <v>第一批次</v>
      </c>
      <c r="E717" s="6" t="str">
        <f>项目总控台账!G53</f>
        <v>进行中</v>
      </c>
      <c r="F717" s="17">
        <f>项目总控台账!N53</f>
        <v>46202</v>
      </c>
      <c r="G717" s="17">
        <f>项目总控台账!O53</f>
        <v>46206</v>
      </c>
      <c r="H717" s="70">
        <v>1.5</v>
      </c>
      <c r="I717" s="6" t="str">
        <f>IF(H717="","待估算",IF(E717="已完成","已结束",IF(AND(ISNUMBER(F717),ISNUMBER(G717),F717&lt;=项目驾驶舱!$B$3,G717&gt;=项目驾驶舱!$B$3),"进行中","计划中")))</f>
        <v>计划中</v>
      </c>
      <c r="J717" s="6" t="str">
        <f>IF(I717="待估算",IF(OR(F717="/",G717="/",F717="",G717=""),"补充计划日期","补充投入工时"),IF(AND(G717&lt;项目驾驶舱!$B$3,E717&lt;&gt;"已完成"),"确认延期和后续安排","按计划跟踪"))</f>
        <v>确认延期和后续安排</v>
      </c>
      <c r="K717" s="8"/>
      <c r="L717" t="s">
        <v>65</v>
      </c>
    </row>
    <row r="718" spans="1:12">
      <c r="B718" s="6" t="str">
        <f>项目总控台账!A54</f>
        <v>T051</v>
      </c>
      <c r="C718" s="6" t="str">
        <f>IF(AND(项目总控台账!E54&lt;&gt;"",项目总控台账!E54&lt;&gt;"/"),项目总控台账!E54,IF(AND(项目总控台账!D54&lt;&gt;"",项目总控台账!D54&lt;&gt;"/"),项目总控台账!D54,项目总控台账!C54))</f>
        <v>根据船舶清单更新第三方系统推送数据船舶清单</v>
      </c>
      <c r="D718" s="6" t="str">
        <f>项目总控台账!F54</f>
        <v>第一批次</v>
      </c>
      <c r="E718" s="6" t="str">
        <f>项目总控台账!G54</f>
        <v>进行中</v>
      </c>
      <c r="F718" s="17">
        <f>项目总控台账!N54</f>
        <v>46202</v>
      </c>
      <c r="G718" s="17">
        <f>项目总控台账!O54</f>
        <v>46206</v>
      </c>
      <c r="H718" s="70">
        <v>1</v>
      </c>
      <c r="I718" s="6" t="str">
        <f>IF(H718="","待估算",IF(E718="已完成","已结束",IF(AND(ISNUMBER(F718),ISNUMBER(G718),F718&lt;=项目驾驶舱!$B$3,G718&gt;=项目驾驶舱!$B$3),"进行中","计划中")))</f>
        <v>计划中</v>
      </c>
      <c r="J718" s="6" t="str">
        <f>IF(I718="待估算",IF(OR(F718="/",G718="/",F718="",G718=""),"补充计划日期","补充投入工时"),IF(AND(G718&lt;项目驾驶舱!$B$3,E718&lt;&gt;"已完成"),"确认延期和后续安排","按计划跟踪"))</f>
        <v>确认延期和后续安排</v>
      </c>
      <c r="K718" s="8"/>
      <c r="L718" t="s">
        <v>65</v>
      </c>
    </row>
    <row r="719" spans="1:12">
      <c r="B719" s="6" t="str">
        <f>项目总控台账!A55</f>
        <v>T052</v>
      </c>
      <c r="C719" s="6" t="str">
        <f>IF(AND(项目总控台账!E55&lt;&gt;"",项目总控台账!E55&lt;&gt;"/"),项目总控台账!E55,IF(AND(项目总控台账!D55&lt;&gt;"",项目总控台账!D55&lt;&gt;"/"),项目总控台账!D55,项目总控台账!C55))</f>
        <v>船舶轨迹跟踪</v>
      </c>
      <c r="D719" s="6" t="str">
        <f>项目总控台账!F55</f>
        <v>第一批次</v>
      </c>
      <c r="E719" s="6" t="str">
        <f>项目总控台账!G55</f>
        <v>进行中</v>
      </c>
      <c r="F719" s="17">
        <f>项目总控台账!N55</f>
        <v>46202</v>
      </c>
      <c r="G719" s="17">
        <f>项目总控台账!O55</f>
        <v>46206</v>
      </c>
      <c r="H719" s="70">
        <v>1</v>
      </c>
      <c r="I719" s="6" t="str">
        <f>IF(H719="","待估算",IF(E719="已完成","已结束",IF(AND(ISNUMBER(F719),ISNUMBER(G719),F719&lt;=项目驾驶舱!$B$3,G719&gt;=项目驾驶舱!$B$3),"进行中","计划中")))</f>
        <v>计划中</v>
      </c>
      <c r="J719" s="6" t="str">
        <f>IF(I719="待估算",IF(OR(F719="/",G719="/",F719="",G719=""),"补充计划日期","补充投入工时"),IF(AND(G719&lt;项目驾驶舱!$B$3,E719&lt;&gt;"已完成"),"确认延期和后续安排","按计划跟踪"))</f>
        <v>确认延期和后续安排</v>
      </c>
      <c r="K719" s="8"/>
      <c r="L719" t="s">
        <v>65</v>
      </c>
    </row>
    <row r="720" spans="1:12">
      <c r="B720" s="6" t="str">
        <f>项目总控台账!A63</f>
        <v>T060</v>
      </c>
      <c r="C720" s="6" t="str">
        <f>IF(AND(项目总控台账!E63&lt;&gt;"",项目总控台账!E63&lt;&gt;"/"),项目总控台账!E63,IF(AND(项目总控台账!D63&lt;&gt;"",项目总控台账!D63&lt;&gt;"/"),项目总控台账!D63,项目总控台账!C63))</f>
        <v>货权录入</v>
      </c>
      <c r="D720" s="6" t="str">
        <f>项目总控台账!F63</f>
        <v>第一批次</v>
      </c>
      <c r="E720" s="6" t="str">
        <f>项目总控台账!G63</f>
        <v>已完成</v>
      </c>
      <c r="F720" s="17">
        <f>项目总控台账!N63</f>
        <v>46202</v>
      </c>
      <c r="G720" s="17">
        <f>项目总控台账!O63</f>
        <v>46206</v>
      </c>
      <c r="H720" s="70">
        <v>1</v>
      </c>
      <c r="I720" s="6" t="str">
        <f>IF(H720="","待估算",IF(E720="已完成","已结束",IF(AND(ISNUMBER(F720),ISNUMBER(G720),F720&lt;=项目驾驶舱!$B$3,G720&gt;=项目驾驶舱!$B$3),"进行中","计划中")))</f>
        <v>已结束</v>
      </c>
      <c r="J720" s="6" t="str">
        <f>IF(I720="待估算",IF(OR(F720="/",G720="/",F720="",G720=""),"补充计划日期","补充投入工时"),IF(AND(G720&lt;项目驾驶舱!$B$3,E720&lt;&gt;"已完成"),"确认延期和后续安排","按计划跟踪"))</f>
        <v>按计划跟踪</v>
      </c>
      <c r="K720" s="8"/>
      <c r="L720" t="s">
        <v>65</v>
      </c>
    </row>
    <row r="721" spans="1:12">
      <c r="A721" s="71"/>
      <c r="B721" s="6" t="str">
        <f>项目总控台账!A64</f>
        <v>T061</v>
      </c>
      <c r="C721" s="6" t="str">
        <f>IF(AND(项目总控台账!E64&lt;&gt;"",项目总控台账!E64&lt;&gt;"/"),项目总控台账!E64,IF(AND(项目总控台账!D64&lt;&gt;"",项目总控台账!D64&lt;&gt;"/"),项目总控台账!D64,项目总控台账!C64))</f>
        <v>货权修改</v>
      </c>
      <c r="D721" s="6" t="str">
        <f>项目总控台账!F64</f>
        <v>第一批次</v>
      </c>
      <c r="E721" s="6" t="str">
        <f>项目总控台账!G64</f>
        <v>已完成</v>
      </c>
      <c r="F721" s="17">
        <f>项目总控台账!N64</f>
        <v>46202</v>
      </c>
      <c r="G721" s="17">
        <f>项目总控台账!O64</f>
        <v>46206</v>
      </c>
      <c r="H721" s="70">
        <v>1</v>
      </c>
      <c r="I721" s="6" t="str">
        <f>IF(H721="","待估算",IF(E721="已完成","已结束",IF(AND(ISNUMBER(F721),ISNUMBER(G721),F721&lt;=项目驾驶舱!$B$3,G721&gt;=项目驾驶舱!$B$3),"进行中","计划中")))</f>
        <v>已结束</v>
      </c>
      <c r="J721" s="6" t="str">
        <f>IF(I721="待估算",IF(OR(F721="/",G721="/",F721="",G721=""),"补充计划日期","补充投入工时"),IF(AND(G721&lt;项目驾驶舱!$B$3,E721&lt;&gt;"已完成"),"确认延期和后续安排","按计划跟踪"))</f>
        <v>按计划跟踪</v>
      </c>
      <c r="K721" s="8"/>
      <c r="L721" t="s">
        <v>65</v>
      </c>
    </row>
    <row r="722" spans="1:12">
      <c r="A722" s="72" t="s">
        <v>65</v>
      </c>
      <c r="B722" s="6" t="str">
        <f>项目总控台账!A65</f>
        <v>T062</v>
      </c>
      <c r="C722" s="6" t="str">
        <f>IF(AND(项目总控台账!E65&lt;&gt;"",项目总控台账!E65&lt;&gt;"/"),项目总控台账!E65,IF(AND(项目总控台账!D65&lt;&gt;"",项目总控台账!D65&lt;&gt;"/"),项目总控台账!D65,项目总控台账!C65))</f>
        <v>获取查询</v>
      </c>
      <c r="D722" s="6" t="str">
        <f>项目总控台账!F65</f>
        <v>第一批次</v>
      </c>
      <c r="E722" s="6" t="str">
        <f>项目总控台账!G65</f>
        <v>已完成</v>
      </c>
      <c r="F722" s="17">
        <f>项目总控台账!N65</f>
        <v>46202</v>
      </c>
      <c r="G722" s="17">
        <f>项目总控台账!O65</f>
        <v>46206</v>
      </c>
      <c r="H722" s="70">
        <v>1</v>
      </c>
      <c r="I722" s="6" t="str">
        <f>IF(H722="","待估算",IF(E722="已完成","已结束",IF(AND(ISNUMBER(F722),ISNUMBER(G722),F722&lt;=项目驾驶舱!$B$3,G722&gt;=项目驾驶舱!$B$3),"进行中","计划中")))</f>
        <v>已结束</v>
      </c>
      <c r="J722" s="6" t="str">
        <f>IF(I722="待估算",IF(OR(F722="/",G722="/",F722="",G722=""),"补充计划日期","补充投入工时"),IF(AND(G722&lt;项目驾驶舱!$B$3,E722&lt;&gt;"已完成"),"确认延期和后续安排","按计划跟踪"))</f>
        <v>按计划跟踪</v>
      </c>
      <c r="K722" s="8"/>
      <c r="L722" t="s">
        <v>65</v>
      </c>
    </row>
    <row r="723" spans="1:12">
      <c r="B723" s="6" t="str">
        <f>项目总控台账!A66</f>
        <v>T063</v>
      </c>
      <c r="C723" s="6" t="str">
        <f>IF(AND(项目总控台账!E66&lt;&gt;"",项目总控台账!E66&lt;&gt;"/"),项目总控台账!E66,IF(AND(项目总控台账!D66&lt;&gt;"",项目总控台账!D66&lt;&gt;"/"),项目总控台账!D66,项目总控台账!C66))</f>
        <v>卸船作业货权跟踪</v>
      </c>
      <c r="D723" s="6" t="str">
        <f>项目总控台账!F66</f>
        <v>第一批次</v>
      </c>
      <c r="E723" s="6" t="str">
        <f>项目总控台账!G66</f>
        <v>已完成</v>
      </c>
      <c r="F723" s="17">
        <f>项目总控台账!N66</f>
        <v>46202</v>
      </c>
      <c r="G723" s="17">
        <f>项目总控台账!O66</f>
        <v>46206</v>
      </c>
      <c r="H723" s="70">
        <v>1</v>
      </c>
      <c r="I723" s="6" t="str">
        <f>IF(H723="","待估算",IF(E723="已完成","已结束",IF(AND(ISNUMBER(F723),ISNUMBER(G723),F723&lt;=项目驾驶舱!$B$3,G723&gt;=项目驾驶舱!$B$3),"进行中","计划中")))</f>
        <v>已结束</v>
      </c>
      <c r="J723" s="6" t="str">
        <f>IF(I723="待估算",IF(OR(F723="/",G723="/",F723="",G723=""),"补充计划日期","补充投入工时"),IF(AND(G723&lt;项目驾驶舱!$B$3,E723&lt;&gt;"已完成"),"确认延期和后续安排","按计划跟踪"))</f>
        <v>按计划跟踪</v>
      </c>
      <c r="K723" s="8"/>
      <c r="L723" t="s">
        <v>65</v>
      </c>
    </row>
    <row r="724" spans="1:12">
      <c r="B724" s="6" t="str">
        <f>项目总控台账!A67</f>
        <v>T064</v>
      </c>
      <c r="C724" s="6" t="str">
        <f>IF(AND(项目总控台账!E67&lt;&gt;"",项目总控台账!E67&lt;&gt;"/"),项目总控台账!E67,IF(AND(项目总控台账!D67&lt;&gt;"",项目总控台账!D67&lt;&gt;"/"),项目总控台账!D67,项目总控台账!C67))</f>
        <v>卸船作业货权跟踪</v>
      </c>
      <c r="D724" s="6" t="str">
        <f>项目总控台账!F67</f>
        <v>第一批次</v>
      </c>
      <c r="E724" s="6" t="str">
        <f>项目总控台账!G67</f>
        <v>已完成</v>
      </c>
      <c r="F724" s="17">
        <f>项目总控台账!N67</f>
        <v>46202</v>
      </c>
      <c r="G724" s="17">
        <f>项目总控台账!O67</f>
        <v>46206</v>
      </c>
      <c r="H724" s="70">
        <v>1</v>
      </c>
      <c r="I724" s="6" t="str">
        <f>IF(H724="","待估算",IF(E724="已完成","已结束",IF(AND(ISNUMBER(F724),ISNUMBER(G724),F724&lt;=项目驾驶舱!$B$3,G724&gt;=项目驾驶舱!$B$3),"进行中","计划中")))</f>
        <v>已结束</v>
      </c>
      <c r="J724" s="6" t="str">
        <f>IF(I724="待估算",IF(OR(F724="/",G724="/",F724="",G724=""),"补充计划日期","补充投入工时"),IF(AND(G724&lt;项目驾驶舱!$B$3,E724&lt;&gt;"已完成"),"确认延期和后续安排","按计划跟踪"))</f>
        <v>按计划跟踪</v>
      </c>
      <c r="K724" s="8"/>
      <c r="L724" t="s">
        <v>65</v>
      </c>
    </row>
    <row r="725" spans="1:12">
      <c r="B725" s="6" t="str">
        <f>项目总控台账!A68</f>
        <v>T065</v>
      </c>
      <c r="C725" s="6" t="str">
        <f>IF(AND(项目总控台账!E68&lt;&gt;"",项目总控台账!E68&lt;&gt;"/"),项目总控台账!E68,IF(AND(项目总控台账!D68&lt;&gt;"",项目总控台账!D68&lt;&gt;"/"),项目总控台账!D68,项目总控台账!C68))</f>
        <v>装船作业货权跟踪</v>
      </c>
      <c r="D725" s="6" t="str">
        <f>项目总控台账!F68</f>
        <v>第一批次</v>
      </c>
      <c r="E725" s="6" t="str">
        <f>项目总控台账!G68</f>
        <v>已完成</v>
      </c>
      <c r="F725" s="17">
        <f>项目总控台账!N68</f>
        <v>46202</v>
      </c>
      <c r="G725" s="17">
        <f>项目总控台账!O68</f>
        <v>46206</v>
      </c>
      <c r="H725" s="70">
        <v>1</v>
      </c>
      <c r="I725" s="6" t="str">
        <f>IF(H725="","待估算",IF(E725="已完成","已结束",IF(AND(ISNUMBER(F725),ISNUMBER(G725),F725&lt;=项目驾驶舱!$B$3,G725&gt;=项目驾驶舱!$B$3),"进行中","计划中")))</f>
        <v>已结束</v>
      </c>
      <c r="J725" s="6" t="str">
        <f>IF(I725="待估算",IF(OR(F725="/",G725="/",F725="",G725=""),"补充计划日期","补充投入工时"),IF(AND(G725&lt;项目驾驶舱!$B$3,E725&lt;&gt;"已完成"),"确认延期和后续安排","按计划跟踪"))</f>
        <v>按计划跟踪</v>
      </c>
      <c r="K725" s="8"/>
      <c r="L725" t="s">
        <v>65</v>
      </c>
    </row>
    <row r="726" spans="1:12">
      <c r="B726" s="6" t="str">
        <f>项目总控台账!A69</f>
        <v>T066</v>
      </c>
      <c r="C726" s="6" t="str">
        <f>IF(AND(项目总控台账!E69&lt;&gt;"",项目总控台账!E69&lt;&gt;"/"),项目总控台账!E69,IF(AND(项目总控台账!D69&lt;&gt;"",项目总控台账!D69&lt;&gt;"/"),项目总控台账!D69,项目总控台账!C69))</f>
        <v>装船作业货权跟踪</v>
      </c>
      <c r="D726" s="6" t="str">
        <f>项目总控台账!F69</f>
        <v>第一批次</v>
      </c>
      <c r="E726" s="6" t="str">
        <f>项目总控台账!G69</f>
        <v>已完成</v>
      </c>
      <c r="F726" s="17">
        <f>项目总控台账!N69</f>
        <v>46202</v>
      </c>
      <c r="G726" s="17">
        <f>项目总控台账!O69</f>
        <v>46206</v>
      </c>
      <c r="H726" s="70">
        <v>1</v>
      </c>
      <c r="I726" s="6" t="str">
        <f>IF(H726="","待估算",IF(E726="已完成","已结束",IF(AND(ISNUMBER(F726),ISNUMBER(G726),F726&lt;=项目驾驶舱!$B$3,G726&gt;=项目驾驶舱!$B$3),"进行中","计划中")))</f>
        <v>已结束</v>
      </c>
      <c r="J726" s="6" t="str">
        <f>IF(I726="待估算",IF(OR(F726="/",G726="/",F726="",G726=""),"补充计划日期","补充投入工时"),IF(AND(G726&lt;项目驾驶舱!$B$3,E726&lt;&gt;"已完成"),"确认延期和后续安排","按计划跟踪"))</f>
        <v>按计划跟踪</v>
      </c>
      <c r="K726" s="8"/>
      <c r="L726" t="s">
        <v>65</v>
      </c>
    </row>
    <row r="727" spans="1:12">
      <c r="B727" s="6" t="str">
        <f>项目总控台账!A70</f>
        <v>T067</v>
      </c>
      <c r="C727" s="6" t="str">
        <f>IF(AND(项目总控台账!E70&lt;&gt;"",项目总控台账!E70&lt;&gt;"/"),项目总控台账!E70,IF(AND(项目总控台账!D70&lt;&gt;"",项目总控台账!D70&lt;&gt;"/"),项目总控台账!D70,项目总控台账!C70))</f>
        <v>装船作业货权跟踪</v>
      </c>
      <c r="D727" s="6" t="str">
        <f>项目总控台账!F70</f>
        <v>第一批次</v>
      </c>
      <c r="E727" s="6" t="str">
        <f>项目总控台账!G70</f>
        <v>已完成</v>
      </c>
      <c r="F727" s="17">
        <f>项目总控台账!N70</f>
        <v>46202</v>
      </c>
      <c r="G727" s="17">
        <f>项目总控台账!O70</f>
        <v>46206</v>
      </c>
      <c r="H727" s="70">
        <v>1</v>
      </c>
      <c r="I727" s="6" t="str">
        <f>IF(H727="","待估算",IF(E727="已完成","已结束",IF(AND(ISNUMBER(F727),ISNUMBER(G727),F727&lt;=项目驾驶舱!$B$3,G727&gt;=项目驾驶舱!$B$3),"进行中","计划中")))</f>
        <v>已结束</v>
      </c>
      <c r="J727" s="6" t="str">
        <f>IF(I727="待估算",IF(OR(F727="/",G727="/",F727="",G727=""),"补充计划日期","补充投入工时"),IF(AND(G727&lt;项目驾驶舱!$B$3,E727&lt;&gt;"已完成"),"确认延期和后续安排","按计划跟踪"))</f>
        <v>按计划跟踪</v>
      </c>
      <c r="K727" s="8"/>
      <c r="L727" t="s">
        <v>65</v>
      </c>
    </row>
    <row r="728" spans="1:12">
      <c r="B728" s="6" t="str">
        <f>项目总控台账!A71</f>
        <v>T068</v>
      </c>
      <c r="C728" s="6" t="str">
        <f>IF(AND(项目总控台账!E71&lt;&gt;"",项目总控台账!E71&lt;&gt;"/"),项目总控台账!E71,IF(AND(项目总控台账!D71&lt;&gt;"",项目总控台账!D71&lt;&gt;"/"),项目总控台账!D71,项目总控台账!C71))</f>
        <v>装船作业货权跟踪</v>
      </c>
      <c r="D728" s="6" t="str">
        <f>项目总控台账!F71</f>
        <v>第一批次</v>
      </c>
      <c r="E728" s="6" t="str">
        <f>项目总控台账!G71</f>
        <v>已完成</v>
      </c>
      <c r="F728" s="17">
        <f>项目总控台账!N71</f>
        <v>46202</v>
      </c>
      <c r="G728" s="17">
        <f>项目总控台账!O71</f>
        <v>46206</v>
      </c>
      <c r="H728" s="70">
        <v>1</v>
      </c>
      <c r="I728" s="6" t="str">
        <f>IF(H728="","待估算",IF(E728="已完成","已结束",IF(AND(ISNUMBER(F728),ISNUMBER(G728),F728&lt;=项目驾驶舱!$B$3,G728&gt;=项目驾驶舱!$B$3),"进行中","计划中")))</f>
        <v>已结束</v>
      </c>
      <c r="J728" s="6" t="str">
        <f>IF(I728="待估算",IF(OR(F728="/",G728="/",F728="",G728=""),"补充计划日期","补充投入工时"),IF(AND(G728&lt;项目驾驶舱!$B$3,E728&lt;&gt;"已完成"),"确认延期和后续安排","按计划跟踪"))</f>
        <v>按计划跟踪</v>
      </c>
      <c r="K728" s="8"/>
      <c r="L728" t="s">
        <v>65</v>
      </c>
    </row>
    <row r="729" spans="1:12">
      <c r="B729" s="6" t="str">
        <f>项目总控台账!A75</f>
        <v>T072</v>
      </c>
      <c r="C729" s="6" t="str">
        <f>IF(AND(项目总控台账!E75&lt;&gt;"",项目总控台账!E75&lt;&gt;"/"),项目总控台账!E75,IF(AND(项目总控台账!D75&lt;&gt;"",项目总控台账!D75&lt;&gt;"/"),项目总控台账!D75,项目总控台账!C75))</f>
        <v>OCR识别</v>
      </c>
      <c r="D729" s="6" t="str">
        <f>项目总控台账!F75</f>
        <v>第一批次</v>
      </c>
      <c r="E729" s="6" t="str">
        <f>项目总控台账!G75</f>
        <v>已完成</v>
      </c>
      <c r="F729" s="17">
        <f>项目总控台账!N75</f>
        <v>46202</v>
      </c>
      <c r="G729" s="17">
        <f>项目总控台账!O75</f>
        <v>46206</v>
      </c>
      <c r="H729" s="70">
        <v>1</v>
      </c>
      <c r="I729" s="6" t="str">
        <f>IF(H729="","待估算",IF(E729="已完成","已结束",IF(AND(ISNUMBER(F729),ISNUMBER(G729),F729&lt;=项目驾驶舱!$B$3,G729&gt;=项目驾驶舱!$B$3),"进行中","计划中")))</f>
        <v>已结束</v>
      </c>
      <c r="J729" s="6" t="str">
        <f>IF(I729="待估算",IF(OR(F729="/",G729="/",F729="",G729=""),"补充计划日期","补充投入工时"),IF(AND(G729&lt;项目驾驶舱!$B$3,E729&lt;&gt;"已完成"),"确认延期和后续安排","按计划跟踪"))</f>
        <v>按计划跟踪</v>
      </c>
      <c r="K729" s="8"/>
      <c r="L729" t="s">
        <v>65</v>
      </c>
    </row>
    <row r="730" spans="1:12">
      <c r="B730" s="6" t="str">
        <f>项目总控台账!A76</f>
        <v>T073</v>
      </c>
      <c r="C730" s="6" t="str">
        <f>IF(AND(项目总控台账!E76&lt;&gt;"",项目总控台账!E76&lt;&gt;"/"),项目总控台账!E76,IF(AND(项目总控台账!D76&lt;&gt;"",项目总控台账!D76&lt;&gt;"/"),项目总控台账!D76,项目总控台账!C76))</f>
        <v>采样作业信息录入新增</v>
      </c>
      <c r="D730" s="6" t="str">
        <f>项目总控台账!F76</f>
        <v>第一批次</v>
      </c>
      <c r="E730" s="6" t="str">
        <f>项目总控台账!G76</f>
        <v>已完成</v>
      </c>
      <c r="F730" s="17">
        <f>项目总控台账!N76</f>
        <v>46202</v>
      </c>
      <c r="G730" s="17">
        <f>项目总控台账!O76</f>
        <v>46206</v>
      </c>
      <c r="H730" s="70">
        <v>1</v>
      </c>
      <c r="I730" s="6" t="str">
        <f>IF(H730="","待估算",IF(E730="已完成","已结束",IF(AND(ISNUMBER(F730),ISNUMBER(G730),F730&lt;=项目驾驶舱!$B$3,G730&gt;=项目驾驶舱!$B$3),"进行中","计划中")))</f>
        <v>已结束</v>
      </c>
      <c r="J730" s="6" t="str">
        <f>IF(I730="待估算",IF(OR(F730="/",G730="/",F730="",G730=""),"补充计划日期","补充投入工时"),IF(AND(G730&lt;项目驾驶舱!$B$3,E730&lt;&gt;"已完成"),"确认延期和后续安排","按计划跟踪"))</f>
        <v>按计划跟踪</v>
      </c>
      <c r="K730" s="8"/>
      <c r="L730" t="s">
        <v>65</v>
      </c>
    </row>
    <row r="731" spans="1:12">
      <c r="B731" s="6" t="str">
        <f>项目总控台账!A77</f>
        <v>T074</v>
      </c>
      <c r="C731" s="6" t="str">
        <f>IF(AND(项目总控台账!E77&lt;&gt;"",项目总控台账!E77&lt;&gt;"/"),项目总控台账!E77,IF(AND(项目总控台账!D77&lt;&gt;"",项目总控台账!D77&lt;&gt;"/"),项目总控台账!D77,项目总控台账!C77))</f>
        <v>采样作业信息录入编辑</v>
      </c>
      <c r="D731" s="6" t="str">
        <f>项目总控台账!F77</f>
        <v>第一批次</v>
      </c>
      <c r="E731" s="6" t="str">
        <f>项目总控台账!G77</f>
        <v>已完成</v>
      </c>
      <c r="F731" s="17">
        <f>项目总控台账!N77</f>
        <v>46202</v>
      </c>
      <c r="G731" s="17">
        <f>项目总控台账!O77</f>
        <v>46206</v>
      </c>
      <c r="H731" s="70">
        <v>1</v>
      </c>
      <c r="I731" s="6" t="str">
        <f>IF(H731="","待估算",IF(E731="已完成","已结束",IF(AND(ISNUMBER(F731),ISNUMBER(G731),F731&lt;=项目驾驶舱!$B$3,G731&gt;=项目驾驶舱!$B$3),"进行中","计划中")))</f>
        <v>已结束</v>
      </c>
      <c r="J731" s="6" t="str">
        <f>IF(I731="待估算",IF(OR(F731="/",G731="/",F731="",G731=""),"补充计划日期","补充投入工时"),IF(AND(G731&lt;项目驾驶舱!$B$3,E731&lt;&gt;"已完成"),"确认延期和后续安排","按计划跟踪"))</f>
        <v>按计划跟踪</v>
      </c>
      <c r="K731" s="8"/>
      <c r="L731" t="s">
        <v>65</v>
      </c>
    </row>
    <row r="732" spans="1:12">
      <c r="B732" s="6" t="str">
        <f>项目总控台账!A78</f>
        <v>T075</v>
      </c>
      <c r="C732" s="6" t="str">
        <f>IF(AND(项目总控台账!E78&lt;&gt;"",项目总控台账!E78&lt;&gt;"/"),项目总控台账!E78,IF(AND(项目总控台账!D78&lt;&gt;"",项目总控台账!D78&lt;&gt;"/"),项目总控台账!D78,项目总控台账!C78))</f>
        <v>采样作业信息录入详情</v>
      </c>
      <c r="D732" s="6" t="str">
        <f>项目总控台账!F78</f>
        <v>第一批次</v>
      </c>
      <c r="E732" s="6" t="str">
        <f>项目总控台账!G78</f>
        <v>已完成</v>
      </c>
      <c r="F732" s="17">
        <f>项目总控台账!N78</f>
        <v>46202</v>
      </c>
      <c r="G732" s="17">
        <f>项目总控台账!O78</f>
        <v>46206</v>
      </c>
      <c r="H732" s="70">
        <v>1</v>
      </c>
      <c r="I732" s="6" t="str">
        <f>IF(H732="","待估算",IF(E732="已完成","已结束",IF(AND(ISNUMBER(F732),ISNUMBER(G732),F732&lt;=项目驾驶舱!$B$3,G732&gt;=项目驾驶舱!$B$3),"进行中","计划中")))</f>
        <v>已结束</v>
      </c>
      <c r="J732" s="6" t="str">
        <f>IF(I732="待估算",IF(OR(F732="/",G732="/",F732="",G732=""),"补充计划日期","补充投入工时"),IF(AND(G732&lt;项目驾驶舱!$B$3,E732&lt;&gt;"已完成"),"确认延期和后续安排","按计划跟踪"))</f>
        <v>按计划跟踪</v>
      </c>
      <c r="K732" s="8"/>
      <c r="L732" t="s">
        <v>65</v>
      </c>
    </row>
    <row r="733" spans="1:12">
      <c r="A733" s="71"/>
      <c r="B733" s="6" t="str">
        <f>项目总控台账!A79</f>
        <v>T076</v>
      </c>
      <c r="C733" s="6" t="str">
        <f>IF(AND(项目总控台账!E79&lt;&gt;"",项目总控台账!E79&lt;&gt;"/"),项目总控台账!E79,IF(AND(项目总控台账!D79&lt;&gt;"",项目总控台账!D79&lt;&gt;"/"),项目总控台账!D79,项目总控台账!C79))</f>
        <v>采样作业信息录入删除</v>
      </c>
      <c r="D733" s="6" t="str">
        <f>项目总控台账!F79</f>
        <v>第一批次</v>
      </c>
      <c r="E733" s="6" t="str">
        <f>项目总控台账!G79</f>
        <v>已完成</v>
      </c>
      <c r="F733" s="17">
        <f>项目总控台账!N79</f>
        <v>46202</v>
      </c>
      <c r="G733" s="17">
        <f>项目总控台账!O79</f>
        <v>46206</v>
      </c>
      <c r="H733" s="70">
        <v>1</v>
      </c>
      <c r="I733" s="6" t="str">
        <f>IF(H733="","待估算",IF(E733="已完成","已结束",IF(AND(ISNUMBER(F733),ISNUMBER(G733),F733&lt;=项目驾驶舱!$B$3,G733&gt;=项目驾驶舱!$B$3),"进行中","计划中")))</f>
        <v>已结束</v>
      </c>
      <c r="J733" s="6" t="str">
        <f>IF(I733="待估算",IF(OR(F733="/",G733="/",F733="",G733=""),"补充计划日期","补充投入工时"),IF(AND(G733&lt;项目驾驶舱!$B$3,E733&lt;&gt;"已完成"),"确认延期和后续安排","按计划跟踪"))</f>
        <v>按计划跟踪</v>
      </c>
      <c r="K733" s="8"/>
      <c r="L733" t="s">
        <v>65</v>
      </c>
    </row>
    <row r="734" spans="1:12">
      <c r="A734" s="72" t="s">
        <v>65</v>
      </c>
      <c r="B734" s="6" t="str">
        <f>项目总控台账!A80</f>
        <v>T077</v>
      </c>
      <c r="C734" s="6" t="str">
        <f>IF(AND(项目总控台账!E80&lt;&gt;"",项目总控台账!E80&lt;&gt;"/"),项目总控台账!E80,IF(AND(项目总控台账!D80&lt;&gt;"",项目总控台账!D80&lt;&gt;"/"),项目总控台账!D80,项目总控台账!C80))</f>
        <v>采样作业信息录入列表</v>
      </c>
      <c r="D734" s="6" t="str">
        <f>项目总控台账!F80</f>
        <v>第一批次</v>
      </c>
      <c r="E734" s="6" t="str">
        <f>项目总控台账!G80</f>
        <v>已完成</v>
      </c>
      <c r="F734" s="17">
        <f>项目总控台账!N80</f>
        <v>46202</v>
      </c>
      <c r="G734" s="17">
        <f>项目总控台账!O80</f>
        <v>46206</v>
      </c>
      <c r="H734" s="70">
        <v>1</v>
      </c>
      <c r="I734" s="6" t="str">
        <f>IF(H734="","待估算",IF(E734="已完成","已结束",IF(AND(ISNUMBER(F734),ISNUMBER(G734),F734&lt;=项目驾驶舱!$B$3,G734&gt;=项目驾驶舱!$B$3),"进行中","计划中")))</f>
        <v>已结束</v>
      </c>
      <c r="J734" s="6" t="str">
        <f>IF(I734="待估算",IF(OR(F734="/",G734="/",F734="",G734=""),"补充计划日期","补充投入工时"),IF(AND(G734&lt;项目驾驶舱!$B$3,E734&lt;&gt;"已完成"),"确认延期和后续安排","按计划跟踪"))</f>
        <v>按计划跟踪</v>
      </c>
      <c r="K734" s="8"/>
      <c r="L734" t="s">
        <v>65</v>
      </c>
    </row>
    <row r="735" spans="1:12">
      <c r="B735" s="6" t="str">
        <f>项目总控台账!A98</f>
        <v>T095</v>
      </c>
      <c r="C735" s="6" t="str">
        <f>IF(AND(项目总控台账!E98&lt;&gt;"",项目总控台账!E98&lt;&gt;"/"),项目总控台账!E98,IF(AND(项目总控台账!D98&lt;&gt;"",项目总控台账!D98&lt;&gt;"/"),项目总控台账!D98,项目总控台账!C98))</f>
        <v>自动生成堆存费</v>
      </c>
      <c r="D735" s="6" t="str">
        <f>项目总控台账!F98</f>
        <v>第一批次</v>
      </c>
      <c r="E735" s="6" t="str">
        <f>项目总控台账!G98</f>
        <v>进行中</v>
      </c>
      <c r="F735" s="17">
        <f>项目总控台账!N98</f>
        <v>46202</v>
      </c>
      <c r="G735" s="17">
        <f>项目总控台账!O98</f>
        <v>46206</v>
      </c>
      <c r="H735" s="70">
        <v>1</v>
      </c>
      <c r="I735" s="6" t="str">
        <f>IF(H735="","待估算",IF(E735="已完成","已结束",IF(AND(ISNUMBER(F735),ISNUMBER(G735),F735&lt;=项目驾驶舱!$B$3,G735&gt;=项目驾驶舱!$B$3),"进行中","计划中")))</f>
        <v>计划中</v>
      </c>
      <c r="J735" s="6" t="str">
        <f>IF(I735="待估算",IF(OR(F735="/",G735="/",F735="",G735=""),"补充计划日期","补充投入工时"),IF(AND(G735&lt;项目驾驶舱!$B$3,E735&lt;&gt;"已完成"),"确认延期和后续安排","按计划跟踪"))</f>
        <v>确认延期和后续安排</v>
      </c>
      <c r="K735" s="8"/>
      <c r="L735" t="s">
        <v>65</v>
      </c>
    </row>
    <row r="736" spans="1:12">
      <c r="B736" s="6" t="str">
        <f>项目总控台账!A99</f>
        <v>T096</v>
      </c>
      <c r="C736" s="6" t="str">
        <f>IF(AND(项目总控台账!E99&lt;&gt;"",项目总控台账!E99&lt;&gt;"/"),项目总控台账!E99,IF(AND(项目总控台账!D99&lt;&gt;"",项目总控台账!D99&lt;&gt;"/"),项目总控台账!D99,项目总控台账!C99))</f>
        <v>自动生成装船港杂费</v>
      </c>
      <c r="D736" s="6" t="str">
        <f>项目总控台账!F99</f>
        <v>第一批次</v>
      </c>
      <c r="E736" s="6" t="str">
        <f>项目总控台账!G99</f>
        <v>已完成</v>
      </c>
      <c r="F736" s="17">
        <f>项目总控台账!N99</f>
        <v>46202</v>
      </c>
      <c r="G736" s="17">
        <f>项目总控台账!O99</f>
        <v>46206</v>
      </c>
      <c r="H736" s="70">
        <v>1</v>
      </c>
      <c r="I736" s="6" t="str">
        <f>IF(H736="","待估算",IF(E736="已完成","已结束",IF(AND(ISNUMBER(F736),ISNUMBER(G736),F736&lt;=项目驾驶舱!$B$3,G736&gt;=项目驾驶舱!$B$3),"进行中","计划中")))</f>
        <v>已结束</v>
      </c>
      <c r="J736" s="6" t="str">
        <f>IF(I736="待估算",IF(OR(F736="/",G736="/",F736="",G736=""),"补充计划日期","补充投入工时"),IF(AND(G736&lt;项目驾驶舱!$B$3,E736&lt;&gt;"已完成"),"确认延期和后续安排","按计划跟踪"))</f>
        <v>按计划跟踪</v>
      </c>
      <c r="K736" s="8"/>
      <c r="L736" t="s">
        <v>65</v>
      </c>
    </row>
    <row r="737" spans="1:12">
      <c r="B737" s="6" t="str">
        <f>项目总控台账!A100</f>
        <v>T097</v>
      </c>
      <c r="C737" s="6" t="str">
        <f>IF(AND(项目总控台账!E100&lt;&gt;"",项目总控台账!E100&lt;&gt;"/"),项目总控台账!E100,IF(AND(项目总控台账!D100&lt;&gt;"",项目总控台账!D100&lt;&gt;"/"),项目总控台账!D100,项目总控台账!C100))</f>
        <v>自动生成租赁费</v>
      </c>
      <c r="D737" s="6" t="str">
        <f>项目总控台账!F100</f>
        <v>第一批次</v>
      </c>
      <c r="E737" s="6" t="str">
        <f>项目总控台账!G100</f>
        <v>已完成</v>
      </c>
      <c r="F737" s="17">
        <f>项目总控台账!N100</f>
        <v>46202</v>
      </c>
      <c r="G737" s="17">
        <f>项目总控台账!O100</f>
        <v>46206</v>
      </c>
      <c r="H737" s="70">
        <v>1</v>
      </c>
      <c r="I737" s="6" t="str">
        <f>IF(H737="","待估算",IF(E737="已完成","已结束",IF(AND(ISNUMBER(F737),ISNUMBER(G737),F737&lt;=项目驾驶舱!$B$3,G737&gt;=项目驾驶舱!$B$3),"进行中","计划中")))</f>
        <v>已结束</v>
      </c>
      <c r="J737" s="6" t="str">
        <f>IF(I737="待估算",IF(OR(F737="/",G737="/",F737="",G737=""),"补充计划日期","补充投入工时"),IF(AND(G737&lt;项目驾驶舱!$B$3,E737&lt;&gt;"已完成"),"确认延期和后续安排","按计划跟踪"))</f>
        <v>按计划跟踪</v>
      </c>
      <c r="K737" s="8"/>
      <c r="L737" t="s">
        <v>65</v>
      </c>
    </row>
    <row r="738" spans="1:12">
      <c r="B738" s="6" t="str">
        <f>项目总控台账!A101</f>
        <v>T098</v>
      </c>
      <c r="C738" s="6" t="str">
        <f>IF(AND(项目总控台账!E101&lt;&gt;"",项目总控台账!E101&lt;&gt;"/"),项目总控台账!E101,IF(AND(项目总控台账!D101&lt;&gt;"",项目总控台账!D101&lt;&gt;"/"),项目总控台账!D101,项目总控台账!C101))</f>
        <v>优化装卸费新增</v>
      </c>
      <c r="D738" s="6" t="str">
        <f>项目总控台账!F101</f>
        <v>第一批次</v>
      </c>
      <c r="E738" s="6" t="str">
        <f>项目总控台账!G101</f>
        <v>已完成</v>
      </c>
      <c r="F738" s="17">
        <f>项目总控台账!N101</f>
        <v>46202</v>
      </c>
      <c r="G738" s="17">
        <f>项目总控台账!O101</f>
        <v>46206</v>
      </c>
      <c r="H738" s="70">
        <v>1</v>
      </c>
      <c r="I738" s="6" t="str">
        <f>IF(H738="","待估算",IF(E738="已完成","已结束",IF(AND(ISNUMBER(F738),ISNUMBER(G738),F738&lt;=项目驾驶舱!$B$3,G738&gt;=项目驾驶舱!$B$3),"进行中","计划中")))</f>
        <v>已结束</v>
      </c>
      <c r="J738" s="6" t="str">
        <f>IF(I738="待估算",IF(OR(F738="/",G738="/",F738="",G738=""),"补充计划日期","补充投入工时"),IF(AND(G738&lt;项目驾驶舱!$B$3,E738&lt;&gt;"已完成"),"确认延期和后续安排","按计划跟踪"))</f>
        <v>按计划跟踪</v>
      </c>
      <c r="K738" s="8"/>
      <c r="L738" t="s">
        <v>65</v>
      </c>
    </row>
    <row r="739" spans="1:12">
      <c r="B739" s="6" t="str">
        <f>项目总控台账!A102</f>
        <v>T099</v>
      </c>
      <c r="C739" s="6" t="str">
        <f>IF(AND(项目总控台账!E102&lt;&gt;"",项目总控台账!E102&lt;&gt;"/"),项目总控台账!E102,IF(AND(项目总控台账!D102&lt;&gt;"",项目总控台账!D102&lt;&gt;"/"),项目总控台账!D102,项目总控台账!C102))</f>
        <v>优化装卸费编辑</v>
      </c>
      <c r="D739" s="6" t="str">
        <f>项目总控台账!F102</f>
        <v>第一批次</v>
      </c>
      <c r="E739" s="6" t="str">
        <f>项目总控台账!G102</f>
        <v>已完成</v>
      </c>
      <c r="F739" s="17">
        <f>项目总控台账!N102</f>
        <v>46202</v>
      </c>
      <c r="G739" s="17">
        <f>项目总控台账!O102</f>
        <v>46206</v>
      </c>
      <c r="H739" s="70">
        <v>1</v>
      </c>
      <c r="I739" s="6" t="str">
        <f>IF(H739="","待估算",IF(E739="已完成","已结束",IF(AND(ISNUMBER(F739),ISNUMBER(G739),F739&lt;=项目驾驶舱!$B$3,G739&gt;=项目驾驶舱!$B$3),"进行中","计划中")))</f>
        <v>已结束</v>
      </c>
      <c r="J739" s="6" t="str">
        <f>IF(I739="待估算",IF(OR(F739="/",G739="/",F739="",G739=""),"补充计划日期","补充投入工时"),IF(AND(G739&lt;项目驾驶舱!$B$3,E739&lt;&gt;"已完成"),"确认延期和后续安排","按计划跟踪"))</f>
        <v>按计划跟踪</v>
      </c>
      <c r="K739" s="8"/>
      <c r="L739" t="s">
        <v>65</v>
      </c>
    </row>
    <row r="740" spans="1:12">
      <c r="B740" s="6" t="str">
        <f>项目总控台账!A40</f>
        <v>T037</v>
      </c>
      <c r="C740" s="6" t="str">
        <f>IF(AND(项目总控台账!E40&lt;&gt;"",项目总控台账!E40&lt;&gt;"/"),项目总控台账!E40,IF(AND(项目总控台账!D40&lt;&gt;"",项目总控台账!D40&lt;&gt;"/"),项目总控台账!D40,项目总控台账!C40))</f>
        <v>创建卸车流程</v>
      </c>
      <c r="D740" s="6" t="str">
        <f>项目总控台账!F40</f>
        <v>第一批次</v>
      </c>
      <c r="E740" s="6" t="str">
        <f>项目总控台账!G40</f>
        <v>已完成</v>
      </c>
      <c r="F740" s="17">
        <f>项目总控台账!N40</f>
        <v>46209</v>
      </c>
      <c r="G740" s="17">
        <f>项目总控台账!O40</f>
        <v>46213</v>
      </c>
      <c r="H740" s="70">
        <v>2</v>
      </c>
      <c r="I740" s="6" t="str">
        <f>IF(H740="","待估算",IF(E740="已完成","已结束",IF(AND(ISNUMBER(F740),ISNUMBER(G740),F740&lt;=项目驾驶舱!$B$3,G740&gt;=项目驾驶舱!$B$3),"进行中","计划中")))</f>
        <v>已结束</v>
      </c>
      <c r="J740" s="6" t="str">
        <f>IF(I740="待估算",IF(OR(F740="/",G740="/",F740="",G740=""),"补充计划日期","补充投入工时"),IF(AND(G740&lt;项目驾驶舱!$B$3,E740&lt;&gt;"已完成"),"确认延期和后续安排","按计划跟踪"))</f>
        <v>按计划跟踪</v>
      </c>
      <c r="K740" s="8"/>
      <c r="L740" t="s">
        <v>65</v>
      </c>
    </row>
    <row r="741" spans="1:12">
      <c r="B741" s="6" t="str">
        <f>项目总控台账!A41</f>
        <v>T038</v>
      </c>
      <c r="C741" s="6" t="str">
        <f>IF(AND(项目总控台账!E41&lt;&gt;"",项目总控台账!E41&lt;&gt;"/"),项目总控台账!E41,IF(AND(项目总控台账!D41&lt;&gt;"",项目总控台账!D41&lt;&gt;"/"),项目总控台账!D41,项目总控台账!C41))</f>
        <v>查询卸车流程</v>
      </c>
      <c r="D741" s="6" t="str">
        <f>项目总控台账!F41</f>
        <v>第一批次</v>
      </c>
      <c r="E741" s="6" t="str">
        <f>项目总控台账!G41</f>
        <v>已完成</v>
      </c>
      <c r="F741" s="17">
        <f>项目总控台账!N41</f>
        <v>46209</v>
      </c>
      <c r="G741" s="17">
        <f>项目总控台账!O41</f>
        <v>46213</v>
      </c>
      <c r="H741" s="70">
        <v>2</v>
      </c>
      <c r="I741" s="6" t="str">
        <f>IF(H741="","待估算",IF(E741="已完成","已结束",IF(AND(ISNUMBER(F741),ISNUMBER(G741),F741&lt;=项目驾驶舱!$B$3,G741&gt;=项目驾驶舱!$B$3),"进行中","计划中")))</f>
        <v>已结束</v>
      </c>
      <c r="J741" s="6" t="str">
        <f>IF(I741="待估算",IF(OR(F741="/",G741="/",F741="",G741=""),"补充计划日期","补充投入工时"),IF(AND(G741&lt;项目驾驶舱!$B$3,E741&lt;&gt;"已完成"),"确认延期和后续安排","按计划跟踪"))</f>
        <v>按计划跟踪</v>
      </c>
      <c r="K741" s="8"/>
      <c r="L741" t="s">
        <v>65</v>
      </c>
    </row>
    <row r="742" spans="1:12">
      <c r="B742" s="6" t="str">
        <f>项目总控台账!A42</f>
        <v>T039</v>
      </c>
      <c r="C742" s="6" t="str">
        <f>IF(AND(项目总控台账!E42&lt;&gt;"",项目总控台账!E42&lt;&gt;"/"),项目总控台账!E42,IF(AND(项目总控台账!D42&lt;&gt;"",项目总控台账!D42&lt;&gt;"/"),项目总控台账!D42,项目总控台账!C42))</f>
        <v>修改卸车流程</v>
      </c>
      <c r="D742" s="6" t="str">
        <f>项目总控台账!F42</f>
        <v>第一批次</v>
      </c>
      <c r="E742" s="6" t="str">
        <f>项目总控台账!G42</f>
        <v>已完成</v>
      </c>
      <c r="F742" s="17">
        <f>项目总控台账!N42</f>
        <v>46209</v>
      </c>
      <c r="G742" s="17">
        <f>项目总控台账!O42</f>
        <v>46213</v>
      </c>
      <c r="H742" s="70">
        <v>1.5</v>
      </c>
      <c r="I742" s="6" t="str">
        <f>IF(H742="","待估算",IF(E742="已完成","已结束",IF(AND(ISNUMBER(F742),ISNUMBER(G742),F742&lt;=项目驾驶舱!$B$3,G742&gt;=项目驾驶舱!$B$3),"进行中","计划中")))</f>
        <v>已结束</v>
      </c>
      <c r="J742" s="6" t="str">
        <f>IF(I742="待估算",IF(OR(F742="/",G742="/",F742="",G742=""),"补充计划日期","补充投入工时"),IF(AND(G742&lt;项目驾驶舱!$B$3,E742&lt;&gt;"已完成"),"确认延期和后续安排","按计划跟踪"))</f>
        <v>按计划跟踪</v>
      </c>
      <c r="K742" s="8"/>
      <c r="L742" t="s">
        <v>65</v>
      </c>
    </row>
    <row r="743" spans="1:12">
      <c r="B743" s="6" t="str">
        <f>项目总控台账!A43</f>
        <v>T040</v>
      </c>
      <c r="C743" s="6" t="str">
        <f>IF(AND(项目总控台账!E43&lt;&gt;"",项目总控台账!E43&lt;&gt;"/"),项目总控台账!E43,IF(AND(项目总控台账!D43&lt;&gt;"",项目总控台账!D43&lt;&gt;"/"),项目总控台账!D43,项目总控台账!C43))</f>
        <v>创建装船流程</v>
      </c>
      <c r="D743" s="6" t="str">
        <f>项目总控台账!F43</f>
        <v>第一批次</v>
      </c>
      <c r="E743" s="6" t="str">
        <f>项目总控台账!G43</f>
        <v>已完成</v>
      </c>
      <c r="F743" s="17">
        <f>项目总控台账!N43</f>
        <v>46209</v>
      </c>
      <c r="G743" s="17">
        <f>项目总控台账!O43</f>
        <v>46213</v>
      </c>
      <c r="H743" s="70">
        <v>1.5</v>
      </c>
      <c r="I743" s="6" t="str">
        <f>IF(H743="","待估算",IF(E743="已完成","已结束",IF(AND(ISNUMBER(F743),ISNUMBER(G743),F743&lt;=项目驾驶舱!$B$3,G743&gt;=项目驾驶舱!$B$3),"进行中","计划中")))</f>
        <v>已结束</v>
      </c>
      <c r="J743" s="6" t="str">
        <f>IF(I743="待估算",IF(OR(F743="/",G743="/",F743="",G743=""),"补充计划日期","补充投入工时"),IF(AND(G743&lt;项目驾驶舱!$B$3,E743&lt;&gt;"已完成"),"确认延期和后续安排","按计划跟踪"))</f>
        <v>按计划跟踪</v>
      </c>
      <c r="K743" s="8"/>
      <c r="L743" t="s">
        <v>65</v>
      </c>
    </row>
    <row r="744" spans="1:12">
      <c r="B744" s="6" t="str">
        <f>项目总控台账!A44</f>
        <v>T041</v>
      </c>
      <c r="C744" s="6" t="str">
        <f>IF(AND(项目总控台账!E44&lt;&gt;"",项目总控台账!E44&lt;&gt;"/"),项目总控台账!E44,IF(AND(项目总控台账!D44&lt;&gt;"",项目总控台账!D44&lt;&gt;"/"),项目总控台账!D44,项目总控台账!C44))</f>
        <v>查询装船流程</v>
      </c>
      <c r="D744" s="6" t="str">
        <f>项目总控台账!F44</f>
        <v>第一批次</v>
      </c>
      <c r="E744" s="6" t="str">
        <f>项目总控台账!G44</f>
        <v>已完成</v>
      </c>
      <c r="F744" s="17">
        <f>项目总控台账!N44</f>
        <v>46209</v>
      </c>
      <c r="G744" s="17">
        <f>项目总控台账!O44</f>
        <v>46213</v>
      </c>
      <c r="H744" s="70">
        <v>1.5</v>
      </c>
      <c r="I744" s="6" t="str">
        <f>IF(H744="","待估算",IF(E744="已完成","已结束",IF(AND(ISNUMBER(F744),ISNUMBER(G744),F744&lt;=项目驾驶舱!$B$3,G744&gt;=项目驾驶舱!$B$3),"进行中","计划中")))</f>
        <v>已结束</v>
      </c>
      <c r="J744" s="6" t="str">
        <f>IF(I744="待估算",IF(OR(F744="/",G744="/",F744="",G744=""),"补充计划日期","补充投入工时"),IF(AND(G744&lt;项目驾驶舱!$B$3,E744&lt;&gt;"已完成"),"确认延期和后续安排","按计划跟踪"))</f>
        <v>按计划跟踪</v>
      </c>
      <c r="K744" s="8"/>
      <c r="L744" t="s">
        <v>65</v>
      </c>
    </row>
    <row r="745" spans="1:12">
      <c r="A745" s="71"/>
      <c r="B745" s="6" t="str">
        <f>项目总控台账!A45</f>
        <v>T042</v>
      </c>
      <c r="C745" s="6" t="str">
        <f>IF(AND(项目总控台账!E45&lt;&gt;"",项目总控台账!E45&lt;&gt;"/"),项目总控台账!E45,IF(AND(项目总控台账!D45&lt;&gt;"",项目总控台账!D45&lt;&gt;"/"),项目总控台账!D45,项目总控台账!C45))</f>
        <v>修改装船流程</v>
      </c>
      <c r="D745" s="6" t="str">
        <f>项目总控台账!F45</f>
        <v>第一批次</v>
      </c>
      <c r="E745" s="6" t="str">
        <f>项目总控台账!G45</f>
        <v>已完成</v>
      </c>
      <c r="F745" s="17">
        <f>项目总控台账!N45</f>
        <v>46209</v>
      </c>
      <c r="G745" s="17">
        <f>项目总控台账!O45</f>
        <v>46213</v>
      </c>
      <c r="H745" s="70">
        <v>1.5</v>
      </c>
      <c r="I745" s="6" t="str">
        <f>IF(H745="","待估算",IF(E745="已完成","已结束",IF(AND(ISNUMBER(F745),ISNUMBER(G745),F745&lt;=项目驾驶舱!$B$3,G745&gt;=项目驾驶舱!$B$3),"进行中","计划中")))</f>
        <v>已结束</v>
      </c>
      <c r="J745" s="6" t="str">
        <f>IF(I745="待估算",IF(OR(F745="/",G745="/",F745="",G745=""),"补充计划日期","补充投入工时"),IF(AND(G745&lt;项目驾驶舱!$B$3,E745&lt;&gt;"已完成"),"确认延期和后续安排","按计划跟踪"))</f>
        <v>按计划跟踪</v>
      </c>
      <c r="K745" s="8"/>
      <c r="L745" t="s">
        <v>65</v>
      </c>
    </row>
    <row r="746" spans="1:12">
      <c r="A746" s="72" t="s">
        <v>65</v>
      </c>
      <c r="B746" s="6" t="str">
        <f>项目总控台账!A46</f>
        <v>T043</v>
      </c>
      <c r="C746" s="6" t="str">
        <f>IF(AND(项目总控台账!E46&lt;&gt;"",项目总控台账!E46&lt;&gt;"/"),项目总控台账!E46,IF(AND(项目总控台账!D46&lt;&gt;"",项目总控台账!D46&lt;&gt;"/"),项目总控台账!D46,项目总控台账!C46))</f>
        <v>创建卸船流程</v>
      </c>
      <c r="D746" s="6" t="str">
        <f>项目总控台账!F46</f>
        <v>第二批次</v>
      </c>
      <c r="E746" s="6" t="str">
        <f>项目总控台账!G46</f>
        <v>已完成</v>
      </c>
      <c r="F746" s="17">
        <f>项目总控台账!N46</f>
        <v>46209</v>
      </c>
      <c r="G746" s="17">
        <f>项目总控台账!O46</f>
        <v>46213</v>
      </c>
      <c r="H746" s="70">
        <v>1.5</v>
      </c>
      <c r="I746" s="6" t="str">
        <f>IF(H746="","待估算",IF(E746="已完成","已结束",IF(AND(ISNUMBER(F746),ISNUMBER(G746),F746&lt;=项目驾驶舱!$B$3,G746&gt;=项目驾驶舱!$B$3),"进行中","计划中")))</f>
        <v>已结束</v>
      </c>
      <c r="J746" s="6" t="str">
        <f>IF(I746="待估算",IF(OR(F746="/",G746="/",F746="",G746=""),"补充计划日期","补充投入工时"),IF(AND(G746&lt;项目驾驶舱!$B$3,E746&lt;&gt;"已完成"),"确认延期和后续安排","按计划跟踪"))</f>
        <v>按计划跟踪</v>
      </c>
      <c r="K746" s="8"/>
      <c r="L746" t="s">
        <v>65</v>
      </c>
    </row>
    <row r="747" spans="1:12">
      <c r="B747" s="6" t="str">
        <f>项目总控台账!A47</f>
        <v>T044</v>
      </c>
      <c r="C747" s="6" t="str">
        <f>IF(AND(项目总控台账!E47&lt;&gt;"",项目总控台账!E47&lt;&gt;"/"),项目总控台账!E47,IF(AND(项目总控台账!D47&lt;&gt;"",项目总控台账!D47&lt;&gt;"/"),项目总控台账!D47,项目总控台账!C47))</f>
        <v>查询卸船流程</v>
      </c>
      <c r="D747" s="6" t="str">
        <f>项目总控台账!F47</f>
        <v>第二批次</v>
      </c>
      <c r="E747" s="6" t="str">
        <f>项目总控台账!G47</f>
        <v>已完成</v>
      </c>
      <c r="F747" s="17">
        <f>项目总控台账!N47</f>
        <v>46209</v>
      </c>
      <c r="G747" s="17">
        <f>项目总控台账!O47</f>
        <v>46213</v>
      </c>
      <c r="H747" s="70">
        <v>1.5</v>
      </c>
      <c r="I747" s="6" t="str">
        <f>IF(H747="","待估算",IF(E747="已完成","已结束",IF(AND(ISNUMBER(F747),ISNUMBER(G747),F747&lt;=项目驾驶舱!$B$3,G747&gt;=项目驾驶舱!$B$3),"进行中","计划中")))</f>
        <v>已结束</v>
      </c>
      <c r="J747" s="6" t="str">
        <f>IF(I747="待估算",IF(OR(F747="/",G747="/",F747="",G747=""),"补充计划日期","补充投入工时"),IF(AND(G747&lt;项目驾驶舱!$B$3,E747&lt;&gt;"已完成"),"确认延期和后续安排","按计划跟踪"))</f>
        <v>按计划跟踪</v>
      </c>
      <c r="K747" s="8"/>
      <c r="L747" t="s">
        <v>65</v>
      </c>
    </row>
    <row r="748" spans="1:12">
      <c r="B748" s="6" t="str">
        <f>项目总控台账!A48</f>
        <v>T045</v>
      </c>
      <c r="C748" s="6" t="str">
        <f>IF(AND(项目总控台账!E48&lt;&gt;"",项目总控台账!E48&lt;&gt;"/"),项目总控台账!E48,IF(AND(项目总控台账!D48&lt;&gt;"",项目总控台账!D48&lt;&gt;"/"),项目总控台账!D48,项目总控台账!C48))</f>
        <v>修改卸船流程</v>
      </c>
      <c r="D748" s="6" t="str">
        <f>项目总控台账!F48</f>
        <v>第二批次</v>
      </c>
      <c r="E748" s="6" t="str">
        <f>项目总控台账!G48</f>
        <v>已完成</v>
      </c>
      <c r="F748" s="17">
        <f>项目总控台账!N48</f>
        <v>46209</v>
      </c>
      <c r="G748" s="17">
        <f>项目总控台账!O48</f>
        <v>46213</v>
      </c>
      <c r="H748" s="70">
        <v>1.5</v>
      </c>
      <c r="I748" s="6" t="str">
        <f>IF(H748="","待估算",IF(E748="已完成","已结束",IF(AND(ISNUMBER(F748),ISNUMBER(G748),F748&lt;=项目驾驶舱!$B$3,G748&gt;=项目驾驶舱!$B$3),"进行中","计划中")))</f>
        <v>已结束</v>
      </c>
      <c r="J748" s="6" t="str">
        <f>IF(I748="待估算",IF(OR(F748="/",G748="/",F748="",G748=""),"补充计划日期","补充投入工时"),IF(AND(G748&lt;项目驾驶舱!$B$3,E748&lt;&gt;"已完成"),"确认延期和后续安排","按计划跟踪"))</f>
        <v>按计划跟踪</v>
      </c>
      <c r="K748" s="8"/>
      <c r="L748" t="s">
        <v>65</v>
      </c>
    </row>
    <row r="749" spans="1:12">
      <c r="B749" s="6" t="str">
        <f>项目总控台账!A103</f>
        <v>T100</v>
      </c>
      <c r="C749" s="6" t="str">
        <f>IF(AND(项目总控台账!E103&lt;&gt;"",项目总控台账!E103&lt;&gt;"/"),项目总控台账!E103,IF(AND(项目总控台账!D103&lt;&gt;"",项目总控台账!D103&lt;&gt;"/"),项目总控台账!D103,项目总控台账!C103))</f>
        <v>创建行业资讯数据</v>
      </c>
      <c r="D749" s="6" t="str">
        <f>项目总控台账!F103</f>
        <v>第一批次</v>
      </c>
      <c r="E749" s="6" t="str">
        <f>项目总控台账!G103</f>
        <v>已完成</v>
      </c>
      <c r="F749" s="17">
        <f>项目总控台账!N103</f>
        <v>46209</v>
      </c>
      <c r="G749" s="17">
        <f>项目总控台账!O103</f>
        <v>46213</v>
      </c>
      <c r="H749" s="70">
        <v>1.5</v>
      </c>
      <c r="I749" s="6" t="str">
        <f>IF(H749="","待估算",IF(E749="已完成","已结束",IF(AND(ISNUMBER(F749),ISNUMBER(G749),F749&lt;=项目驾驶舱!$B$3,G749&gt;=项目驾驶舱!$B$3),"进行中","计划中")))</f>
        <v>已结束</v>
      </c>
      <c r="J749" s="6" t="str">
        <f>IF(I749="待估算",IF(OR(F749="/",G749="/",F749="",G749=""),"补充计划日期","补充投入工时"),IF(AND(G749&lt;项目驾驶舱!$B$3,E749&lt;&gt;"已完成"),"确认延期和后续安排","按计划跟踪"))</f>
        <v>按计划跟踪</v>
      </c>
      <c r="K749" s="8"/>
      <c r="L749" t="s">
        <v>65</v>
      </c>
    </row>
    <row r="750" spans="1:12">
      <c r="B750" s="6" t="str">
        <f>项目总控台账!A104</f>
        <v>T101</v>
      </c>
      <c r="C750" s="6" t="str">
        <f>IF(AND(项目总控台账!E104&lt;&gt;"",项目总控台账!E104&lt;&gt;"/"),项目总控台账!E104,IF(AND(项目总控台账!D104&lt;&gt;"",项目总控台账!D104&lt;&gt;"/"),项目总控台账!D104,项目总控台账!C104))</f>
        <v>修改行业资讯数据</v>
      </c>
      <c r="D750" s="6" t="str">
        <f>项目总控台账!F104</f>
        <v>第一批次</v>
      </c>
      <c r="E750" s="6" t="str">
        <f>项目总控台账!G104</f>
        <v>已完成</v>
      </c>
      <c r="F750" s="17">
        <f>项目总控台账!N104</f>
        <v>46209</v>
      </c>
      <c r="G750" s="17">
        <f>项目总控台账!O104</f>
        <v>46213</v>
      </c>
      <c r="H750" s="70">
        <v>1.5</v>
      </c>
      <c r="I750" s="6" t="str">
        <f>IF(H750="","待估算",IF(E750="已完成","已结束",IF(AND(ISNUMBER(F750),ISNUMBER(G750),F750&lt;=项目驾驶舱!$B$3,G750&gt;=项目驾驶舱!$B$3),"进行中","计划中")))</f>
        <v>已结束</v>
      </c>
      <c r="J750" s="6" t="str">
        <f>IF(I750="待估算",IF(OR(F750="/",G750="/",F750="",G750=""),"补充计划日期","补充投入工时"),IF(AND(G750&lt;项目驾驶舱!$B$3,E750&lt;&gt;"已完成"),"确认延期和后续安排","按计划跟踪"))</f>
        <v>按计划跟踪</v>
      </c>
      <c r="K750" s="8"/>
      <c r="L750" t="s">
        <v>65</v>
      </c>
    </row>
    <row r="751" spans="1:12">
      <c r="B751" s="6" t="str">
        <f>项目总控台账!A105</f>
        <v>T102</v>
      </c>
      <c r="C751" s="6" t="str">
        <f>IF(AND(项目总控台账!E105&lt;&gt;"",项目总控台账!E105&lt;&gt;"/"),项目总控台账!E105,IF(AND(项目总控台账!D105&lt;&gt;"",项目总控台账!D105&lt;&gt;"/"),项目总控台账!D105,项目总控台账!C105))</f>
        <v>删除行业资讯数据</v>
      </c>
      <c r="D751" s="6" t="str">
        <f>项目总控台账!F105</f>
        <v>第一批次</v>
      </c>
      <c r="E751" s="6" t="str">
        <f>项目总控台账!G105</f>
        <v>已完成</v>
      </c>
      <c r="F751" s="17">
        <f>项目总控台账!N105</f>
        <v>46209</v>
      </c>
      <c r="G751" s="17">
        <f>项目总控台账!O105</f>
        <v>46213</v>
      </c>
      <c r="H751" s="70">
        <v>1.5</v>
      </c>
      <c r="I751" s="6" t="str">
        <f>IF(H751="","待估算",IF(E751="已完成","已结束",IF(AND(ISNUMBER(F751),ISNUMBER(G751),F751&lt;=项目驾驶舱!$B$3,G751&gt;=项目驾驶舱!$B$3),"进行中","计划中")))</f>
        <v>已结束</v>
      </c>
      <c r="J751" s="6" t="str">
        <f>IF(I751="待估算",IF(OR(F751="/",G751="/",F751="",G751=""),"补充计划日期","补充投入工时"),IF(AND(G751&lt;项目驾驶舱!$B$3,E751&lt;&gt;"已完成"),"确认延期和后续安排","按计划跟踪"))</f>
        <v>按计划跟踪</v>
      </c>
      <c r="K751" s="8"/>
      <c r="L751" t="s">
        <v>65</v>
      </c>
    </row>
    <row r="752" spans="1:12">
      <c r="B752" s="6" t="str">
        <f>项目总控台账!A106</f>
        <v>T103</v>
      </c>
      <c r="C752" s="6" t="str">
        <f>IF(AND(项目总控台账!E106&lt;&gt;"",项目总控台账!E106&lt;&gt;"/"),项目总控台账!E106,IF(AND(项目总控台账!D106&lt;&gt;"",项目总控台账!D106&lt;&gt;"/"),项目总控台账!D106,项目总控台账!C106))</f>
        <v>展示行业资讯数据</v>
      </c>
      <c r="D752" s="6" t="str">
        <f>项目总控台账!F106</f>
        <v>第一批次</v>
      </c>
      <c r="E752" s="6" t="str">
        <f>项目总控台账!G106</f>
        <v>已完成</v>
      </c>
      <c r="F752" s="17">
        <f>项目总控台账!N106</f>
        <v>46209</v>
      </c>
      <c r="G752" s="17">
        <f>项目总控台账!O106</f>
        <v>46213</v>
      </c>
      <c r="H752" s="70">
        <v>1.5</v>
      </c>
      <c r="I752" s="6" t="str">
        <f>IF(H752="","待估算",IF(E752="已完成","已结束",IF(AND(ISNUMBER(F752),ISNUMBER(G752),F752&lt;=项目驾驶舱!$B$3,G752&gt;=项目驾驶舱!$B$3),"进行中","计划中")))</f>
        <v>已结束</v>
      </c>
      <c r="J752" s="6" t="str">
        <f>IF(I752="待估算",IF(OR(F752="/",G752="/",F752="",G752=""),"补充计划日期","补充投入工时"),IF(AND(G752&lt;项目驾驶舱!$B$3,E752&lt;&gt;"已完成"),"确认延期和后续安排","按计划跟踪"))</f>
        <v>按计划跟踪</v>
      </c>
      <c r="K752" s="8"/>
      <c r="L752" t="s">
        <v>65</v>
      </c>
    </row>
    <row r="753" spans="1:12">
      <c r="B753" s="6" t="str">
        <f>项目总控台账!A107</f>
        <v>T104</v>
      </c>
      <c r="C753" s="6" t="str">
        <f>IF(AND(项目总控台账!E107&lt;&gt;"",项目总控台账!E107&lt;&gt;"/"),项目总控台账!E107,IF(AND(项目总控台账!D107&lt;&gt;"",项目总控台账!D107&lt;&gt;"/"),项目总控台账!D107,项目总控台账!C107))</f>
        <v>吞吐量统计（曹妃甸）</v>
      </c>
      <c r="D753" s="6" t="str">
        <f>项目总控台账!F107</f>
        <v>第一批次</v>
      </c>
      <c r="E753" s="6" t="str">
        <f>项目总控台账!G107</f>
        <v>已完成</v>
      </c>
      <c r="F753" s="17">
        <f>项目总控台账!N107</f>
        <v>46209</v>
      </c>
      <c r="G753" s="17">
        <f>项目总控台账!O107</f>
        <v>46213</v>
      </c>
      <c r="H753" s="70">
        <v>1.5</v>
      </c>
      <c r="I753" s="6" t="str">
        <f>IF(H753="","待估算",IF(E753="已完成","已结束",IF(AND(ISNUMBER(F753),ISNUMBER(G753),F753&lt;=项目驾驶舱!$B$3,G753&gt;=项目驾驶舱!$B$3),"进行中","计划中")))</f>
        <v>已结束</v>
      </c>
      <c r="J753" s="6" t="str">
        <f>IF(I753="待估算",IF(OR(F753="/",G753="/",F753="",G753=""),"补充计划日期","补充投入工时"),IF(AND(G753&lt;项目驾驶舱!$B$3,E753&lt;&gt;"已完成"),"确认延期和后续安排","按计划跟踪"))</f>
        <v>按计划跟踪</v>
      </c>
      <c r="K753" s="8"/>
      <c r="L753" t="s">
        <v>65</v>
      </c>
    </row>
    <row r="754" spans="1:12">
      <c r="B754" s="6" t="str">
        <f>项目总控台账!A108</f>
        <v>T105</v>
      </c>
      <c r="C754" s="6" t="str">
        <f>IF(AND(项目总控台账!E108&lt;&gt;"",项目总控台账!E108&lt;&gt;"/"),项目总控台账!E108,IF(AND(项目总控台账!D108&lt;&gt;"",项目总控台账!D108&lt;&gt;"/"),项目总控台账!D108,项目总控台账!C108))</f>
        <v>泊位占用率分析（曹妃甸）</v>
      </c>
      <c r="D754" s="6" t="str">
        <f>项目总控台账!F108</f>
        <v>第一批次</v>
      </c>
      <c r="E754" s="6" t="str">
        <f>项目总控台账!G108</f>
        <v>已完成</v>
      </c>
      <c r="F754" s="17">
        <f>项目总控台账!N108</f>
        <v>46209</v>
      </c>
      <c r="G754" s="17">
        <f>项目总控台账!O108</f>
        <v>46213</v>
      </c>
      <c r="H754" s="70">
        <v>1.5</v>
      </c>
      <c r="I754" s="6" t="str">
        <f>IF(H754="","待估算",IF(E754="已完成","已结束",IF(AND(ISNUMBER(F754),ISNUMBER(G754),F754&lt;=项目驾驶舱!$B$3,G754&gt;=项目驾驶舱!$B$3),"进行中","计划中")))</f>
        <v>已结束</v>
      </c>
      <c r="J754" s="6" t="str">
        <f>IF(I754="待估算",IF(OR(F754="/",G754="/",F754="",G754=""),"补充计划日期","补充投入工时"),IF(AND(G754&lt;项目驾驶舱!$B$3,E754&lt;&gt;"已完成"),"确认延期和后续安排","按计划跟踪"))</f>
        <v>按计划跟踪</v>
      </c>
      <c r="K754" s="8"/>
      <c r="L754" t="s">
        <v>65</v>
      </c>
    </row>
    <row r="755" spans="1:12">
      <c r="B755" s="6" t="str">
        <f>项目总控台账!A109</f>
        <v>T106</v>
      </c>
      <c r="C755" s="6" t="str">
        <f>IF(AND(项目总控台账!E109&lt;&gt;"",项目总控台账!E109&lt;&gt;"/"),项目总控台账!E109,IF(AND(项目总控台账!D109&lt;&gt;"",项目总控台账!D109&lt;&gt;"/"),项目总控台账!D109,项目总控台账!C109))</f>
        <v>堆存库存统计（曹妃甸）</v>
      </c>
      <c r="D755" s="6" t="str">
        <f>项目总控台账!F109</f>
        <v>第一批次</v>
      </c>
      <c r="E755" s="6" t="str">
        <f>项目总控台账!G109</f>
        <v>已完成</v>
      </c>
      <c r="F755" s="17">
        <f>项目总控台账!N109</f>
        <v>46209</v>
      </c>
      <c r="G755" s="17">
        <f>项目总控台账!O109</f>
        <v>46213</v>
      </c>
      <c r="H755" s="70">
        <v>1.5</v>
      </c>
      <c r="I755" s="6" t="str">
        <f>IF(H755="","待估算",IF(E755="已完成","已结束",IF(AND(ISNUMBER(F755),ISNUMBER(G755),F755&lt;=项目驾驶舱!$B$3,G755&gt;=项目驾驶舱!$B$3),"进行中","计划中")))</f>
        <v>已结束</v>
      </c>
      <c r="J755" s="6" t="str">
        <f>IF(I755="待估算",IF(OR(F755="/",G755="/",F755="",G755=""),"补充计划日期","补充投入工时"),IF(AND(G755&lt;项目驾驶舱!$B$3,E755&lt;&gt;"已完成"),"确认延期和后续安排","按计划跟踪"))</f>
        <v>按计划跟踪</v>
      </c>
      <c r="K755" s="8"/>
      <c r="L755" t="s">
        <v>65</v>
      </c>
    </row>
    <row r="756" spans="1:12">
      <c r="B756" s="6" t="str">
        <f>项目总控台账!A110</f>
        <v>T107</v>
      </c>
      <c r="C756" s="6" t="str">
        <f>IF(AND(项目总控台账!E110&lt;&gt;"",项目总控台账!E110&lt;&gt;"/"),项目总控台账!E110,IF(AND(项目总控台账!D110&lt;&gt;"",项目总控台账!D110&lt;&gt;"/"),项目总控台账!D110,项目总控台账!C110))</f>
        <v>分货主实时统计表（曹妃甸）</v>
      </c>
      <c r="D756" s="6" t="str">
        <f>项目总控台账!F110</f>
        <v>第一批次</v>
      </c>
      <c r="E756" s="6" t="str">
        <f>项目总控台账!G110</f>
        <v>已完成</v>
      </c>
      <c r="F756" s="17">
        <f>项目总控台账!N110</f>
        <v>46209</v>
      </c>
      <c r="G756" s="17">
        <f>项目总控台账!O110</f>
        <v>46213</v>
      </c>
      <c r="H756" s="70">
        <v>1.5</v>
      </c>
      <c r="I756" s="6" t="str">
        <f>IF(H756="","待估算",IF(E756="已完成","已结束",IF(AND(ISNUMBER(F756),ISNUMBER(G756),F756&lt;=项目驾驶舱!$B$3,G756&gt;=项目驾驶舱!$B$3),"进行中","计划中")))</f>
        <v>已结束</v>
      </c>
      <c r="J756" s="6" t="str">
        <f>IF(I756="待估算",IF(OR(F756="/",G756="/",F756="",G756=""),"补充计划日期","补充投入工时"),IF(AND(G756&lt;项目驾驶舱!$B$3,E756&lt;&gt;"已完成"),"确认延期和后续安排","按计划跟踪"))</f>
        <v>按计划跟踪</v>
      </c>
      <c r="K756" s="8"/>
      <c r="L756" t="s">
        <v>65</v>
      </c>
    </row>
    <row r="757" spans="1:12">
      <c r="A757" s="71"/>
      <c r="B757" s="6" t="str">
        <f>项目总控台账!A111</f>
        <v>T108</v>
      </c>
      <c r="C757" s="6" t="str">
        <f>IF(AND(项目总控台账!E111&lt;&gt;"",项目总控台账!E111&lt;&gt;"/"),项目总控台账!E111,IF(AND(项目总控台账!D111&lt;&gt;"",项目总控台账!D111&lt;&gt;"/"),项目总控台账!D111,项目总控台账!C111))</f>
        <v>综合装船效率分析（曹妃甸）</v>
      </c>
      <c r="D757" s="6" t="str">
        <f>项目总控台账!F111</f>
        <v>第一批次</v>
      </c>
      <c r="E757" s="6" t="str">
        <f>项目总控台账!G111</f>
        <v>已完成</v>
      </c>
      <c r="F757" s="17">
        <f>项目总控台账!N111</f>
        <v>46209</v>
      </c>
      <c r="G757" s="17">
        <f>项目总控台账!O111</f>
        <v>46213</v>
      </c>
      <c r="H757" s="70">
        <v>1.5</v>
      </c>
      <c r="I757" s="6" t="str">
        <f>IF(H757="","待估算",IF(E757="已完成","已结束",IF(AND(ISNUMBER(F757),ISNUMBER(G757),F757&lt;=项目驾驶舱!$B$3,G757&gt;=项目驾驶舱!$B$3),"进行中","计划中")))</f>
        <v>已结束</v>
      </c>
      <c r="J757" s="6" t="str">
        <f>IF(I757="待估算",IF(OR(F757="/",G757="/",F757="",G757=""),"补充计划日期","补充投入工时"),IF(AND(G757&lt;项目驾驶舱!$B$3,E757&lt;&gt;"已完成"),"确认延期和后续安排","按计划跟踪"))</f>
        <v>按计划跟踪</v>
      </c>
      <c r="K757" s="8"/>
      <c r="L757" t="s">
        <v>65</v>
      </c>
    </row>
    <row r="758" spans="1:12">
      <c r="A758" s="72" t="s">
        <v>65</v>
      </c>
      <c r="B758" s="6" t="str">
        <f>项目总控台账!A112</f>
        <v>T109</v>
      </c>
      <c r="C758" s="6" t="str">
        <f>IF(AND(项目总控台账!E112&lt;&gt;"",项目总控台账!E112&lt;&gt;"/"),项目总控台账!E112,IF(AND(项目总控台账!D112&lt;&gt;"",项目总控台账!D112&lt;&gt;"/"),项目总控台账!D112,项目总控台账!C112))</f>
        <v>综合卸车效率分析（曹妃甸）</v>
      </c>
      <c r="D758" s="6" t="str">
        <f>项目总控台账!F112</f>
        <v>第一批次</v>
      </c>
      <c r="E758" s="6" t="str">
        <f>项目总控台账!G112</f>
        <v>已完成</v>
      </c>
      <c r="F758" s="17">
        <f>项目总控台账!N112</f>
        <v>46209</v>
      </c>
      <c r="G758" s="17">
        <f>项目总控台账!O112</f>
        <v>46213</v>
      </c>
      <c r="H758" s="70">
        <v>1.5</v>
      </c>
      <c r="I758" s="6" t="str">
        <f>IF(H758="","待估算",IF(E758="已完成","已结束",IF(AND(ISNUMBER(F758),ISNUMBER(G758),F758&lt;=项目驾驶舱!$B$3,G758&gt;=项目驾驶舱!$B$3),"进行中","计划中")))</f>
        <v>已结束</v>
      </c>
      <c r="J758" s="6" t="str">
        <f>IF(I758="待估算",IF(OR(F758="/",G758="/",F758="",G758=""),"补充计划日期","补充投入工时"),IF(AND(G758&lt;项目驾驶舱!$B$3,E758&lt;&gt;"已完成"),"确认延期和后续安排","按计划跟踪"))</f>
        <v>按计划跟踪</v>
      </c>
      <c r="K758" s="8"/>
      <c r="L758" t="s">
        <v>65</v>
      </c>
    </row>
    <row r="759" spans="1:12">
      <c r="B759" s="6" t="str">
        <f>项目总控台账!A113</f>
        <v>T110</v>
      </c>
      <c r="C759" s="6" t="str">
        <f>IF(AND(项目总控台账!E113&lt;&gt;"",项目总控台账!E113&lt;&gt;"/"),项目总控台账!E113,IF(AND(项目总控台账!D113&lt;&gt;"",项目总控台账!D113&lt;&gt;"/"),项目总控台账!D113,项目总控台账!C113))</f>
        <v>综合卸船效率分析（曹妃甸）</v>
      </c>
      <c r="D759" s="6" t="str">
        <f>项目总控台账!F113</f>
        <v>第二批次</v>
      </c>
      <c r="E759" s="6" t="str">
        <f>项目总控台账!G113</f>
        <v>已完成</v>
      </c>
      <c r="F759" s="17">
        <f>项目总控台账!N113</f>
        <v>46209</v>
      </c>
      <c r="G759" s="17">
        <f>项目总控台账!O113</f>
        <v>46213</v>
      </c>
      <c r="H759" s="70">
        <v>1.5</v>
      </c>
      <c r="I759" s="6" t="str">
        <f>IF(H759="","待估算",IF(E759="已完成","已结束",IF(AND(ISNUMBER(F759),ISNUMBER(G759),F759&lt;=项目驾驶舱!$B$3,G759&gt;=项目驾驶舱!$B$3),"进行中","计划中")))</f>
        <v>已结束</v>
      </c>
      <c r="J759" s="6" t="str">
        <f>IF(I759="待估算",IF(OR(F759="/",G759="/",F759="",G759=""),"补充计划日期","补充投入工时"),IF(AND(G759&lt;项目驾驶舱!$B$3,E759&lt;&gt;"已完成"),"确认延期和后续安排","按计划跟踪"))</f>
        <v>按计划跟踪</v>
      </c>
      <c r="K759" s="8"/>
      <c r="L759" t="s">
        <v>65</v>
      </c>
    </row>
    <row r="760" spans="1:12">
      <c r="B760" s="6" t="str">
        <f>项目总控台账!A141</f>
        <v>T138</v>
      </c>
      <c r="C760" s="6" t="str">
        <f>IF(AND(项目总控台账!E141&lt;&gt;"",项目总控台账!E141&lt;&gt;"/"),项目总控台账!E141,IF(AND(项目总控台账!D141&lt;&gt;"",项目总控台账!D141&lt;&gt;"/"),项目总控台账!D141,项目总控台账!C141))</f>
        <v>查询卸车流程</v>
      </c>
      <c r="D760" s="6" t="str">
        <f>项目总控台账!F141</f>
        <v>第二批次</v>
      </c>
      <c r="E760" s="6" t="str">
        <f>项目总控台账!G141</f>
        <v>已完成</v>
      </c>
      <c r="F760" s="17">
        <f>项目总控台账!N141</f>
        <v>46209</v>
      </c>
      <c r="G760" s="17">
        <f>项目总控台账!O141</f>
        <v>46213</v>
      </c>
      <c r="H760" s="70">
        <v>1.5</v>
      </c>
      <c r="I760" s="6" t="str">
        <f>IF(H760="","待估算",IF(E760="已完成","已结束",IF(AND(ISNUMBER(F760),ISNUMBER(G760),F760&lt;=项目驾驶舱!$B$3,G760&gt;=项目驾驶舱!$B$3),"进行中","计划中")))</f>
        <v>已结束</v>
      </c>
      <c r="J760" s="6" t="str">
        <f>IF(I760="待估算",IF(OR(F760="/",G760="/",F760="",G760=""),"补充计划日期","补充投入工时"),IF(AND(G760&lt;项目驾驶舱!$B$3,E760&lt;&gt;"已完成"),"确认延期和后续安排","按计划跟踪"))</f>
        <v>按计划跟踪</v>
      </c>
      <c r="K760" s="8"/>
      <c r="L760" t="s">
        <v>65</v>
      </c>
    </row>
    <row r="761" spans="1:12">
      <c r="B761" s="6" t="str">
        <f>项目总控台账!A142</f>
        <v>T139</v>
      </c>
      <c r="C761" s="6" t="str">
        <f>IF(AND(项目总控台账!E142&lt;&gt;"",项目总控台账!E142&lt;&gt;"/"),项目总控台账!E142,IF(AND(项目总控台账!D142&lt;&gt;"",项目总控台账!D142&lt;&gt;"/"),项目总控台账!D142,项目总控台账!C142))</f>
        <v>查询装船流程</v>
      </c>
      <c r="D761" s="6" t="str">
        <f>项目总控台账!F142</f>
        <v>第二批次</v>
      </c>
      <c r="E761" s="6" t="str">
        <f>项目总控台账!G142</f>
        <v>已完成</v>
      </c>
      <c r="F761" s="17">
        <f>项目总控台账!N142</f>
        <v>46209</v>
      </c>
      <c r="G761" s="17">
        <f>项目总控台账!O142</f>
        <v>46213</v>
      </c>
      <c r="H761" s="70">
        <v>1.5</v>
      </c>
      <c r="I761" s="6" t="str">
        <f>IF(H761="","待估算",IF(E761="已完成","已结束",IF(AND(ISNUMBER(F761),ISNUMBER(G761),F761&lt;=项目驾驶舱!$B$3,G761&gt;=项目驾驶舱!$B$3),"进行中","计划中")))</f>
        <v>已结束</v>
      </c>
      <c r="J761" s="6" t="str">
        <f>IF(I761="待估算",IF(OR(F761="/",G761="/",F761="",G761=""),"补充计划日期","补充投入工时"),IF(AND(G761&lt;项目驾驶舱!$B$3,E761&lt;&gt;"已完成"),"确认延期和后续安排","按计划跟踪"))</f>
        <v>按计划跟踪</v>
      </c>
      <c r="K761" s="8"/>
      <c r="L761" t="s">
        <v>65</v>
      </c>
    </row>
    <row r="762" spans="1:12">
      <c r="B762" s="6" t="str">
        <f>项目总控台账!A143</f>
        <v>T140</v>
      </c>
      <c r="C762" s="6" t="str">
        <f>IF(AND(项目总控台账!E143&lt;&gt;"",项目总控台账!E143&lt;&gt;"/"),项目总控台账!E143,IF(AND(项目总控台账!D143&lt;&gt;"",项目总控台账!D143&lt;&gt;"/"),项目总控台账!D143,项目总控台账!C143))</f>
        <v>查询卸船流程</v>
      </c>
      <c r="D762" s="6" t="str">
        <f>项目总控台账!F143</f>
        <v>第二批次</v>
      </c>
      <c r="E762" s="6" t="str">
        <f>项目总控台账!G143</f>
        <v>已完成</v>
      </c>
      <c r="F762" s="17">
        <f>项目总控台账!N143</f>
        <v>46209</v>
      </c>
      <c r="G762" s="17">
        <f>项目总控台账!O143</f>
        <v>46213</v>
      </c>
      <c r="H762" s="70">
        <v>1.5</v>
      </c>
      <c r="I762" s="6" t="str">
        <f>IF(H762="","待估算",IF(E762="已完成","已结束",IF(AND(ISNUMBER(F762),ISNUMBER(G762),F762&lt;=项目驾驶舱!$B$3,G762&gt;=项目驾驶舱!$B$3),"进行中","计划中")))</f>
        <v>已结束</v>
      </c>
      <c r="J762" s="6" t="str">
        <f>IF(I762="待估算",IF(OR(F762="/",G762="/",F762="",G762=""),"补充计划日期","补充投入工时"),IF(AND(G762&lt;项目驾驶舱!$B$3,E762&lt;&gt;"已完成"),"确认延期和后续安排","按计划跟踪"))</f>
        <v>按计划跟踪</v>
      </c>
      <c r="K762" s="8"/>
      <c r="L762" t="s">
        <v>65</v>
      </c>
    </row>
    <row r="763" spans="1:12">
      <c r="B763" s="6" t="str">
        <f>项目总控台账!A146</f>
        <v>T143</v>
      </c>
      <c r="C763" s="6" t="str">
        <f>IF(AND(项目总控台账!E146&lt;&gt;"",项目总控台账!E146&lt;&gt;"/"),项目总控台账!E146,IF(AND(项目总控台账!D146&lt;&gt;"",项目总控台账!D146&lt;&gt;"/"),项目总控台账!D146,项目总控台账!C146))</f>
        <v>图片上传</v>
      </c>
      <c r="D763" s="6" t="str">
        <f>项目总控台账!F146</f>
        <v>第一批次</v>
      </c>
      <c r="E763" s="6" t="str">
        <f>项目总控台账!G146</f>
        <v>已完成</v>
      </c>
      <c r="F763" s="17">
        <f>项目总控台账!N146</f>
        <v>46209</v>
      </c>
      <c r="G763" s="17">
        <f>项目总控台账!O146</f>
        <v>46213</v>
      </c>
      <c r="H763" s="70">
        <v>1.5</v>
      </c>
      <c r="I763" s="6" t="str">
        <f>IF(H763="","待估算",IF(E763="已完成","已结束",IF(AND(ISNUMBER(F763),ISNUMBER(G763),F763&lt;=项目驾驶舱!$B$3,G763&gt;=项目驾驶舱!$B$3),"进行中","计划中")))</f>
        <v>已结束</v>
      </c>
      <c r="J763" s="6" t="str">
        <f>IF(I763="待估算",IF(OR(F763="/",G763="/",F763="",G763=""),"补充计划日期","补充投入工时"),IF(AND(G763&lt;项目驾驶舱!$B$3,E763&lt;&gt;"已完成"),"确认延期和后续安排","按计划跟踪"))</f>
        <v>按计划跟踪</v>
      </c>
      <c r="K763" s="8"/>
      <c r="L763" t="s">
        <v>65</v>
      </c>
    </row>
    <row r="764" spans="1:12">
      <c r="B764" s="6" t="str">
        <f>项目总控台账!A147</f>
        <v>T144</v>
      </c>
      <c r="C764" s="6" t="str">
        <f>IF(AND(项目总控台账!E147&lt;&gt;"",项目总控台账!E147&lt;&gt;"/"),项目总控台账!E147,IF(AND(项目总控台账!D147&lt;&gt;"",项目总控台账!D147&lt;&gt;"/"),项目总控台账!D147,项目总控台账!C147))</f>
        <v>图片上传</v>
      </c>
      <c r="D764" s="6" t="str">
        <f>项目总控台账!F147</f>
        <v>第一批次</v>
      </c>
      <c r="E764" s="6" t="str">
        <f>项目总控台账!G147</f>
        <v>已完成</v>
      </c>
      <c r="F764" s="17">
        <f>项目总控台账!N147</f>
        <v>46209</v>
      </c>
      <c r="G764" s="17">
        <f>项目总控台账!O147</f>
        <v>46213</v>
      </c>
      <c r="H764" s="70">
        <v>1.5</v>
      </c>
      <c r="I764" s="6" t="str">
        <f>IF(H764="","待估算",IF(E764="已完成","已结束",IF(AND(ISNUMBER(F764),ISNUMBER(G764),F764&lt;=项目驾驶舱!$B$3,G764&gt;=项目驾驶舱!$B$3),"进行中","计划中")))</f>
        <v>已结束</v>
      </c>
      <c r="J764" s="6" t="str">
        <f>IF(I764="待估算",IF(OR(F764="/",G764="/",F764="",G764=""),"补充计划日期","补充投入工时"),IF(AND(G764&lt;项目驾驶舱!$B$3,E764&lt;&gt;"已完成"),"确认延期和后续安排","按计划跟踪"))</f>
        <v>按计划跟踪</v>
      </c>
      <c r="K764" s="8"/>
      <c r="L764" t="s">
        <v>65</v>
      </c>
    </row>
    <row r="765" spans="1:12">
      <c r="B765" s="6" t="str">
        <f>项目总控台账!A148</f>
        <v>T145</v>
      </c>
      <c r="C765" s="6" t="str">
        <f>IF(AND(项目总控台账!E148&lt;&gt;"",项目总控台账!E148&lt;&gt;"/"),项目总控台账!E148,IF(AND(项目总控台账!D148&lt;&gt;"",项目总控台账!D148&lt;&gt;"/"),项目总控台账!D148,项目总控台账!C148))</f>
        <v>图片上传</v>
      </c>
      <c r="D765" s="6" t="str">
        <f>项目总控台账!F148</f>
        <v>第二批次</v>
      </c>
      <c r="E765" s="6" t="str">
        <f>项目总控台账!G148</f>
        <v>已完成</v>
      </c>
      <c r="F765" s="17">
        <f>项目总控台账!N148</f>
        <v>46209</v>
      </c>
      <c r="G765" s="17">
        <f>项目总控台账!O148</f>
        <v>46213</v>
      </c>
      <c r="H765" s="70">
        <v>1.5</v>
      </c>
      <c r="I765" s="6" t="str">
        <f>IF(H765="","待估算",IF(E765="已完成","已结束",IF(AND(ISNUMBER(F765),ISNUMBER(G765),F765&lt;=项目驾驶舱!$B$3,G765&gt;=项目驾驶舱!$B$3),"进行中","计划中")))</f>
        <v>已结束</v>
      </c>
      <c r="J765" s="6" t="str">
        <f>IF(I765="待估算",IF(OR(F765="/",G765="/",F765="",G765=""),"补充计划日期","补充投入工时"),IF(AND(G765&lt;项目驾驶舱!$B$3,E765&lt;&gt;"已完成"),"确认延期和后续安排","按计划跟踪"))</f>
        <v>按计划跟踪</v>
      </c>
      <c r="K765" s="8"/>
      <c r="L765" t="s">
        <v>65</v>
      </c>
    </row>
    <row r="766" spans="1:12">
      <c r="B766" s="6" t="str">
        <f>项目总控台账!A124</f>
        <v>T121</v>
      </c>
      <c r="C766" s="6" t="str">
        <f>IF(AND(项目总控台账!E124&lt;&gt;"",项目总控台账!E124&lt;&gt;"/"),项目总控台账!E124,IF(AND(项目总控台账!D124&lt;&gt;"",项目总控台账!D124&lt;&gt;"/"),项目总控台账!D124,项目总控台账!C124))</f>
        <v>船舶供应服务查询</v>
      </c>
      <c r="D766" s="6" t="str">
        <f>项目总控台账!F124</f>
        <v>第二批次</v>
      </c>
      <c r="E766" s="6" t="str">
        <f>项目总控台账!G124</f>
        <v>已完成</v>
      </c>
      <c r="F766" s="17">
        <f>项目总控台账!N124</f>
        <v>46216</v>
      </c>
      <c r="G766" s="17">
        <f>项目总控台账!O124</f>
        <v>46220</v>
      </c>
      <c r="H766" s="70">
        <v>8</v>
      </c>
      <c r="I766" s="6" t="str">
        <f>IF(H766="","待估算",IF(E766="已完成","已结束",IF(AND(ISNUMBER(F766),ISNUMBER(G766),F766&lt;=项目驾驶舱!$B$3,G766&gt;=项目驾驶舱!$B$3),"进行中","计划中")))</f>
        <v>已结束</v>
      </c>
      <c r="J766" s="6" t="str">
        <f>IF(I766="待估算",IF(OR(F766="/",G766="/",F766="",G766=""),"补充计划日期","补充投入工时"),IF(AND(G766&lt;项目驾驶舱!$B$3,E766&lt;&gt;"已完成"),"确认延期和后续安排","按计划跟踪"))</f>
        <v>按计划跟踪</v>
      </c>
      <c r="K766" s="8"/>
      <c r="L766" t="s">
        <v>65</v>
      </c>
    </row>
    <row r="767" spans="1:12">
      <c r="B767" s="6" t="str">
        <f>项目总控台账!A125</f>
        <v>T122</v>
      </c>
      <c r="C767" s="6" t="str">
        <f>IF(AND(项目总控台账!E125&lt;&gt;"",项目总控台账!E125&lt;&gt;"/"),项目总控台账!E125,IF(AND(项目总控台账!D125&lt;&gt;"",项目总控台账!D125&lt;&gt;"/"),项目总控台账!D125,项目总控台账!C125))</f>
        <v>船舶预到（内贸）查询</v>
      </c>
      <c r="D767" s="6" t="str">
        <f>项目总控台账!F125</f>
        <v>第二批次</v>
      </c>
      <c r="E767" s="6" t="str">
        <f>项目总控台账!G125</f>
        <v>已完成</v>
      </c>
      <c r="F767" s="17">
        <f>项目总控台账!N125</f>
        <v>46216</v>
      </c>
      <c r="G767" s="17">
        <f>项目总控台账!O125</f>
        <v>46220</v>
      </c>
      <c r="H767" s="70">
        <v>8</v>
      </c>
      <c r="I767" s="6" t="str">
        <f>IF(H767="","待估算",IF(E767="已完成","已结束",IF(AND(ISNUMBER(F767),ISNUMBER(G767),F767&lt;=项目驾驶舱!$B$3,G767&gt;=项目驾驶舱!$B$3),"进行中","计划中")))</f>
        <v>已结束</v>
      </c>
      <c r="J767" s="6" t="str">
        <f>IF(I767="待估算",IF(OR(F767="/",G767="/",F767="",G767=""),"补充计划日期","补充投入工时"),IF(AND(G767&lt;项目驾驶舱!$B$3,E767&lt;&gt;"已完成"),"确认延期和后续安排","按计划跟踪"))</f>
        <v>按计划跟踪</v>
      </c>
      <c r="K767" s="8"/>
      <c r="L767" t="s">
        <v>65</v>
      </c>
    </row>
    <row r="768" spans="1:12">
      <c r="B768" s="6" t="str">
        <f>项目总控台账!A126</f>
        <v>T123</v>
      </c>
      <c r="C768" s="6" t="str">
        <f>IF(AND(项目总控台账!E126&lt;&gt;"",项目总控台账!E126&lt;&gt;"/"),项目总控台账!E126,IF(AND(项目总控台账!D126&lt;&gt;"",项目总控台账!D126&lt;&gt;"/"),项目总控台账!D126,项目总控台账!C126))</f>
        <v>台账查询</v>
      </c>
      <c r="D768" s="6" t="str">
        <f>项目总控台账!F126</f>
        <v>第二批次</v>
      </c>
      <c r="E768" s="6" t="str">
        <f>项目总控台账!G126</f>
        <v>已完成</v>
      </c>
      <c r="F768" s="17">
        <f>项目总控台账!N126</f>
        <v>46216</v>
      </c>
      <c r="G768" s="17">
        <f>项目总控台账!O126</f>
        <v>46220</v>
      </c>
      <c r="H768" s="70">
        <v>8</v>
      </c>
      <c r="I768" s="6" t="str">
        <f>IF(H768="","待估算",IF(E768="已完成","已结束",IF(AND(ISNUMBER(F768),ISNUMBER(G768),F768&lt;=项目驾驶舱!$B$3,G768&gt;=项目驾驶舱!$B$3),"进行中","计划中")))</f>
        <v>已结束</v>
      </c>
      <c r="J768" s="6" t="str">
        <f>IF(I768="待估算",IF(OR(F768="/",G768="/",F768="",G768=""),"补充计划日期","补充投入工时"),IF(AND(G768&lt;项目驾驶舱!$B$3,E768&lt;&gt;"已完成"),"确认延期和后续安排","按计划跟踪"))</f>
        <v>按计划跟踪</v>
      </c>
      <c r="K768" s="8"/>
      <c r="L768" t="s">
        <v>65</v>
      </c>
    </row>
    <row r="769" spans="1:12">
      <c r="A769" s="71"/>
      <c r="B769" s="6" t="str">
        <f>项目总控台账!A127</f>
        <v>T124</v>
      </c>
      <c r="C769" s="6" t="str">
        <f>IF(AND(项目总控台账!E127&lt;&gt;"",项目总控台账!E127&lt;&gt;"/"),项目总控台账!E127,IF(AND(项目总控台账!D127&lt;&gt;"",项目总控台账!D127&lt;&gt;"/"),项目总控台账!D127,项目总控台账!C127))</f>
        <v>停泊费（内贸）查询</v>
      </c>
      <c r="D769" s="6" t="str">
        <f>项目总控台账!F127</f>
        <v>第二批次</v>
      </c>
      <c r="E769" s="6" t="str">
        <f>项目总控台账!G127</f>
        <v>已完成</v>
      </c>
      <c r="F769" s="17">
        <f>项目总控台账!N127</f>
        <v>46216</v>
      </c>
      <c r="G769" s="17">
        <f>项目总控台账!O127</f>
        <v>46220</v>
      </c>
      <c r="H769" s="70">
        <v>8</v>
      </c>
      <c r="I769" s="6" t="str">
        <f>IF(H769="","待估算",IF(E769="已完成","已结束",IF(AND(ISNUMBER(F769),ISNUMBER(G769),F769&lt;=项目驾驶舱!$B$3,G769&gt;=项目驾驶舱!$B$3),"进行中","计划中")))</f>
        <v>已结束</v>
      </c>
      <c r="J769" s="6" t="str">
        <f>IF(I769="待估算",IF(OR(F769="/",G769="/",F769="",G769=""),"补充计划日期","补充投入工时"),IF(AND(G769&lt;项目驾驶舱!$B$3,E769&lt;&gt;"已完成"),"确认延期和后续安排","按计划跟踪"))</f>
        <v>按计划跟踪</v>
      </c>
      <c r="K769" s="8"/>
      <c r="L769" t="s">
        <v>65</v>
      </c>
    </row>
    <row r="770" spans="1:12">
      <c r="A770" s="72" t="s">
        <v>65</v>
      </c>
      <c r="B770" s="6" t="str">
        <f>项目总控台账!A128</f>
        <v>T125</v>
      </c>
      <c r="C770" s="6" t="str">
        <f>IF(AND(项目总控台账!E128&lt;&gt;"",项目总控台账!E128&lt;&gt;"/"),项目总控台账!E128,IF(AND(项目总控台账!D128&lt;&gt;"",项目总控台账!D128&lt;&gt;"/"),项目总控台账!D128,项目总控台账!C128))</f>
        <v>船舶供应服务费（内贸）查询</v>
      </c>
      <c r="D770" s="6" t="str">
        <f>项目总控台账!F128</f>
        <v>第二批次</v>
      </c>
      <c r="E770" s="6" t="str">
        <f>项目总控台账!G128</f>
        <v>已完成</v>
      </c>
      <c r="F770" s="17">
        <f>项目总控台账!N128</f>
        <v>46216</v>
      </c>
      <c r="G770" s="17">
        <f>项目总控台账!O128</f>
        <v>46220</v>
      </c>
      <c r="H770" s="70">
        <v>8</v>
      </c>
      <c r="I770" s="6" t="str">
        <f>IF(H770="","待估算",IF(E770="已完成","已结束",IF(AND(ISNUMBER(F770),ISNUMBER(G770),F770&lt;=项目驾驶舱!$B$3,G770&gt;=项目驾驶舱!$B$3),"进行中","计划中")))</f>
        <v>已结束</v>
      </c>
      <c r="J770" s="6" t="str">
        <f>IF(I770="待估算",IF(OR(F770="/",G770="/",F770="",G770=""),"补充计划日期","补充投入工时"),IF(AND(G770&lt;项目驾驶舱!$B$3,E770&lt;&gt;"已完成"),"确认延期和后续安排","按计划跟踪"))</f>
        <v>按计划跟踪</v>
      </c>
      <c r="K770" s="8"/>
      <c r="L770" t="s">
        <v>65</v>
      </c>
    </row>
    <row r="771" spans="1:12">
      <c r="B771" s="6" t="str">
        <f>项目总控台账!A16</f>
        <v>T013</v>
      </c>
      <c r="C771" s="6" t="str">
        <f>IF(AND(项目总控台账!E16&lt;&gt;"",项目总控台账!E16&lt;&gt;"/"),项目总控台账!E16,IF(AND(项目总控台账!D16&lt;&gt;"",项目总控台账!D16&lt;&gt;"/"),项目总控台账!D16,项目总控台账!C16))</f>
        <v>新增结算条款</v>
      </c>
      <c r="D771" s="6" t="str">
        <f>项目总控台账!F16</f>
        <v>第二批次</v>
      </c>
      <c r="E771" s="6" t="str">
        <f>项目总控台账!G16</f>
        <v>未开始</v>
      </c>
      <c r="F771" s="17">
        <f>项目总控台账!N16</f>
        <v>46223</v>
      </c>
      <c r="G771" s="17">
        <f>项目总控台账!O16</f>
        <v>46227</v>
      </c>
      <c r="H771" s="70">
        <v>3</v>
      </c>
      <c r="I771" s="6" t="str">
        <f>IF(H771="","待估算",IF(E771="已完成","已结束",IF(AND(ISNUMBER(F771),ISNUMBER(G771),F771&lt;=项目驾驶舱!$B$3,G771&gt;=项目驾驶舱!$B$3),"进行中","计划中")))</f>
        <v>计划中</v>
      </c>
      <c r="J771" s="6" t="str">
        <f>IF(I771="待估算",IF(OR(F771="/",G771="/",F771="",G771=""),"补充计划日期","补充投入工时"),IF(AND(G771&lt;项目驾驶舱!$B$3,E771&lt;&gt;"已完成"),"确认延期和后续安排","按计划跟踪"))</f>
        <v>确认延期和后续安排</v>
      </c>
      <c r="K771" s="8"/>
      <c r="L771" t="s">
        <v>65</v>
      </c>
    </row>
    <row r="772" spans="1:12">
      <c r="B772" s="6" t="str">
        <f>项目总控台账!A17</f>
        <v>T014</v>
      </c>
      <c r="C772" s="6" t="str">
        <f>IF(AND(项目总控台账!E17&lt;&gt;"",项目总控台账!E17&lt;&gt;"/"),项目总控台账!E17,IF(AND(项目总控台账!D17&lt;&gt;"",项目总控台账!D17&lt;&gt;"/"),项目总控台账!D17,项目总控台账!C17))</f>
        <v>结算条款审批</v>
      </c>
      <c r="D772" s="6" t="str">
        <f>项目总控台账!F17</f>
        <v>第二批次</v>
      </c>
      <c r="E772" s="6" t="str">
        <f>项目总控台账!G17</f>
        <v>未开始</v>
      </c>
      <c r="F772" s="17">
        <f>项目总控台账!N17</f>
        <v>46223</v>
      </c>
      <c r="G772" s="17">
        <f>项目总控台账!O17</f>
        <v>46227</v>
      </c>
      <c r="H772" s="70">
        <v>3</v>
      </c>
      <c r="I772" s="6" t="str">
        <f>IF(H772="","待估算",IF(E772="已完成","已结束",IF(AND(ISNUMBER(F772),ISNUMBER(G772),F772&lt;=项目驾驶舱!$B$3,G772&gt;=项目驾驶舱!$B$3),"进行中","计划中")))</f>
        <v>计划中</v>
      </c>
      <c r="J772" s="6" t="str">
        <f>IF(I772="待估算",IF(OR(F772="/",G772="/",F772="",G772=""),"补充计划日期","补充投入工时"),IF(AND(G772&lt;项目驾驶舱!$B$3,E772&lt;&gt;"已完成"),"确认延期和后续安排","按计划跟踪"))</f>
        <v>确认延期和后续安排</v>
      </c>
      <c r="K772" s="8"/>
      <c r="L772" t="s">
        <v>65</v>
      </c>
    </row>
    <row r="773" spans="1:12">
      <c r="B773" s="6" t="str">
        <f>项目总控台账!A18</f>
        <v>T015</v>
      </c>
      <c r="C773" s="6" t="str">
        <f>IF(AND(项目总控台账!E18&lt;&gt;"",项目总控台账!E18&lt;&gt;"/"),项目总控台账!E18,IF(AND(项目总控台账!D18&lt;&gt;"",项目总控台账!D18&lt;&gt;"/"),项目总控台账!D18,项目总控台账!C18))</f>
        <v>修改结算条款</v>
      </c>
      <c r="D773" s="6" t="str">
        <f>项目总控台账!F18</f>
        <v>第二批次</v>
      </c>
      <c r="E773" s="6" t="str">
        <f>项目总控台账!G18</f>
        <v>未开始</v>
      </c>
      <c r="F773" s="17">
        <f>项目总控台账!N18</f>
        <v>46223</v>
      </c>
      <c r="G773" s="17">
        <f>项目总控台账!O18</f>
        <v>46227</v>
      </c>
      <c r="H773" s="70">
        <v>3</v>
      </c>
      <c r="I773" s="6" t="str">
        <f>IF(H773="","待估算",IF(E773="已完成","已结束",IF(AND(ISNUMBER(F773),ISNUMBER(G773),F773&lt;=项目驾驶舱!$B$3,G773&gt;=项目驾驶舱!$B$3),"进行中","计划中")))</f>
        <v>计划中</v>
      </c>
      <c r="J773" s="6" t="str">
        <f>IF(I773="待估算",IF(OR(F773="/",G773="/",F773="",G773=""),"补充计划日期","补充投入工时"),IF(AND(G773&lt;项目驾驶舱!$B$3,E773&lt;&gt;"已完成"),"确认延期和后续安排","按计划跟踪"))</f>
        <v>确认延期和后续安排</v>
      </c>
      <c r="K773" s="8"/>
      <c r="L773" t="s">
        <v>65</v>
      </c>
    </row>
    <row r="774" spans="1:12">
      <c r="B774" s="6" t="str">
        <f>项目总控台账!A19</f>
        <v>T016</v>
      </c>
      <c r="C774" s="6" t="str">
        <f>IF(AND(项目总控台账!E19&lt;&gt;"",项目总控台账!E19&lt;&gt;"/"),项目总控台账!E19,IF(AND(项目总控台账!D19&lt;&gt;"",项目总控台账!D19&lt;&gt;"/"),项目总控台账!D19,项目总控台账!C19))</f>
        <v>删除结算条款</v>
      </c>
      <c r="D774" s="6" t="str">
        <f>项目总控台账!F19</f>
        <v>第二批次</v>
      </c>
      <c r="E774" s="6" t="str">
        <f>项目总控台账!G19</f>
        <v>未开始</v>
      </c>
      <c r="F774" s="17">
        <f>项目总控台账!N19</f>
        <v>46223</v>
      </c>
      <c r="G774" s="17">
        <f>项目总控台账!O19</f>
        <v>46227</v>
      </c>
      <c r="H774" s="70">
        <v>3</v>
      </c>
      <c r="I774" s="6" t="str">
        <f>IF(H774="","待估算",IF(E774="已完成","已结束",IF(AND(ISNUMBER(F774),ISNUMBER(G774),F774&lt;=项目驾驶舱!$B$3,G774&gt;=项目驾驶舱!$B$3),"进行中","计划中")))</f>
        <v>计划中</v>
      </c>
      <c r="J774" s="6" t="str">
        <f>IF(I774="待估算",IF(OR(F774="/",G774="/",F774="",G774=""),"补充计划日期","补充投入工时"),IF(AND(G774&lt;项目驾驶舱!$B$3,E774&lt;&gt;"已完成"),"确认延期和后续安排","按计划跟踪"))</f>
        <v>确认延期和后续安排</v>
      </c>
      <c r="K774" s="8"/>
      <c r="L774" t="s">
        <v>65</v>
      </c>
    </row>
    <row r="775" spans="1:12">
      <c r="B775" s="6" t="str">
        <f>项目总控台账!A20</f>
        <v>T017</v>
      </c>
      <c r="C775" s="6" t="str">
        <f>IF(AND(项目总控台账!E20&lt;&gt;"",项目总控台账!E20&lt;&gt;"/"),项目总控台账!E20,IF(AND(项目总控台账!D20&lt;&gt;"",项目总控台账!D20&lt;&gt;"/"),项目总控台账!D20,项目总控台账!C20))</f>
        <v>查询展示结算条款</v>
      </c>
      <c r="D775" s="6" t="str">
        <f>项目总控台账!F20</f>
        <v>第二批次</v>
      </c>
      <c r="E775" s="6" t="str">
        <f>项目总控台账!G20</f>
        <v>未开始</v>
      </c>
      <c r="F775" s="17">
        <f>项目总控台账!N20</f>
        <v>46223</v>
      </c>
      <c r="G775" s="17">
        <f>项目总控台账!O20</f>
        <v>46227</v>
      </c>
      <c r="H775" s="70">
        <v>3</v>
      </c>
      <c r="I775" s="6" t="str">
        <f>IF(H775="","待估算",IF(E775="已完成","已结束",IF(AND(ISNUMBER(F775),ISNUMBER(G775),F775&lt;=项目驾驶舱!$B$3,G775&gt;=项目驾驶舱!$B$3),"进行中","计划中")))</f>
        <v>计划中</v>
      </c>
      <c r="J775" s="6" t="str">
        <f>IF(I775="待估算",IF(OR(F775="/",G775="/",F775="",G775=""),"补充计划日期","补充投入工时"),IF(AND(G775&lt;项目驾驶舱!$B$3,E775&lt;&gt;"已完成"),"确认延期和后续安排","按计划跟踪"))</f>
        <v>确认延期和后续安排</v>
      </c>
      <c r="K775" s="8"/>
      <c r="L775" t="s">
        <v>65</v>
      </c>
    </row>
    <row r="776" spans="1:12">
      <c r="B776" s="6" t="str">
        <f>项目总控台账!A21</f>
        <v>T018</v>
      </c>
      <c r="C776" s="6" t="str">
        <f>IF(AND(项目总控台账!E21&lt;&gt;"",项目总控台账!E21&lt;&gt;"/"),项目总控台账!E21,IF(AND(项目总控台账!D21&lt;&gt;"",项目总控台账!D21&lt;&gt;"/"),项目总控台账!D21,项目总控台账!C21))</f>
        <v>结算条款推送法务系统</v>
      </c>
      <c r="D776" s="6" t="str">
        <f>项目总控台账!F21</f>
        <v>第二批次</v>
      </c>
      <c r="E776" s="6" t="str">
        <f>项目总控台账!G21</f>
        <v>未开始</v>
      </c>
      <c r="F776" s="17">
        <f>项目总控台账!N21</f>
        <v>46223</v>
      </c>
      <c r="G776" s="17">
        <f>项目总控台账!O21</f>
        <v>46227</v>
      </c>
      <c r="H776" s="70">
        <v>2.5</v>
      </c>
      <c r="I776" s="6" t="str">
        <f>IF(H776="","待估算",IF(E776="已完成","已结束",IF(AND(ISNUMBER(F776),ISNUMBER(G776),F776&lt;=项目驾驶舱!$B$3,G776&gt;=项目驾驶舱!$B$3),"进行中","计划中")))</f>
        <v>计划中</v>
      </c>
      <c r="J776" s="6" t="str">
        <f>IF(I776="待估算",IF(OR(F776="/",G776="/",F776="",G776=""),"补充计划日期","补充投入工时"),IF(AND(G776&lt;项目驾驶舱!$B$3,E776&lt;&gt;"已完成"),"确认延期和后续安排","按计划跟踪"))</f>
        <v>确认延期和后续安排</v>
      </c>
      <c r="K776" s="8"/>
      <c r="L776" t="s">
        <v>65</v>
      </c>
    </row>
    <row r="777" spans="1:12">
      <c r="B777" s="6" t="str">
        <f>项目总控台账!A56</f>
        <v>T053</v>
      </c>
      <c r="C777" s="6" t="str">
        <f>IF(AND(项目总控台账!E56&lt;&gt;"",项目总控台账!E56&lt;&gt;"/"),项目总控台账!E56,IF(AND(项目总控台账!D56&lt;&gt;"",项目总控台账!D56&lt;&gt;"/"),项目总控台账!D56,项目总控台账!C56))</f>
        <v>接入港口侧视频监控</v>
      </c>
      <c r="D777" s="6" t="str">
        <f>项目总控台账!F56</f>
        <v>第二批次</v>
      </c>
      <c r="E777" s="6" t="str">
        <f>项目总控台账!G56</f>
        <v>未开始</v>
      </c>
      <c r="F777" s="17">
        <f>项目总控台账!N56</f>
        <v>46223</v>
      </c>
      <c r="G777" s="17">
        <f>项目总控台账!O56</f>
        <v>46227</v>
      </c>
      <c r="H777" s="70">
        <v>2.5</v>
      </c>
      <c r="I777" s="6" t="str">
        <f>IF(H777="","待估算",IF(E777="已完成","已结束",IF(AND(ISNUMBER(F777),ISNUMBER(G777),F777&lt;=项目驾驶舱!$B$3,G777&gt;=项目驾驶舱!$B$3),"进行中","计划中")))</f>
        <v>计划中</v>
      </c>
      <c r="J777" s="6" t="str">
        <f>IF(I777="待估算",IF(OR(F777="/",G777="/",F777="",G777=""),"补充计划日期","补充投入工时"),IF(AND(G777&lt;项目驾驶舱!$B$3,E777&lt;&gt;"已完成"),"确认延期和后续安排","按计划跟踪"))</f>
        <v>确认延期和后续安排</v>
      </c>
      <c r="K777" s="8"/>
      <c r="L777" t="s">
        <v>65</v>
      </c>
    </row>
    <row r="778" spans="1:12">
      <c r="B778" s="6" t="str">
        <f>项目总控台账!A57</f>
        <v>T054</v>
      </c>
      <c r="C778" s="6" t="str">
        <f>IF(AND(项目总控台账!E57&lt;&gt;"",项目总控台账!E57&lt;&gt;"/"),项目总控台账!E57,IF(AND(项目总控台账!D57&lt;&gt;"",项目总控台账!D57&lt;&gt;"/"),项目总控台账!D57,项目总控台账!C57))</f>
        <v>视频查看权限申请</v>
      </c>
      <c r="D778" s="6" t="str">
        <f>项目总控台账!F57</f>
        <v>第二批次</v>
      </c>
      <c r="E778" s="6" t="str">
        <f>项目总控台账!G57</f>
        <v>未开始</v>
      </c>
      <c r="F778" s="17">
        <f>项目总控台账!N57</f>
        <v>46223</v>
      </c>
      <c r="G778" s="17">
        <f>项目总控台账!O57</f>
        <v>46227</v>
      </c>
      <c r="H778" s="70">
        <v>2.5</v>
      </c>
      <c r="I778" s="6" t="str">
        <f>IF(H778="","待估算",IF(E778="已完成","已结束",IF(AND(ISNUMBER(F778),ISNUMBER(G778),F778&lt;=项目驾驶舱!$B$3,G778&gt;=项目驾驶舱!$B$3),"进行中","计划中")))</f>
        <v>计划中</v>
      </c>
      <c r="J778" s="6" t="str">
        <f>IF(I778="待估算",IF(OR(F778="/",G778="/",F778="",G778=""),"补充计划日期","补充投入工时"),IF(AND(G778&lt;项目驾驶舱!$B$3,E778&lt;&gt;"已完成"),"确认延期和后续安排","按计划跟踪"))</f>
        <v>确认延期和后续安排</v>
      </c>
      <c r="K778" s="8"/>
      <c r="L778" t="s">
        <v>65</v>
      </c>
    </row>
    <row r="779" spans="1:12">
      <c r="B779" s="6" t="str">
        <f>项目总控台账!A58</f>
        <v>T055</v>
      </c>
      <c r="C779" s="6" t="str">
        <f>IF(AND(项目总控台账!E58&lt;&gt;"",项目总控台账!E58&lt;&gt;"/"),项目总控台账!E58,IF(AND(项目总控台账!D58&lt;&gt;"",项目总控台账!D58&lt;&gt;"/"),项目总控台账!D58,项目总控台账!C58))</f>
        <v>视频查看权限审批</v>
      </c>
      <c r="D779" s="6" t="str">
        <f>项目总控台账!F58</f>
        <v>第二批次</v>
      </c>
      <c r="E779" s="6" t="str">
        <f>项目总控台账!G58</f>
        <v>未开始</v>
      </c>
      <c r="F779" s="17">
        <f>项目总控台账!N58</f>
        <v>46223</v>
      </c>
      <c r="G779" s="17">
        <f>项目总控台账!O58</f>
        <v>46227</v>
      </c>
      <c r="H779" s="70">
        <v>2.5</v>
      </c>
      <c r="I779" s="6" t="str">
        <f>IF(H779="","待估算",IF(E779="已完成","已结束",IF(AND(ISNUMBER(F779),ISNUMBER(G779),F779&lt;=项目驾驶舱!$B$3,G779&gt;=项目驾驶舱!$B$3),"进行中","计划中")))</f>
        <v>计划中</v>
      </c>
      <c r="J779" s="6" t="str">
        <f>IF(I779="待估算",IF(OR(F779="/",G779="/",F779="",G779=""),"补充计划日期","补充投入工时"),IF(AND(G779&lt;项目驾驶舱!$B$3,E779&lt;&gt;"已完成"),"确认延期和后续安排","按计划跟踪"))</f>
        <v>确认延期和后续安排</v>
      </c>
      <c r="K779" s="8"/>
      <c r="L779" t="s">
        <v>65</v>
      </c>
    </row>
    <row r="780" spans="1:12">
      <c r="B780" s="6" t="str">
        <f>项目总控台账!A59</f>
        <v>T056</v>
      </c>
      <c r="C780" s="6" t="str">
        <f>IF(AND(项目总控台账!E59&lt;&gt;"",项目总控台账!E59&lt;&gt;"/"),项目总控台账!E59,IF(AND(项目总控台账!D59&lt;&gt;"",项目总控台账!D59&lt;&gt;"/"),项目总控台账!D59,项目总控台账!C59))</f>
        <v>视频查看权限有效期控制</v>
      </c>
      <c r="D780" s="6" t="str">
        <f>项目总控台账!F59</f>
        <v>第二批次</v>
      </c>
      <c r="E780" s="6" t="str">
        <f>项目总控台账!G59</f>
        <v>未开始</v>
      </c>
      <c r="F780" s="17">
        <f>项目总控台账!N59</f>
        <v>46223</v>
      </c>
      <c r="G780" s="17">
        <f>项目总控台账!O59</f>
        <v>46227</v>
      </c>
      <c r="H780" s="70">
        <v>2.5</v>
      </c>
      <c r="I780" s="6" t="str">
        <f>IF(H780="","待估算",IF(E780="已完成","已结束",IF(AND(ISNUMBER(F780),ISNUMBER(G780),F780&lt;=项目驾驶舱!$B$3,G780&gt;=项目驾驶舱!$B$3),"进行中","计划中")))</f>
        <v>计划中</v>
      </c>
      <c r="J780" s="6" t="str">
        <f>IF(I780="待估算",IF(OR(F780="/",G780="/",F780="",G780=""),"补充计划日期","补充投入工时"),IF(AND(G780&lt;项目驾驶舱!$B$3,E780&lt;&gt;"已完成"),"确认延期和后续安排","按计划跟踪"))</f>
        <v>确认延期和后续安排</v>
      </c>
      <c r="K780" s="8"/>
      <c r="L780" t="s">
        <v>65</v>
      </c>
    </row>
    <row r="781" spans="1:12">
      <c r="A781" s="71"/>
      <c r="B781" s="6" t="str">
        <f>项目总控台账!A60</f>
        <v>T057</v>
      </c>
      <c r="C781" s="6" t="str">
        <f>IF(AND(项目总控台账!E60&lt;&gt;"",项目总控台账!E60&lt;&gt;"/"),项目总控台账!E60,IF(AND(项目总控台账!D60&lt;&gt;"",项目总控台账!D60&lt;&gt;"/"),项目总控台账!D60,项目总控台账!C60))</f>
        <v>外网PC端视频监控查询</v>
      </c>
      <c r="D781" s="6" t="str">
        <f>项目总控台账!F60</f>
        <v>第二批次</v>
      </c>
      <c r="E781" s="6" t="str">
        <f>项目总控台账!G60</f>
        <v>未开始</v>
      </c>
      <c r="F781" s="17">
        <f>项目总控台账!N60</f>
        <v>46223</v>
      </c>
      <c r="G781" s="17">
        <f>项目总控台账!O60</f>
        <v>46227</v>
      </c>
      <c r="H781" s="70">
        <v>2.5</v>
      </c>
      <c r="I781" s="6" t="str">
        <f>IF(H781="","待估算",IF(E781="已完成","已结束",IF(AND(ISNUMBER(F781),ISNUMBER(G781),F781&lt;=项目驾驶舱!$B$3,G781&gt;=项目驾驶舱!$B$3),"进行中","计划中")))</f>
        <v>计划中</v>
      </c>
      <c r="J781" s="6" t="str">
        <f>IF(I781="待估算",IF(OR(F781="/",G781="/",F781="",G781=""),"补充计划日期","补充投入工时"),IF(AND(G781&lt;项目驾驶舱!$B$3,E781&lt;&gt;"已完成"),"确认延期和后续安排","按计划跟踪"))</f>
        <v>确认延期和后续安排</v>
      </c>
      <c r="K781" s="8"/>
      <c r="L781" t="s">
        <v>65</v>
      </c>
    </row>
    <row r="782" spans="1:12">
      <c r="A782" s="72" t="s">
        <v>65</v>
      </c>
      <c r="B782" s="6" t="str">
        <f>项目总控台账!A81</f>
        <v>T078</v>
      </c>
      <c r="C782" s="6" t="str">
        <f>IF(AND(项目总控台账!E81&lt;&gt;"",项目总控台账!E81&lt;&gt;"/"),项目总控台账!E81,IF(AND(项目总控台账!D81&lt;&gt;"",项目总控台账!D81&lt;&gt;"/"),项目总控台账!D81,项目总控台账!C81))</f>
        <v>业务数据合同签订校验</v>
      </c>
      <c r="D782" s="6" t="str">
        <f>项目总控台账!F81</f>
        <v>第二批次</v>
      </c>
      <c r="E782" s="6" t="str">
        <f>项目总控台账!G81</f>
        <v>未开始</v>
      </c>
      <c r="F782" s="17">
        <f>项目总控台账!N81</f>
        <v>46223</v>
      </c>
      <c r="G782" s="17">
        <f>项目总控台账!O81</f>
        <v>46227</v>
      </c>
      <c r="H782" s="70">
        <v>2.5</v>
      </c>
      <c r="I782" s="6" t="str">
        <f>IF(H782="","待估算",IF(E782="已完成","已结束",IF(AND(ISNUMBER(F782),ISNUMBER(G782),F782&lt;=项目驾驶舱!$B$3,G782&gt;=项目驾驶舱!$B$3),"进行中","计划中")))</f>
        <v>计划中</v>
      </c>
      <c r="J782" s="6" t="str">
        <f>IF(I782="待估算",IF(OR(F782="/",G782="/",F782="",G782=""),"补充计划日期","补充投入工时"),IF(AND(G782&lt;项目驾驶舱!$B$3,E782&lt;&gt;"已完成"),"确认延期和后续安排","按计划跟踪"))</f>
        <v>确认延期和后续安排</v>
      </c>
      <c r="K782" s="8"/>
      <c r="L782" t="s">
        <v>65</v>
      </c>
    </row>
    <row r="783" spans="1:12">
      <c r="B783" s="6" t="str">
        <f>项目总控台账!A82</f>
        <v>T079</v>
      </c>
      <c r="C783" s="6" t="str">
        <f>IF(AND(项目总控台账!E82&lt;&gt;"",项目总控台账!E82&lt;&gt;"/"),项目总控台账!E82,IF(AND(项目总控台账!D82&lt;&gt;"",项目总控台账!D82&lt;&gt;"/"),项目总控台账!D82,项目总控台账!C82))</f>
        <v>结算数据合同签订校验</v>
      </c>
      <c r="D783" s="6" t="str">
        <f>项目总控台账!F82</f>
        <v>第二批次</v>
      </c>
      <c r="E783" s="6" t="str">
        <f>项目总控台账!G82</f>
        <v>未开始</v>
      </c>
      <c r="F783" s="17">
        <f>项目总控台账!N82</f>
        <v>46223</v>
      </c>
      <c r="G783" s="17">
        <f>项目总控台账!O82</f>
        <v>46227</v>
      </c>
      <c r="H783" s="70">
        <v>2.5</v>
      </c>
      <c r="I783" s="6" t="str">
        <f>IF(H783="","待估算",IF(E783="已完成","已结束",IF(AND(ISNUMBER(F783),ISNUMBER(G783),F783&lt;=项目驾驶舱!$B$3,G783&gt;=项目驾驶舱!$B$3),"进行中","计划中")))</f>
        <v>计划中</v>
      </c>
      <c r="J783" s="6" t="str">
        <f>IF(I783="待估算",IF(OR(F783="/",G783="/",F783="",G783=""),"补充计划日期","补充投入工时"),IF(AND(G783&lt;项目驾驶舱!$B$3,E783&lt;&gt;"已完成"),"确认延期和后续安排","按计划跟踪"))</f>
        <v>确认延期和后续安排</v>
      </c>
      <c r="K783" s="8"/>
      <c r="L783" t="s">
        <v>65</v>
      </c>
    </row>
    <row r="784" spans="1:12">
      <c r="B784" s="6" t="str">
        <f>项目总控台账!A83</f>
        <v>T080</v>
      </c>
      <c r="C784" s="6" t="str">
        <f>IF(AND(项目总控台账!E83&lt;&gt;"",项目总控台账!E83&lt;&gt;"/"),项目总控台账!E83,IF(AND(项目总控台账!D83&lt;&gt;"",项目总控台账!D83&lt;&gt;"/"),项目总控台账!D83,项目总控台账!C83))</f>
        <v>合同校验结果查询</v>
      </c>
      <c r="D784" s="6" t="str">
        <f>项目总控台账!F83</f>
        <v>第二批次</v>
      </c>
      <c r="E784" s="6" t="str">
        <f>项目总控台账!G83</f>
        <v>未开始</v>
      </c>
      <c r="F784" s="17">
        <f>项目总控台账!N83</f>
        <v>46223</v>
      </c>
      <c r="G784" s="17">
        <f>项目总控台账!O83</f>
        <v>46227</v>
      </c>
      <c r="H784" s="70">
        <v>2.5</v>
      </c>
      <c r="I784" s="6" t="str">
        <f>IF(H784="","待估算",IF(E784="已完成","已结束",IF(AND(ISNUMBER(F784),ISNUMBER(G784),F784&lt;=项目驾驶舱!$B$3,G784&gt;=项目驾驶舱!$B$3),"进行中","计划中")))</f>
        <v>计划中</v>
      </c>
      <c r="J784" s="6" t="str">
        <f>IF(I784="待估算",IF(OR(F784="/",G784="/",F784="",G784=""),"补充计划日期","补充投入工时"),IF(AND(G784&lt;项目驾驶舱!$B$3,E784&lt;&gt;"已完成"),"确认延期和后续安排","按计划跟踪"))</f>
        <v>确认延期和后续安排</v>
      </c>
      <c r="K784" s="8"/>
      <c r="L784" t="s">
        <v>65</v>
      </c>
    </row>
    <row r="785" spans="1:12">
      <c r="B785" s="6" t="str">
        <f>项目总控台账!A144</f>
        <v>T141</v>
      </c>
      <c r="C785" s="6" t="str">
        <f>IF(AND(项目总控台账!E144&lt;&gt;"",项目总控台账!E144&lt;&gt;"/"),项目总控台账!E144,IF(AND(项目总控台账!D144&lt;&gt;"",项目总控台账!D144&lt;&gt;"/"),项目总控台账!D144,项目总控台账!C144))</f>
        <v>视频监控查询</v>
      </c>
      <c r="D785" s="6" t="str">
        <f>项目总控台账!F144</f>
        <v>第二批次</v>
      </c>
      <c r="E785" s="6" t="str">
        <f>项目总控台账!G144</f>
        <v>未开始</v>
      </c>
      <c r="F785" s="17">
        <f>项目总控台账!N144</f>
        <v>46223</v>
      </c>
      <c r="G785" s="17">
        <f>项目总控台账!O144</f>
        <v>46227</v>
      </c>
      <c r="H785" s="70">
        <v>2.5</v>
      </c>
      <c r="I785" s="6" t="str">
        <f>IF(H785="","待估算",IF(E785="已完成","已结束",IF(AND(ISNUMBER(F785),ISNUMBER(G785),F785&lt;=项目驾驶舱!$B$3,G785&gt;=项目驾驶舱!$B$3),"进行中","计划中")))</f>
        <v>计划中</v>
      </c>
      <c r="J785" s="6" t="str">
        <f>IF(I785="待估算",IF(OR(F785="/",G785="/",F785="",G785=""),"补充计划日期","补充投入工时"),IF(AND(G785&lt;项目驾驶舱!$B$3,E785&lt;&gt;"已完成"),"确认延期和后续安排","按计划跟踪"))</f>
        <v>确认延期和后续安排</v>
      </c>
      <c r="K785" s="8"/>
      <c r="L785" t="s">
        <v>65</v>
      </c>
    </row>
    <row r="786" spans="1:12">
      <c r="B786" s="6" t="str">
        <f>项目总控台账!A8</f>
        <v>T005</v>
      </c>
      <c r="C786" s="6" t="str">
        <f>IF(AND(项目总控台账!E8&lt;&gt;"",项目总控台账!E8&lt;&gt;"/"),项目总控台账!E8,IF(AND(项目总控台账!D8&lt;&gt;"",项目总控台账!D8&lt;&gt;"/"),项目总控台账!D8,项目总控台账!C8))</f>
        <v>船舶唯一性校验</v>
      </c>
      <c r="D786" s="6" t="str">
        <f>项目总控台账!F8</f>
        <v>第二批次</v>
      </c>
      <c r="E786" s="6" t="str">
        <f>项目总控台账!G8</f>
        <v>已完成</v>
      </c>
      <c r="F786" s="17">
        <f>项目总控台账!N8</f>
        <v>46230</v>
      </c>
      <c r="G786" s="17">
        <f>项目总控台账!O8</f>
        <v>46241</v>
      </c>
      <c r="H786" s="70">
        <v>2</v>
      </c>
      <c r="I786" s="6" t="str">
        <f>IF(H786="","待估算",IF(E786="已完成","已结束",IF(AND(ISNUMBER(F786),ISNUMBER(G786),F786&lt;=项目驾驶舱!$B$3,G786&gt;=项目驾驶舱!$B$3),"进行中","计划中")))</f>
        <v>已结束</v>
      </c>
      <c r="J786" s="6" t="str">
        <f>IF(I786="待估算",IF(OR(F786="/",G786="/",F786="",G786=""),"补充计划日期","补充投入工时"),IF(AND(G786&lt;项目驾驶舱!$B$3,E786&lt;&gt;"已完成"),"确认延期和后续安排","按计划跟踪"))</f>
        <v>按计划跟踪</v>
      </c>
      <c r="K786" s="8"/>
      <c r="L786" t="s">
        <v>65</v>
      </c>
    </row>
    <row r="787" spans="1:12">
      <c r="B787" s="6" t="str">
        <f>项目总控台账!A22</f>
        <v>T019</v>
      </c>
      <c r="C787" s="6" t="str">
        <f>IF(AND(项目总控台账!E22&lt;&gt;"",项目总控台账!E22&lt;&gt;"/"),项目总控台账!E22,IF(AND(项目总控台账!D22&lt;&gt;"",项目总控台账!D22&lt;&gt;"/"),项目总控台账!D22,项目总控台账!C22))</f>
        <v>对接卸船计划</v>
      </c>
      <c r="D787" s="6" t="str">
        <f>项目总控台账!F22</f>
        <v>第二批次</v>
      </c>
      <c r="E787" s="6" t="str">
        <f>项目总控台账!G22</f>
        <v>进行中</v>
      </c>
      <c r="F787" s="17">
        <f>项目总控台账!N22</f>
        <v>46230</v>
      </c>
      <c r="G787" s="17">
        <f>项目总控台账!O22</f>
        <v>46241</v>
      </c>
      <c r="H787" s="70">
        <v>2</v>
      </c>
      <c r="I787" s="6" t="str">
        <f>IF(H787="","待估算",IF(E787="已完成","已结束",IF(AND(ISNUMBER(F787),ISNUMBER(G787),F787&lt;=项目驾驶舱!$B$3,G787&gt;=项目驾驶舱!$B$3),"进行中","计划中")))</f>
        <v>计划中</v>
      </c>
      <c r="J787" s="6" t="str">
        <f>IF(I787="待估算",IF(OR(F787="/",G787="/",F787="",G787=""),"补充计划日期","补充投入工时"),IF(AND(G787&lt;项目驾驶舱!$B$3,E787&lt;&gt;"已完成"),"确认延期和后续安排","按计划跟踪"))</f>
        <v>确认延期和后续安排</v>
      </c>
      <c r="K787" s="8"/>
      <c r="L787" t="s">
        <v>65</v>
      </c>
    </row>
    <row r="788" spans="1:12">
      <c r="B788" s="6" t="str">
        <f>项目总控台账!A23</f>
        <v>T020</v>
      </c>
      <c r="C788" s="6" t="str">
        <f>IF(AND(项目总控台账!E23&lt;&gt;"",项目总控台账!E23&lt;&gt;"/"),项目总控台账!E23,IF(AND(项目总控台账!D23&lt;&gt;"",项目总控台账!D23&lt;&gt;"/"),项目总控台账!D23,项目总控台账!C23))</f>
        <v>查询卸车计划</v>
      </c>
      <c r="D788" s="6" t="str">
        <f>项目总控台账!F23</f>
        <v>第二批次</v>
      </c>
      <c r="E788" s="6" t="str">
        <f>项目总控台账!G23</f>
        <v>进行中</v>
      </c>
      <c r="F788" s="17">
        <f>项目总控台账!N23</f>
        <v>46230</v>
      </c>
      <c r="G788" s="17">
        <f>项目总控台账!O23</f>
        <v>46241</v>
      </c>
      <c r="H788" s="70">
        <v>2</v>
      </c>
      <c r="I788" s="6" t="str">
        <f>IF(H788="","待估算",IF(E788="已完成","已结束",IF(AND(ISNUMBER(F788),ISNUMBER(G788),F788&lt;=项目驾驶舱!$B$3,G788&gt;=项目驾驶舱!$B$3),"进行中","计划中")))</f>
        <v>计划中</v>
      </c>
      <c r="J788" s="6" t="str">
        <f>IF(I788="待估算",IF(OR(F788="/",G788="/",F788="",G788=""),"补充计划日期","补充投入工时"),IF(AND(G788&lt;项目驾驶舱!$B$3,E788&lt;&gt;"已完成"),"确认延期和后续安排","按计划跟踪"))</f>
        <v>确认延期和后续安排</v>
      </c>
      <c r="K788" s="8"/>
      <c r="L788" t="s">
        <v>65</v>
      </c>
    </row>
    <row r="789" spans="1:12">
      <c r="B789" s="6" t="str">
        <f>项目总控台账!A24</f>
        <v>T021</v>
      </c>
      <c r="C789" s="6" t="str">
        <f>IF(AND(项目总控台账!E24&lt;&gt;"",项目总控台账!E24&lt;&gt;"/"),项目总控台账!E24,IF(AND(项目总控台账!D24&lt;&gt;"",项目总控台账!D24&lt;&gt;"/"),项目总控台账!D24,项目总控台账!C24))</f>
        <v>外部客户确认</v>
      </c>
      <c r="D789" s="6" t="str">
        <f>项目总控台账!F24</f>
        <v>第二批次</v>
      </c>
      <c r="E789" s="6" t="str">
        <f>项目总控台账!G24</f>
        <v>进行中</v>
      </c>
      <c r="F789" s="17">
        <f>项目总控台账!N24</f>
        <v>46230</v>
      </c>
      <c r="G789" s="17">
        <f>项目总控台账!O24</f>
        <v>46241</v>
      </c>
      <c r="H789" s="70">
        <v>2</v>
      </c>
      <c r="I789" s="6" t="str">
        <f>IF(H789="","待估算",IF(E789="已完成","已结束",IF(AND(ISNUMBER(F789),ISNUMBER(G789),F789&lt;=项目驾驶舱!$B$3,G789&gt;=项目驾驶舱!$B$3),"进行中","计划中")))</f>
        <v>计划中</v>
      </c>
      <c r="J789" s="6" t="str">
        <f>IF(I789="待估算",IF(OR(F789="/",G789="/",F789="",G789=""),"补充计划日期","补充投入工时"),IF(AND(G789&lt;项目驾驶舱!$B$3,E789&lt;&gt;"已完成"),"确认延期和后续安排","按计划跟踪"))</f>
        <v>确认延期和后续安排</v>
      </c>
      <c r="K789" s="8"/>
      <c r="L789" t="s">
        <v>65</v>
      </c>
    </row>
    <row r="790" spans="1:12">
      <c r="B790" s="6" t="str">
        <f>项目总控台账!A25</f>
        <v>T022</v>
      </c>
      <c r="C790" s="6" t="str">
        <f>IF(AND(项目总控台账!E25&lt;&gt;"",项目总控台账!E25&lt;&gt;"/"),项目总控台账!E25,IF(AND(项目总控台账!D25&lt;&gt;"",项目总控台账!D25&lt;&gt;"/"),项目总控台账!D25,项目总控台账!C25))</f>
        <v>对接卸船作业信息</v>
      </c>
      <c r="D790" s="6" t="str">
        <f>项目总控台账!F25</f>
        <v>第二批次</v>
      </c>
      <c r="E790" s="6" t="str">
        <f>项目总控台账!G25</f>
        <v>未开始</v>
      </c>
      <c r="F790" s="17">
        <f>项目总控台账!N25</f>
        <v>46230</v>
      </c>
      <c r="G790" s="17">
        <f>项目总控台账!O25</f>
        <v>46241</v>
      </c>
      <c r="H790" s="70">
        <v>2</v>
      </c>
      <c r="I790" s="6" t="str">
        <f>IF(H790="","待估算",IF(E790="已完成","已结束",IF(AND(ISNUMBER(F790),ISNUMBER(G790),F790&lt;=项目驾驶舱!$B$3,G790&gt;=项目驾驶舱!$B$3),"进行中","计划中")))</f>
        <v>计划中</v>
      </c>
      <c r="J790" s="6" t="str">
        <f>IF(I790="待估算",IF(OR(F790="/",G790="/",F790="",G790=""),"补充计划日期","补充投入工时"),IF(AND(G790&lt;项目驾驶舱!$B$3,E790&lt;&gt;"已完成"),"确认延期和后续安排","按计划跟踪"))</f>
        <v>确认延期和后续安排</v>
      </c>
      <c r="K790" s="8"/>
      <c r="L790" t="s">
        <v>65</v>
      </c>
    </row>
    <row r="791" spans="1:12">
      <c r="B791" s="6" t="str">
        <f>项目总控台账!A26</f>
        <v>T023</v>
      </c>
      <c r="C791" s="6" t="str">
        <f>IF(AND(项目总控台账!E26&lt;&gt;"",项目总控台账!E26&lt;&gt;"/"),项目总控台账!E26,IF(AND(项目总控台账!D26&lt;&gt;"",项目总控台账!D26&lt;&gt;"/"),项目总控台账!D26,项目总控台账!C26))</f>
        <v>查询卸船作业信息</v>
      </c>
      <c r="D791" s="6" t="str">
        <f>项目总控台账!F26</f>
        <v>第二批次</v>
      </c>
      <c r="E791" s="6" t="str">
        <f>项目总控台账!G26</f>
        <v>未开始</v>
      </c>
      <c r="F791" s="17">
        <f>项目总控台账!N26</f>
        <v>46230</v>
      </c>
      <c r="G791" s="17">
        <f>项目总控台账!O26</f>
        <v>46241</v>
      </c>
      <c r="H791" s="70">
        <v>2</v>
      </c>
      <c r="I791" s="6" t="str">
        <f>IF(H791="","待估算",IF(E791="已完成","已结束",IF(AND(ISNUMBER(F791),ISNUMBER(G791),F791&lt;=项目驾驶舱!$B$3,G791&gt;=项目驾驶舱!$B$3),"进行中","计划中")))</f>
        <v>计划中</v>
      </c>
      <c r="J791" s="6" t="str">
        <f>IF(I791="待估算",IF(OR(F791="/",G791="/",F791="",G791=""),"补充计划日期","补充投入工时"),IF(AND(G791&lt;项目驾驶舱!$B$3,E791&lt;&gt;"已完成"),"确认延期和后续安排","按计划跟踪"))</f>
        <v>确认延期和后续安排</v>
      </c>
      <c r="K791" s="8"/>
      <c r="L791" t="s">
        <v>65</v>
      </c>
    </row>
    <row r="792" spans="1:12">
      <c r="B792" s="6" t="str">
        <f>项目总控台账!A27</f>
        <v>T024</v>
      </c>
      <c r="C792" s="6" t="str">
        <f>IF(AND(项目总控台账!E27&lt;&gt;"",项目总控台账!E27&lt;&gt;"/"),项目总控台账!E27,IF(AND(项目总控台账!D27&lt;&gt;"",项目总控台账!D27&lt;&gt;"/"),项目总控台账!D27,项目总控台账!C27))</f>
        <v>卸船查询列表</v>
      </c>
      <c r="D792" s="6" t="str">
        <f>项目总控台账!F27</f>
        <v>第二批次</v>
      </c>
      <c r="E792" s="6" t="str">
        <f>项目总控台账!G27</f>
        <v>未开始</v>
      </c>
      <c r="F792" s="17">
        <f>项目总控台账!N27</f>
        <v>46230</v>
      </c>
      <c r="G792" s="17">
        <f>项目总控台账!O27</f>
        <v>46241</v>
      </c>
      <c r="H792" s="70">
        <v>2</v>
      </c>
      <c r="I792" s="6" t="str">
        <f>IF(H792="","待估算",IF(E792="已完成","已结束",IF(AND(ISNUMBER(F792),ISNUMBER(G792),F792&lt;=项目驾驶舱!$B$3,G792&gt;=项目驾驶舱!$B$3),"进行中","计划中")))</f>
        <v>计划中</v>
      </c>
      <c r="J792" s="6" t="str">
        <f>IF(I792="待估算",IF(OR(F792="/",G792="/",F792="",G792=""),"补充计划日期","补充投入工时"),IF(AND(G792&lt;项目驾驶舱!$B$3,E792&lt;&gt;"已完成"),"确认延期和后续安排","按计划跟踪"))</f>
        <v>确认延期和后续安排</v>
      </c>
      <c r="K792" s="8"/>
      <c r="L792" t="s">
        <v>65</v>
      </c>
    </row>
    <row r="793" spans="1:12">
      <c r="A793" s="71"/>
      <c r="B793" s="6" t="str">
        <f>项目总控台账!A28</f>
        <v>T025</v>
      </c>
      <c r="C793" s="6" t="str">
        <f>IF(AND(项目总控台账!E28&lt;&gt;"",项目总控台账!E28&lt;&gt;"/"),项目总控台账!E28,IF(AND(项目总控台账!D28&lt;&gt;"",项目总控台账!D28&lt;&gt;"/"),项目总控台账!D28,项目总控台账!C28))</f>
        <v>卸船查询详情</v>
      </c>
      <c r="D793" s="6" t="str">
        <f>项目总控台账!F28</f>
        <v>第二批次</v>
      </c>
      <c r="E793" s="6" t="str">
        <f>项目总控台账!G28</f>
        <v>未开始</v>
      </c>
      <c r="F793" s="17">
        <f>项目总控台账!N28</f>
        <v>46230</v>
      </c>
      <c r="G793" s="17">
        <f>项目总控台账!O28</f>
        <v>46241</v>
      </c>
      <c r="H793" s="70">
        <v>2</v>
      </c>
      <c r="I793" s="6" t="str">
        <f>IF(H793="","待估算",IF(E793="已完成","已结束",IF(AND(ISNUMBER(F793),ISNUMBER(G793),F793&lt;=项目驾驶舱!$B$3,G793&gt;=项目驾驶舱!$B$3),"进行中","计划中")))</f>
        <v>计划中</v>
      </c>
      <c r="J793" s="6" t="str">
        <f>IF(I793="待估算",IF(OR(F793="/",G793="/",F793="",G793=""),"补充计划日期","补充投入工时"),IF(AND(G793&lt;项目驾驶舱!$B$3,E793&lt;&gt;"已完成"),"确认延期和后续安排","按计划跟踪"))</f>
        <v>确认延期和后续安排</v>
      </c>
      <c r="K793" s="8"/>
      <c r="L793" t="s">
        <v>65</v>
      </c>
    </row>
    <row r="794" spans="1:12">
      <c r="A794" s="72" t="s">
        <v>65</v>
      </c>
      <c r="B794" s="6" t="str">
        <f>项目总控台账!A29</f>
        <v>T026</v>
      </c>
      <c r="C794" s="6" t="str">
        <f>IF(AND(项目总控台账!E29&lt;&gt;"",项目总控台账!E29&lt;&gt;"/"),项目总控台账!E29,IF(AND(项目总控台账!D29&lt;&gt;"",项目总控台账!D29&lt;&gt;"/"),项目总控台账!D29,项目总控台账!C29))</f>
        <v>创建卸船作业委托信息</v>
      </c>
      <c r="D794" s="6" t="str">
        <f>项目总控台账!F29</f>
        <v>第二批次</v>
      </c>
      <c r="E794" s="6" t="str">
        <f>项目总控台账!G29</f>
        <v>进行中</v>
      </c>
      <c r="F794" s="17">
        <f>项目总控台账!N29</f>
        <v>46230</v>
      </c>
      <c r="G794" s="17">
        <f>项目总控台账!O29</f>
        <v>46241</v>
      </c>
      <c r="H794" s="70">
        <v>2</v>
      </c>
      <c r="I794" s="6" t="str">
        <f>IF(H794="","待估算",IF(E794="已完成","已结束",IF(AND(ISNUMBER(F794),ISNUMBER(G794),F794&lt;=项目驾驶舱!$B$3,G794&gt;=项目驾驶舱!$B$3),"进行中","计划中")))</f>
        <v>计划中</v>
      </c>
      <c r="J794" s="6" t="str">
        <f>IF(I794="待估算",IF(OR(F794="/",G794="/",F794="",G794=""),"补充计划日期","补充投入工时"),IF(AND(G794&lt;项目驾驶舱!$B$3,E794&lt;&gt;"已完成"),"确认延期和后续安排","按计划跟踪"))</f>
        <v>确认延期和后续安排</v>
      </c>
      <c r="K794" s="8"/>
      <c r="L794" t="s">
        <v>65</v>
      </c>
    </row>
    <row r="795" spans="1:12">
      <c r="B795" s="6" t="str">
        <f>项目总控台账!A30</f>
        <v>T027</v>
      </c>
      <c r="C795" s="6" t="str">
        <f>IF(AND(项目总控台账!E30&lt;&gt;"",项目总控台账!E30&lt;&gt;"/"),项目总控台账!E30,IF(AND(项目总控台账!D30&lt;&gt;"",项目总控台账!D30&lt;&gt;"/"),项目总控台账!D30,项目总控台账!C30))</f>
        <v>修改卸船作业委托信息</v>
      </c>
      <c r="D795" s="6" t="str">
        <f>项目总控台账!F30</f>
        <v>第二批次</v>
      </c>
      <c r="E795" s="6" t="str">
        <f>项目总控台账!G30</f>
        <v>进行中</v>
      </c>
      <c r="F795" s="17">
        <f>项目总控台账!N30</f>
        <v>46230</v>
      </c>
      <c r="G795" s="17">
        <f>项目总控台账!O30</f>
        <v>46241</v>
      </c>
      <c r="H795" s="70">
        <v>2</v>
      </c>
      <c r="I795" s="6" t="str">
        <f>IF(H795="","待估算",IF(E795="已完成","已结束",IF(AND(ISNUMBER(F795),ISNUMBER(G795),F795&lt;=项目驾驶舱!$B$3,G795&gt;=项目驾驶舱!$B$3),"进行中","计划中")))</f>
        <v>计划中</v>
      </c>
      <c r="J795" s="6" t="str">
        <f>IF(I795="待估算",IF(OR(F795="/",G795="/",F795="",G795=""),"补充计划日期","补充投入工时"),IF(AND(G795&lt;项目驾驶舱!$B$3,E795&lt;&gt;"已完成"),"确认延期和后续安排","按计划跟踪"))</f>
        <v>确认延期和后续安排</v>
      </c>
      <c r="K795" s="8"/>
      <c r="L795" t="s">
        <v>65</v>
      </c>
    </row>
    <row r="796" spans="1:12">
      <c r="B796" s="6" t="str">
        <f>项目总控台账!A31</f>
        <v>T028</v>
      </c>
      <c r="C796" s="6" t="str">
        <f>IF(AND(项目总控台账!E31&lt;&gt;"",项目总控台账!E31&lt;&gt;"/"),项目总控台账!E31,IF(AND(项目总控台账!D31&lt;&gt;"",项目总控台账!D31&lt;&gt;"/"),项目总控台账!D31,项目总控台账!C31))</f>
        <v>作废卸船作业委托信息</v>
      </c>
      <c r="D796" s="6" t="str">
        <f>项目总控台账!F31</f>
        <v>第二批次</v>
      </c>
      <c r="E796" s="6" t="str">
        <f>项目总控台账!G31</f>
        <v>进行中</v>
      </c>
      <c r="F796" s="17">
        <f>项目总控台账!N31</f>
        <v>46230</v>
      </c>
      <c r="G796" s="17">
        <f>项目总控台账!O31</f>
        <v>46241</v>
      </c>
      <c r="H796" s="70">
        <v>2</v>
      </c>
      <c r="I796" s="6" t="str">
        <f>IF(H796="","待估算",IF(E796="已完成","已结束",IF(AND(ISNUMBER(F796),ISNUMBER(G796),F796&lt;=项目驾驶舱!$B$3,G796&gt;=项目驾驶舱!$B$3),"进行中","计划中")))</f>
        <v>计划中</v>
      </c>
      <c r="J796" s="6" t="str">
        <f>IF(I796="待估算",IF(OR(F796="/",G796="/",F796="",G796=""),"补充计划日期","补充投入工时"),IF(AND(G796&lt;项目驾驶舱!$B$3,E796&lt;&gt;"已完成"),"确认延期和后续安排","按计划跟踪"))</f>
        <v>确认延期和后续安排</v>
      </c>
      <c r="K796" s="8"/>
      <c r="L796" t="s">
        <v>65</v>
      </c>
    </row>
    <row r="797" spans="1:12">
      <c r="B797" s="6" t="str">
        <f>项目总控台账!A32</f>
        <v>T029</v>
      </c>
      <c r="C797" s="6" t="str">
        <f>IF(AND(项目总控台账!E32&lt;&gt;"",项目总控台账!E32&lt;&gt;"/"),项目总控台账!E32,IF(AND(项目总控台账!D32&lt;&gt;"",项目总控台账!D32&lt;&gt;"/"),项目总控台账!D32,项目总控台账!C32))</f>
        <v>推送卸船作业委托信息</v>
      </c>
      <c r="D797" s="6" t="str">
        <f>项目总控台账!F32</f>
        <v>第二批次</v>
      </c>
      <c r="E797" s="6" t="str">
        <f>项目总控台账!G32</f>
        <v>进行中</v>
      </c>
      <c r="F797" s="17">
        <f>项目总控台账!N32</f>
        <v>46230</v>
      </c>
      <c r="G797" s="17">
        <f>项目总控台账!O32</f>
        <v>46241</v>
      </c>
      <c r="H797" s="70">
        <v>2</v>
      </c>
      <c r="I797" s="6" t="str">
        <f>IF(H797="","待估算",IF(E797="已完成","已结束",IF(AND(ISNUMBER(F797),ISNUMBER(G797),F797&lt;=项目驾驶舱!$B$3,G797&gt;=项目驾驶舱!$B$3),"进行中","计划中")))</f>
        <v>计划中</v>
      </c>
      <c r="J797" s="6" t="str">
        <f>IF(I797="待估算",IF(OR(F797="/",G797="/",F797="",G797=""),"补充计划日期","补充投入工时"),IF(AND(G797&lt;项目驾驶舱!$B$3,E797&lt;&gt;"已完成"),"确认延期和后续安排","按计划跟踪"))</f>
        <v>确认延期和后续安排</v>
      </c>
      <c r="K797" s="8"/>
      <c r="L797" t="s">
        <v>65</v>
      </c>
    </row>
    <row r="798" spans="1:12">
      <c r="B798" s="6" t="str">
        <f>项目总控台账!A33</f>
        <v>T030</v>
      </c>
      <c r="C798" s="6" t="str">
        <f>IF(AND(项目总控台账!E33&lt;&gt;"",项目总控台账!E33&lt;&gt;"/"),项目总控台账!E33,IF(AND(项目总控台账!D33&lt;&gt;"",项目总控台账!D33&lt;&gt;"/"),项目总控台账!D33,项目总控台账!C33))</f>
        <v>查询卸船作业委托信息</v>
      </c>
      <c r="D798" s="6" t="str">
        <f>项目总控台账!F33</f>
        <v>第二批次</v>
      </c>
      <c r="E798" s="6" t="str">
        <f>项目总控台账!G33</f>
        <v>进行中</v>
      </c>
      <c r="F798" s="17">
        <f>项目总控台账!N33</f>
        <v>46230</v>
      </c>
      <c r="G798" s="17">
        <f>项目总控台账!O33</f>
        <v>46241</v>
      </c>
      <c r="H798" s="70">
        <v>2</v>
      </c>
      <c r="I798" s="6" t="str">
        <f>IF(H798="","待估算",IF(E798="已完成","已结束",IF(AND(ISNUMBER(F798),ISNUMBER(G798),F798&lt;=项目驾驶舱!$B$3,G798&gt;=项目驾驶舱!$B$3),"进行中","计划中")))</f>
        <v>计划中</v>
      </c>
      <c r="J798" s="6" t="str">
        <f>IF(I798="待估算",IF(OR(F798="/",G798="/",F798="",G798=""),"补充计划日期","补充投入工时"),IF(AND(G798&lt;项目驾驶舱!$B$3,E798&lt;&gt;"已完成"),"确认延期和后续安排","按计划跟踪"))</f>
        <v>确认延期和后续安排</v>
      </c>
      <c r="K798" s="8"/>
      <c r="L798" t="s">
        <v>65</v>
      </c>
    </row>
    <row r="799" spans="1:12">
      <c r="B799" s="6" t="str">
        <f>项目总控台账!A34</f>
        <v>T031</v>
      </c>
      <c r="C799" s="6" t="str">
        <f>IF(AND(项目总控台账!E34&lt;&gt;"",项目总控台账!E34&lt;&gt;"/"),项目总控台账!E34,IF(AND(项目总控台账!D34&lt;&gt;"",项目总控台账!D34&lt;&gt;"/"),项目总控台账!D34,项目总控台账!C34))</f>
        <v>创建外轮转内贸业务信息</v>
      </c>
      <c r="D799" s="6" t="str">
        <f>项目总控台账!F34</f>
        <v>第二批次</v>
      </c>
      <c r="E799" s="6" t="str">
        <f>项目总控台账!G34</f>
        <v>未开始</v>
      </c>
      <c r="F799" s="17">
        <f>项目总控台账!N34</f>
        <v>46230</v>
      </c>
      <c r="G799" s="17">
        <f>项目总控台账!O34</f>
        <v>46241</v>
      </c>
      <c r="H799" s="70">
        <v>2</v>
      </c>
      <c r="I799" s="6" t="str">
        <f>IF(H799="","待估算",IF(E799="已完成","已结束",IF(AND(ISNUMBER(F799),ISNUMBER(G799),F799&lt;=项目驾驶舱!$B$3,G799&gt;=项目驾驶舱!$B$3),"进行中","计划中")))</f>
        <v>计划中</v>
      </c>
      <c r="J799" s="6" t="str">
        <f>IF(I799="待估算",IF(OR(F799="/",G799="/",F799="",G799=""),"补充计划日期","补充投入工时"),IF(AND(G799&lt;项目驾驶舱!$B$3,E799&lt;&gt;"已完成"),"确认延期和后续安排","按计划跟踪"))</f>
        <v>确认延期和后续安排</v>
      </c>
      <c r="K799" s="8"/>
      <c r="L799" t="s">
        <v>65</v>
      </c>
    </row>
    <row r="800" spans="1:12">
      <c r="B800" s="6" t="str">
        <f>项目总控台账!A35</f>
        <v>T032</v>
      </c>
      <c r="C800" s="6" t="str">
        <f>IF(AND(项目总控台账!E35&lt;&gt;"",项目总控台账!E35&lt;&gt;"/"),项目总控台账!E35,IF(AND(项目总控台账!D35&lt;&gt;"",项目总控台账!D35&lt;&gt;"/"),项目总控台账!D35,项目总控台账!C35))</f>
        <v>作废外轮转内贸业务信息</v>
      </c>
      <c r="D800" s="6" t="str">
        <f>项目总控台账!F35</f>
        <v>第二批次</v>
      </c>
      <c r="E800" s="6" t="str">
        <f>项目总控台账!G35</f>
        <v>未开始</v>
      </c>
      <c r="F800" s="17">
        <f>项目总控台账!N35</f>
        <v>46230</v>
      </c>
      <c r="G800" s="17">
        <f>项目总控台账!O35</f>
        <v>46241</v>
      </c>
      <c r="H800" s="70">
        <v>2</v>
      </c>
      <c r="I800" s="6" t="str">
        <f>IF(H800="","待估算",IF(E800="已完成","已结束",IF(AND(ISNUMBER(F800),ISNUMBER(G800),F800&lt;=项目驾驶舱!$B$3,G800&gt;=项目驾驶舱!$B$3),"进行中","计划中")))</f>
        <v>计划中</v>
      </c>
      <c r="J800" s="6" t="str">
        <f>IF(I800="待估算",IF(OR(F800="/",G800="/",F800="",G800=""),"补充计划日期","补充投入工时"),IF(AND(G800&lt;项目驾驶舱!$B$3,E800&lt;&gt;"已完成"),"确认延期和后续安排","按计划跟踪"))</f>
        <v>确认延期和后续安排</v>
      </c>
      <c r="K800" s="8"/>
      <c r="L800" t="s">
        <v>65</v>
      </c>
    </row>
    <row r="801" spans="1:12">
      <c r="B801" s="6" t="str">
        <f>项目总控台账!A36</f>
        <v>T033</v>
      </c>
      <c r="C801" s="6" t="str">
        <f>IF(AND(项目总控台账!E36&lt;&gt;"",项目总控台账!E36&lt;&gt;"/"),项目总控台账!E36,IF(AND(项目总控台账!D36&lt;&gt;"",项目总控台账!D36&lt;&gt;"/"),项目总控台账!D36,项目总控台账!C36))</f>
        <v>查询外轮转内贸业务信息</v>
      </c>
      <c r="D801" s="6" t="str">
        <f>项目总控台账!F36</f>
        <v>第二批次</v>
      </c>
      <c r="E801" s="6" t="str">
        <f>项目总控台账!G36</f>
        <v>未开始</v>
      </c>
      <c r="F801" s="17">
        <f>项目总控台账!N36</f>
        <v>46230</v>
      </c>
      <c r="G801" s="17">
        <f>项目总控台账!O36</f>
        <v>46241</v>
      </c>
      <c r="H801" s="70">
        <v>2</v>
      </c>
      <c r="I801" s="6" t="str">
        <f>IF(H801="","待估算",IF(E801="已完成","已结束",IF(AND(ISNUMBER(F801),ISNUMBER(G801),F801&lt;=项目驾驶舱!$B$3,G801&gt;=项目驾驶舱!$B$3),"进行中","计划中")))</f>
        <v>计划中</v>
      </c>
      <c r="J801" s="6" t="str">
        <f>IF(I801="待估算",IF(OR(F801="/",G801="/",F801="",G801=""),"补充计划日期","补充投入工时"),IF(AND(G801&lt;项目驾驶舱!$B$3,E801&lt;&gt;"已完成"),"确认延期和后续安排","按计划跟踪"))</f>
        <v>确认延期和后续安排</v>
      </c>
      <c r="K801" s="8"/>
      <c r="L801" t="s">
        <v>65</v>
      </c>
    </row>
    <row r="802" spans="1:12">
      <c r="B802" s="6" t="str">
        <f>项目总控台账!A37</f>
        <v>T034</v>
      </c>
      <c r="C802" s="6" t="str">
        <f>IF(AND(项目总控台账!E37&lt;&gt;"",项目总控台账!E37&lt;&gt;"/"),项目总控台账!E37,IF(AND(项目总控台账!D37&lt;&gt;"",项目总控台账!D37&lt;&gt;"/"),项目总控台账!D37,项目总控台账!C37))</f>
        <v>新增船舶靠泊通知单</v>
      </c>
      <c r="D802" s="6" t="str">
        <f>项目总控台账!F37</f>
        <v>第二批次</v>
      </c>
      <c r="E802" s="6" t="str">
        <f>项目总控台账!G37</f>
        <v>进行中</v>
      </c>
      <c r="F802" s="17">
        <f>项目总控台账!N37</f>
        <v>46230</v>
      </c>
      <c r="G802" s="17">
        <f>项目总控台账!O37</f>
        <v>46241</v>
      </c>
      <c r="H802" s="70">
        <v>2</v>
      </c>
      <c r="I802" s="6" t="str">
        <f>IF(H802="","待估算",IF(E802="已完成","已结束",IF(AND(ISNUMBER(F802),ISNUMBER(G802),F802&lt;=项目驾驶舱!$B$3,G802&gt;=项目驾驶舱!$B$3),"进行中","计划中")))</f>
        <v>计划中</v>
      </c>
      <c r="J802" s="6" t="str">
        <f>IF(I802="待估算",IF(OR(F802="/",G802="/",F802="",G802=""),"补充计划日期","补充投入工时"),IF(AND(G802&lt;项目驾驶舱!$B$3,E802&lt;&gt;"已完成"),"确认延期和后续安排","按计划跟踪"))</f>
        <v>确认延期和后续安排</v>
      </c>
      <c r="K802" s="8"/>
      <c r="L802" t="s">
        <v>65</v>
      </c>
    </row>
    <row r="803" spans="1:12">
      <c r="B803" s="6" t="str">
        <f>项目总控台账!A38</f>
        <v>T035</v>
      </c>
      <c r="C803" s="6" t="str">
        <f>IF(AND(项目总控台账!E38&lt;&gt;"",项目总控台账!E38&lt;&gt;"/"),项目总控台账!E38,IF(AND(项目总控台账!D38&lt;&gt;"",项目总控台账!D38&lt;&gt;"/"),项目总控台账!D38,项目总控台账!C38))</f>
        <v>审批船舶靠泊通知单</v>
      </c>
      <c r="D803" s="6" t="str">
        <f>项目总控台账!F38</f>
        <v>第二批次</v>
      </c>
      <c r="E803" s="6" t="str">
        <f>项目总控台账!G38</f>
        <v>进行中</v>
      </c>
      <c r="F803" s="17">
        <f>项目总控台账!N38</f>
        <v>46230</v>
      </c>
      <c r="G803" s="17">
        <f>项目总控台账!O38</f>
        <v>46241</v>
      </c>
      <c r="H803" s="70">
        <v>2</v>
      </c>
      <c r="I803" s="6" t="str">
        <f>IF(H803="","待估算",IF(E803="已完成","已结束",IF(AND(ISNUMBER(F803),ISNUMBER(G803),F803&lt;=项目驾驶舱!$B$3,G803&gt;=项目驾驶舱!$B$3),"进行中","计划中")))</f>
        <v>计划中</v>
      </c>
      <c r="J803" s="6" t="str">
        <f>IF(I803="待估算",IF(OR(F803="/",G803="/",F803="",G803=""),"补充计划日期","补充投入工时"),IF(AND(G803&lt;项目驾驶舱!$B$3,E803&lt;&gt;"已完成"),"确认延期和后续安排","按计划跟踪"))</f>
        <v>确认延期和后续安排</v>
      </c>
      <c r="K803" s="8"/>
      <c r="L803" t="s">
        <v>65</v>
      </c>
    </row>
    <row r="804" spans="1:12">
      <c r="B804" s="6" t="str">
        <f>项目总控台账!A39</f>
        <v>T036</v>
      </c>
      <c r="C804" s="6" t="str">
        <f>IF(AND(项目总控台账!E39&lt;&gt;"",项目总控台账!E39&lt;&gt;"/"),项目总控台账!E39,IF(AND(项目总控台账!D39&lt;&gt;"",项目总控台账!D39&lt;&gt;"/"),项目总控台账!D39,项目总控台账!C39))</f>
        <v>查询船舶靠泊通知单</v>
      </c>
      <c r="D804" s="6" t="str">
        <f>项目总控台账!F39</f>
        <v>第二批次</v>
      </c>
      <c r="E804" s="6" t="str">
        <f>项目总控台账!G39</f>
        <v>进行中</v>
      </c>
      <c r="F804" s="17">
        <f>项目总控台账!N39</f>
        <v>46230</v>
      </c>
      <c r="G804" s="17">
        <f>项目总控台账!O39</f>
        <v>46241</v>
      </c>
      <c r="H804" s="70">
        <v>2</v>
      </c>
      <c r="I804" s="6" t="str">
        <f>IF(H804="","待估算",IF(E804="已完成","已结束",IF(AND(ISNUMBER(F804),ISNUMBER(G804),F804&lt;=项目驾驶舱!$B$3,G804&gt;=项目驾驶舱!$B$3),"进行中","计划中")))</f>
        <v>计划中</v>
      </c>
      <c r="J804" s="6" t="str">
        <f>IF(I804="待估算",IF(OR(F804="/",G804="/",F804="",G804=""),"补充计划日期","补充投入工时"),IF(AND(G804&lt;项目驾驶舱!$B$3,E804&lt;&gt;"已完成"),"确认延期和后续安排","按计划跟踪"))</f>
        <v>确认延期和后续安排</v>
      </c>
      <c r="K804" s="8"/>
      <c r="L804" t="s">
        <v>65</v>
      </c>
    </row>
    <row r="805" spans="1:12">
      <c r="A805" s="71"/>
      <c r="B805" s="6" t="str">
        <f>项目总控台账!A49</f>
        <v>T046</v>
      </c>
      <c r="C805" s="6" t="str">
        <f>IF(AND(项目总控台账!E49&lt;&gt;"",项目总控台账!E49&lt;&gt;"/"),项目总控台账!E49,IF(AND(项目总控台账!D49&lt;&gt;"",项目总控台账!D49&lt;&gt;"/"),项目总控台账!D49,项目总控台账!C49))</f>
        <v>新增船舶预到（外贸）</v>
      </c>
      <c r="D805" s="6" t="str">
        <f>项目总控台账!F49</f>
        <v>第二批次</v>
      </c>
      <c r="E805" s="6" t="str">
        <f>项目总控台账!G49</f>
        <v>已完成</v>
      </c>
      <c r="F805" s="17">
        <f>项目总控台账!N49</f>
        <v>46230</v>
      </c>
      <c r="G805" s="17">
        <f>项目总控台账!O49</f>
        <v>46241</v>
      </c>
      <c r="H805" s="70">
        <v>2</v>
      </c>
      <c r="I805" s="6" t="str">
        <f>IF(H805="","待估算",IF(E805="已完成","已结束",IF(AND(ISNUMBER(F805),ISNUMBER(G805),F805&lt;=项目驾驶舱!$B$3,G805&gt;=项目驾驶舱!$B$3),"进行中","计划中")))</f>
        <v>已结束</v>
      </c>
      <c r="J805" s="6" t="str">
        <f>IF(I805="待估算",IF(OR(F805="/",G805="/",F805="",G805=""),"补充计划日期","补充投入工时"),IF(AND(G805&lt;项目驾驶舱!$B$3,E805&lt;&gt;"已完成"),"确认延期和后续安排","按计划跟踪"))</f>
        <v>按计划跟踪</v>
      </c>
      <c r="K805" s="8"/>
      <c r="L805" t="s">
        <v>65</v>
      </c>
    </row>
    <row r="806" spans="1:12">
      <c r="A806" s="72" t="s">
        <v>65</v>
      </c>
      <c r="B806" s="6" t="str">
        <f>项目总控台账!A50</f>
        <v>T047</v>
      </c>
      <c r="C806" s="6" t="str">
        <f>IF(AND(项目总控台账!E50&lt;&gt;"",项目总控台账!E50&lt;&gt;"/"),项目总控台账!E50,IF(AND(项目总控台账!D50&lt;&gt;"",项目总控台账!D50&lt;&gt;"/"),项目总控台账!D50,项目总控台账!C50))</f>
        <v>退回船舶预到（外贸）</v>
      </c>
      <c r="D806" s="6" t="str">
        <f>项目总控台账!F50</f>
        <v>第二批次</v>
      </c>
      <c r="E806" s="6" t="str">
        <f>项目总控台账!G50</f>
        <v>未开始</v>
      </c>
      <c r="F806" s="17">
        <f>项目总控台账!N50</f>
        <v>46230</v>
      </c>
      <c r="G806" s="17">
        <f>项目总控台账!O50</f>
        <v>46241</v>
      </c>
      <c r="H806" s="70">
        <v>2</v>
      </c>
      <c r="I806" s="6" t="str">
        <f>IF(H806="","待估算",IF(E806="已完成","已结束",IF(AND(ISNUMBER(F806),ISNUMBER(G806),F806&lt;=项目驾驶舱!$B$3,G806&gt;=项目驾驶舱!$B$3),"进行中","计划中")))</f>
        <v>计划中</v>
      </c>
      <c r="J806" s="6" t="str">
        <f>IF(I806="待估算",IF(OR(F806="/",G806="/",F806="",G806=""),"补充计划日期","补充投入工时"),IF(AND(G806&lt;项目驾驶舱!$B$3,E806&lt;&gt;"已完成"),"确认延期和后续安排","按计划跟踪"))</f>
        <v>确认延期和后续安排</v>
      </c>
      <c r="K806" s="8"/>
      <c r="L806" t="s">
        <v>65</v>
      </c>
    </row>
    <row r="807" spans="1:12">
      <c r="B807" s="6" t="str">
        <f>项目总控台账!A51</f>
        <v>T048</v>
      </c>
      <c r="C807" s="6" t="str">
        <f>IF(AND(项目总控台账!E51&lt;&gt;"",项目总控台账!E51&lt;&gt;"/"),项目总控台账!E51,IF(AND(项目总控台账!D51&lt;&gt;"",项目总控台账!D51&lt;&gt;"/"),项目总控台账!D51,项目总控台账!C51))</f>
        <v>退回船舶预到（外贸）</v>
      </c>
      <c r="D807" s="6" t="str">
        <f>项目总控台账!F51</f>
        <v>第二批次</v>
      </c>
      <c r="E807" s="6" t="str">
        <f>项目总控台账!G51</f>
        <v>未开始</v>
      </c>
      <c r="F807" s="17">
        <f>项目总控台账!N51</f>
        <v>46230</v>
      </c>
      <c r="G807" s="17">
        <f>项目总控台账!O51</f>
        <v>46241</v>
      </c>
      <c r="H807" s="70">
        <v>2</v>
      </c>
      <c r="I807" s="6" t="str">
        <f>IF(H807="","待估算",IF(E807="已完成","已结束",IF(AND(ISNUMBER(F807),ISNUMBER(G807),F807&lt;=项目驾驶舱!$B$3,G807&gt;=项目驾驶舱!$B$3),"进行中","计划中")))</f>
        <v>计划中</v>
      </c>
      <c r="J807" s="6" t="str">
        <f>IF(I807="待估算",IF(OR(F807="/",G807="/",F807="",G807=""),"补充计划日期","补充投入工时"),IF(AND(G807&lt;项目驾驶舱!$B$3,E807&lt;&gt;"已完成"),"确认延期和后续安排","按计划跟踪"))</f>
        <v>确认延期和后续安排</v>
      </c>
      <c r="K807" s="8"/>
      <c r="L807" t="s">
        <v>65</v>
      </c>
    </row>
    <row r="808" spans="1:12">
      <c r="B808" s="6" t="str">
        <f>项目总控台账!A52</f>
        <v>T049</v>
      </c>
      <c r="C808" s="6" t="str">
        <f>IF(AND(项目总控台账!E52&lt;&gt;"",项目总控台账!E52&lt;&gt;"/"),项目总控台账!E52,IF(AND(项目总控台账!D52&lt;&gt;"",项目总控台账!D52&lt;&gt;"/"),项目总控台账!D52,项目总控台账!C52))</f>
        <v>申请采样申请（外贸）</v>
      </c>
      <c r="D808" s="6" t="str">
        <f>项目总控台账!F52</f>
        <v>第二批次</v>
      </c>
      <c r="E808" s="6" t="str">
        <f>项目总控台账!G52</f>
        <v>已完成</v>
      </c>
      <c r="F808" s="17">
        <f>项目总控台账!N52</f>
        <v>46230</v>
      </c>
      <c r="G808" s="17">
        <f>项目总控台账!O52</f>
        <v>46241</v>
      </c>
      <c r="H808" s="70">
        <v>2</v>
      </c>
      <c r="I808" s="6" t="str">
        <f>IF(H808="","待估算",IF(E808="已完成","已结束",IF(AND(ISNUMBER(F808),ISNUMBER(G808),F808&lt;=项目驾驶舱!$B$3,G808&gt;=项目驾驶舱!$B$3),"进行中","计划中")))</f>
        <v>已结束</v>
      </c>
      <c r="J808" s="6" t="str">
        <f>IF(I808="待估算",IF(OR(F808="/",G808="/",F808="",G808=""),"补充计划日期","补充投入工时"),IF(AND(G808&lt;项目驾驶舱!$B$3,E808&lt;&gt;"已完成"),"确认延期和后续安排","按计划跟踪"))</f>
        <v>按计划跟踪</v>
      </c>
      <c r="K808" s="8"/>
      <c r="L808" t="s">
        <v>65</v>
      </c>
    </row>
    <row r="809" spans="1:12">
      <c r="B809" s="6" t="str">
        <f>项目总控台账!A62</f>
        <v>T059</v>
      </c>
      <c r="C809" s="6" t="str">
        <f>IF(AND(项目总控台账!E62&lt;&gt;"",项目总控台账!E62&lt;&gt;"/"),项目总控台账!E62,IF(AND(项目总控台账!D62&lt;&gt;"",项目总控台账!D62&lt;&gt;"/"),项目总控台账!D62,项目总控台账!C62))</f>
        <v>优化新增装车作业信息</v>
      </c>
      <c r="D809" s="6" t="str">
        <f>项目总控台账!F62</f>
        <v>第一批次</v>
      </c>
      <c r="E809" s="6" t="str">
        <f>项目总控台账!G62</f>
        <v>已完成</v>
      </c>
      <c r="F809" s="17">
        <f>项目总控台账!N62</f>
        <v>46230</v>
      </c>
      <c r="G809" s="17">
        <f>项目总控台账!O62</f>
        <v>46241</v>
      </c>
      <c r="H809" s="70">
        <v>2</v>
      </c>
      <c r="I809" s="6" t="str">
        <f>IF(H809="","待估算",IF(E809="已完成","已结束",IF(AND(ISNUMBER(F809),ISNUMBER(G809),F809&lt;=项目驾驶舱!$B$3,G809&gt;=项目驾驶舱!$B$3),"进行中","计划中")))</f>
        <v>已结束</v>
      </c>
      <c r="J809" s="6" t="str">
        <f>IF(I809="待估算",IF(OR(F809="/",G809="/",F809="",G809=""),"补充计划日期","补充投入工时"),IF(AND(G809&lt;项目驾驶舱!$B$3,E809&lt;&gt;"已完成"),"确认延期和后续安排","按计划跟踪"))</f>
        <v>按计划跟踪</v>
      </c>
      <c r="K809" s="8"/>
      <c r="L809" t="s">
        <v>65</v>
      </c>
    </row>
    <row r="810" spans="1:12">
      <c r="B810" s="6" t="str">
        <f>项目总控台账!A84</f>
        <v>T081</v>
      </c>
      <c r="C810" s="6" t="str">
        <f>IF(AND(项目总控台账!E84&lt;&gt;"",项目总控台账!E84&lt;&gt;"/"),项目总控台账!E84,IF(AND(项目总控台账!D84&lt;&gt;"",项目总控台账!D84&lt;&gt;"/"),项目总控台账!D84,项目总控台账!C84))</f>
        <v>数据对接</v>
      </c>
      <c r="D810" s="6" t="str">
        <f>项目总控台账!F84</f>
        <v>第二批次</v>
      </c>
      <c r="E810" s="6" t="str">
        <f>项目总控台账!G84</f>
        <v>未开始</v>
      </c>
      <c r="F810" s="17">
        <f>项目总控台账!N84</f>
        <v>46230</v>
      </c>
      <c r="G810" s="17">
        <f>项目总控台账!O84</f>
        <v>46241</v>
      </c>
      <c r="H810" s="70">
        <v>2</v>
      </c>
      <c r="I810" s="6" t="str">
        <f>IF(H810="","待估算",IF(E810="已完成","已结束",IF(AND(ISNUMBER(F810),ISNUMBER(G810),F810&lt;=项目驾驶舱!$B$3,G810&gt;=项目驾驶舱!$B$3),"进行中","计划中")))</f>
        <v>计划中</v>
      </c>
      <c r="J810" s="6" t="str">
        <f>IF(I810="待估算",IF(OR(F810="/",G810="/",F810="",G810=""),"补充计划日期","补充投入工时"),IF(AND(G810&lt;项目驾驶舱!$B$3,E810&lt;&gt;"已完成"),"确认延期和后续安排","按计划跟踪"))</f>
        <v>确认延期和后续安排</v>
      </c>
      <c r="K810" s="8"/>
      <c r="L810" t="s">
        <v>65</v>
      </c>
    </row>
    <row r="811" spans="1:12">
      <c r="B811" s="6" t="str">
        <f>项目总控台账!A85</f>
        <v>T082</v>
      </c>
      <c r="C811" s="6" t="str">
        <f>IF(AND(项目总控台账!E85&lt;&gt;"",项目总控台账!E85&lt;&gt;"/"),项目总控台账!E85,IF(AND(项目总控台账!D85&lt;&gt;"",项目总控台账!D85&lt;&gt;"/"),项目总控台账!D85,项目总控台账!C85))</f>
        <v>数据展示</v>
      </c>
      <c r="D811" s="6" t="str">
        <f>项目总控台账!F85</f>
        <v>第二批次</v>
      </c>
      <c r="E811" s="6" t="str">
        <f>项目总控台账!G85</f>
        <v>未开始</v>
      </c>
      <c r="F811" s="17">
        <f>项目总控台账!N85</f>
        <v>46230</v>
      </c>
      <c r="G811" s="17">
        <f>项目总控台账!O85</f>
        <v>46241</v>
      </c>
      <c r="H811" s="70">
        <v>2</v>
      </c>
      <c r="I811" s="6" t="str">
        <f>IF(H811="","待估算",IF(E811="已完成","已结束",IF(AND(ISNUMBER(F811),ISNUMBER(G811),F811&lt;=项目驾驶舱!$B$3,G811&gt;=项目驾驶舱!$B$3),"进行中","计划中")))</f>
        <v>计划中</v>
      </c>
      <c r="J811" s="6" t="str">
        <f>IF(I811="待估算",IF(OR(F811="/",G811="/",F811="",G811=""),"补充计划日期","补充投入工时"),IF(AND(G811&lt;项目驾驶舱!$B$3,E811&lt;&gt;"已完成"),"确认延期和后续安排","按计划跟踪"))</f>
        <v>确认延期和后续安排</v>
      </c>
      <c r="K811" s="8"/>
      <c r="L811" t="s">
        <v>65</v>
      </c>
    </row>
    <row r="812" spans="1:12">
      <c r="B812" s="6" t="str">
        <f>项目总控台账!A86</f>
        <v>T083</v>
      </c>
      <c r="C812" s="6" t="str">
        <f>IF(AND(项目总控台账!E86&lt;&gt;"",项目总控台账!E86&lt;&gt;"/"),项目总控台账!E86,IF(AND(项目总控台账!D86&lt;&gt;"",项目总控台账!D86&lt;&gt;"/"),项目总控台账!D86,项目总控台账!C86))</f>
        <v>数据对接</v>
      </c>
      <c r="D812" s="6" t="str">
        <f>项目总控台账!F86</f>
        <v>第二批次</v>
      </c>
      <c r="E812" s="6" t="str">
        <f>项目总控台账!G86</f>
        <v>未开始</v>
      </c>
      <c r="F812" s="17">
        <f>项目总控台账!N86</f>
        <v>46230</v>
      </c>
      <c r="G812" s="17">
        <f>项目总控台账!O86</f>
        <v>46241</v>
      </c>
      <c r="H812" s="70">
        <v>2</v>
      </c>
      <c r="I812" s="6" t="str">
        <f>IF(H812="","待估算",IF(E812="已完成","已结束",IF(AND(ISNUMBER(F812),ISNUMBER(G812),F812&lt;=项目驾驶舱!$B$3,G812&gt;=项目驾驶舱!$B$3),"进行中","计划中")))</f>
        <v>计划中</v>
      </c>
      <c r="J812" s="6" t="str">
        <f>IF(I812="待估算",IF(OR(F812="/",G812="/",F812="",G812=""),"补充计划日期","补充投入工时"),IF(AND(G812&lt;项目驾驶舱!$B$3,E812&lt;&gt;"已完成"),"确认延期和后续安排","按计划跟踪"))</f>
        <v>确认延期和后续安排</v>
      </c>
      <c r="K812" s="8"/>
      <c r="L812" t="s">
        <v>65</v>
      </c>
    </row>
    <row r="813" spans="1:12">
      <c r="B813" s="6" t="str">
        <f>项目总控台账!A87</f>
        <v>T084</v>
      </c>
      <c r="C813" s="6" t="str">
        <f>IF(AND(项目总控台账!E87&lt;&gt;"",项目总控台账!E87&lt;&gt;"/"),项目总控台账!E87,IF(AND(项目总控台账!D87&lt;&gt;"",项目总控台账!D87&lt;&gt;"/"),项目总控台账!D87,项目总控台账!C87))</f>
        <v>数据产生</v>
      </c>
      <c r="D813" s="6" t="str">
        <f>项目总控台账!F87</f>
        <v>第二批次</v>
      </c>
      <c r="E813" s="6" t="str">
        <f>项目总控台账!G87</f>
        <v>未开始</v>
      </c>
      <c r="F813" s="17">
        <f>项目总控台账!N87</f>
        <v>46230</v>
      </c>
      <c r="G813" s="17">
        <f>项目总控台账!O87</f>
        <v>46241</v>
      </c>
      <c r="H813" s="70">
        <v>2</v>
      </c>
      <c r="I813" s="6" t="str">
        <f>IF(H813="","待估算",IF(E813="已完成","已结束",IF(AND(ISNUMBER(F813),ISNUMBER(G813),F813&lt;=项目驾驶舱!$B$3,G813&gt;=项目驾驶舱!$B$3),"进行中","计划中")))</f>
        <v>计划中</v>
      </c>
      <c r="J813" s="6" t="str">
        <f>IF(I813="待估算",IF(OR(F813="/",G813="/",F813="",G813=""),"补充计划日期","补充投入工时"),IF(AND(G813&lt;项目驾驶舱!$B$3,E813&lt;&gt;"已完成"),"确认延期和后续安排","按计划跟踪"))</f>
        <v>确认延期和后续安排</v>
      </c>
      <c r="K813" s="8"/>
      <c r="L813" t="s">
        <v>65</v>
      </c>
    </row>
    <row r="814" spans="1:12">
      <c r="B814" s="6" t="str">
        <f>项目总控台账!A88</f>
        <v>T085</v>
      </c>
      <c r="C814" s="6" t="str">
        <f>IF(AND(项目总控台账!E88&lt;&gt;"",项目总控台账!E88&lt;&gt;"/"),项目总控台账!E88,IF(AND(项目总控台账!D88&lt;&gt;"",项目总控台账!D88&lt;&gt;"/"),项目总控台账!D88,项目总控台账!C88))</f>
        <v>数据对接</v>
      </c>
      <c r="D814" s="6" t="str">
        <f>项目总控台账!F88</f>
        <v>第二批次</v>
      </c>
      <c r="E814" s="6" t="str">
        <f>项目总控台账!G88</f>
        <v>未开始</v>
      </c>
      <c r="F814" s="17">
        <f>项目总控台账!N88</f>
        <v>46230</v>
      </c>
      <c r="G814" s="17">
        <f>项目总控台账!O88</f>
        <v>46241</v>
      </c>
      <c r="H814" s="70">
        <v>2</v>
      </c>
      <c r="I814" s="6" t="str">
        <f>IF(H814="","待估算",IF(E814="已完成","已结束",IF(AND(ISNUMBER(F814),ISNUMBER(G814),F814&lt;=项目驾驶舱!$B$3,G814&gt;=项目驾驶舱!$B$3),"进行中","计划中")))</f>
        <v>计划中</v>
      </c>
      <c r="J814" s="6" t="str">
        <f>IF(I814="待估算",IF(OR(F814="/",G814="/",F814="",G814=""),"补充计划日期","补充投入工时"),IF(AND(G814&lt;项目驾驶舱!$B$3,E814&lt;&gt;"已完成"),"确认延期和后续安排","按计划跟踪"))</f>
        <v>确认延期和后续安排</v>
      </c>
      <c r="K814" s="8"/>
      <c r="L814" t="s">
        <v>65</v>
      </c>
    </row>
    <row r="815" spans="1:12">
      <c r="B815" s="6" t="str">
        <f>项目总控台账!A89</f>
        <v>T086</v>
      </c>
      <c r="C815" s="6" t="str">
        <f>IF(AND(项目总控台账!E89&lt;&gt;"",项目总控台账!E89&lt;&gt;"/"),项目总控台账!E89,IF(AND(项目总控台账!D89&lt;&gt;"",项目总控台账!D89&lt;&gt;"/"),项目总控台账!D89,项目总控台账!C89))</f>
        <v>数据展示</v>
      </c>
      <c r="D815" s="6" t="str">
        <f>项目总控台账!F89</f>
        <v>第二批次</v>
      </c>
      <c r="E815" s="6" t="str">
        <f>项目总控台账!G89</f>
        <v>未开始</v>
      </c>
      <c r="F815" s="17">
        <f>项目总控台账!N89</f>
        <v>46230</v>
      </c>
      <c r="G815" s="17">
        <f>项目总控台账!O89</f>
        <v>46241</v>
      </c>
      <c r="H815" s="70">
        <v>1</v>
      </c>
      <c r="I815" s="6" t="str">
        <f>IF(H815="","待估算",IF(E815="已完成","已结束",IF(AND(ISNUMBER(F815),ISNUMBER(G815),F815&lt;=项目驾驶舱!$B$3,G815&gt;=项目驾驶舱!$B$3),"进行中","计划中")))</f>
        <v>计划中</v>
      </c>
      <c r="J815" s="6" t="str">
        <f>IF(I815="待估算",IF(OR(F815="/",G815="/",F815="",G815=""),"补充计划日期","补充投入工时"),IF(AND(G815&lt;项目驾驶舱!$B$3,E815&lt;&gt;"已完成"),"确认延期和后续安排","按计划跟踪"))</f>
        <v>确认延期和后续安排</v>
      </c>
      <c r="K815" s="8"/>
      <c r="L815" t="s">
        <v>65</v>
      </c>
    </row>
    <row r="816" spans="1:12">
      <c r="B816" s="6" t="str">
        <f>项目总控台账!A90</f>
        <v>T087</v>
      </c>
      <c r="C816" s="6" t="str">
        <f>IF(AND(项目总控台账!E90&lt;&gt;"",项目总控台账!E90&lt;&gt;"/"),项目总控台账!E90,IF(AND(项目总控台账!D90&lt;&gt;"",项目总控台账!D90&lt;&gt;"/"),项目总控台账!D90,项目总控台账!C90))</f>
        <v>数据对接</v>
      </c>
      <c r="D816" s="6" t="str">
        <f>项目总控台账!F90</f>
        <v>第二批次</v>
      </c>
      <c r="E816" s="6" t="str">
        <f>项目总控台账!G90</f>
        <v>未开始</v>
      </c>
      <c r="F816" s="17">
        <f>项目总控台账!N90</f>
        <v>46230</v>
      </c>
      <c r="G816" s="17">
        <f>项目总控台账!O90</f>
        <v>46241</v>
      </c>
      <c r="H816" s="70">
        <v>1</v>
      </c>
      <c r="I816" s="6" t="str">
        <f>IF(H816="","待估算",IF(E816="已完成","已结束",IF(AND(ISNUMBER(F816),ISNUMBER(G816),F816&lt;=项目驾驶舱!$B$3,G816&gt;=项目驾驶舱!$B$3),"进行中","计划中")))</f>
        <v>计划中</v>
      </c>
      <c r="J816" s="6" t="str">
        <f>IF(I816="待估算",IF(OR(F816="/",G816="/",F816="",G816=""),"补充计划日期","补充投入工时"),IF(AND(G816&lt;项目驾驶舱!$B$3,E816&lt;&gt;"已完成"),"确认延期和后续安排","按计划跟踪"))</f>
        <v>确认延期和后续安排</v>
      </c>
      <c r="K816" s="8"/>
      <c r="L816" t="s">
        <v>65</v>
      </c>
    </row>
    <row r="817" spans="1:12">
      <c r="A817" s="71"/>
      <c r="B817" s="6" t="str">
        <f>项目总控台账!A91</f>
        <v>T088</v>
      </c>
      <c r="C817" s="6" t="str">
        <f>IF(AND(项目总控台账!E91&lt;&gt;"",项目总控台账!E91&lt;&gt;"/"),项目总控台账!E91,IF(AND(项目总控台账!D91&lt;&gt;"",项目总控台账!D91&lt;&gt;"/"),项目总控台账!D91,项目总控台账!C91))</f>
        <v>数据展示</v>
      </c>
      <c r="D817" s="6" t="str">
        <f>项目总控台账!F91</f>
        <v>第二批次</v>
      </c>
      <c r="E817" s="6" t="str">
        <f>项目总控台账!G91</f>
        <v>未开始</v>
      </c>
      <c r="F817" s="17">
        <f>项目总控台账!N91</f>
        <v>46230</v>
      </c>
      <c r="G817" s="17">
        <f>项目总控台账!O91</f>
        <v>46241</v>
      </c>
      <c r="H817" s="70">
        <v>1</v>
      </c>
      <c r="I817" s="6" t="str">
        <f>IF(H817="","待估算",IF(E817="已完成","已结束",IF(AND(ISNUMBER(F817),ISNUMBER(G817),F817&lt;=项目驾驶舱!$B$3,G817&gt;=项目驾驶舱!$B$3),"进行中","计划中")))</f>
        <v>计划中</v>
      </c>
      <c r="J817" s="6" t="str">
        <f>IF(I817="待估算",IF(OR(F817="/",G817="/",F817="",G817=""),"补充计划日期","补充投入工时"),IF(AND(G817&lt;项目驾驶舱!$B$3,E817&lt;&gt;"已完成"),"确认延期和后续安排","按计划跟踪"))</f>
        <v>确认延期和后续安排</v>
      </c>
      <c r="K817" s="8"/>
      <c r="L817" t="s">
        <v>65</v>
      </c>
    </row>
    <row r="818" spans="1:12">
      <c r="A818" s="72" t="s">
        <v>65</v>
      </c>
      <c r="B818" s="6" t="str">
        <f>项目总控台账!A92</f>
        <v>T089</v>
      </c>
      <c r="C818" s="6" t="str">
        <f>IF(AND(项目总控台账!E92&lt;&gt;"",项目总控台账!E92&lt;&gt;"/"),项目总控台账!E92,IF(AND(项目总控台账!D92&lt;&gt;"",项目总控台账!D92&lt;&gt;"/"),项目总控台账!D92,项目总控台账!C92))</f>
        <v>新增采样服务费（外贸）</v>
      </c>
      <c r="D818" s="6" t="str">
        <f>项目总控台账!F92</f>
        <v>第二批次</v>
      </c>
      <c r="E818" s="6" t="str">
        <f>项目总控台账!G92</f>
        <v>未开始</v>
      </c>
      <c r="F818" s="17">
        <f>项目总控台账!N92</f>
        <v>46230</v>
      </c>
      <c r="G818" s="17">
        <f>项目总控台账!O92</f>
        <v>46241</v>
      </c>
      <c r="H818" s="70">
        <v>1</v>
      </c>
      <c r="I818" s="6" t="str">
        <f>IF(H818="","待估算",IF(E818="已完成","已结束",IF(AND(ISNUMBER(F818),ISNUMBER(G818),F818&lt;=项目驾驶舱!$B$3,G818&gt;=项目驾驶舱!$B$3),"进行中","计划中")))</f>
        <v>计划中</v>
      </c>
      <c r="J818" s="6" t="str">
        <f>IF(I818="待估算",IF(OR(F818="/",G818="/",F818="",G818=""),"补充计划日期","补充投入工时"),IF(AND(G818&lt;项目驾驶舱!$B$3,E818&lt;&gt;"已完成"),"确认延期和后续安排","按计划跟踪"))</f>
        <v>确认延期和后续安排</v>
      </c>
      <c r="K818" s="8"/>
      <c r="L818" t="s">
        <v>65</v>
      </c>
    </row>
    <row r="819" spans="1:12">
      <c r="B819" s="6" t="str">
        <f>项目总控台账!A93</f>
        <v>T090</v>
      </c>
      <c r="C819" s="6" t="str">
        <f>IF(AND(项目总控台账!E93&lt;&gt;"",项目总控台账!E93&lt;&gt;"/"),项目总控台账!E93,IF(AND(项目总控台账!D93&lt;&gt;"",项目总控台账!D93&lt;&gt;"/"),项目总控台账!D93,项目总控台账!C93))</f>
        <v>审批采样服务费（外贸）</v>
      </c>
      <c r="D819" s="6" t="str">
        <f>项目总控台账!F93</f>
        <v>第二批次</v>
      </c>
      <c r="E819" s="6" t="str">
        <f>项目总控台账!G93</f>
        <v>未开始</v>
      </c>
      <c r="F819" s="17">
        <f>项目总控台账!N93</f>
        <v>46230</v>
      </c>
      <c r="G819" s="17">
        <f>项目总控台账!O93</f>
        <v>46241</v>
      </c>
      <c r="H819" s="70">
        <v>1</v>
      </c>
      <c r="I819" s="6" t="str">
        <f>IF(H819="","待估算",IF(E819="已完成","已结束",IF(AND(ISNUMBER(F819),ISNUMBER(G819),F819&lt;=项目驾驶舱!$B$3,G819&gt;=项目驾驶舱!$B$3),"进行中","计划中")))</f>
        <v>计划中</v>
      </c>
      <c r="J819" s="6" t="str">
        <f>IF(I819="待估算",IF(OR(F819="/",G819="/",F819="",G819=""),"补充计划日期","补充投入工时"),IF(AND(G819&lt;项目驾驶舱!$B$3,E819&lt;&gt;"已完成"),"确认延期和后续安排","按计划跟踪"))</f>
        <v>确认延期和后续安排</v>
      </c>
      <c r="K819" s="8"/>
      <c r="L819" t="s">
        <v>65</v>
      </c>
    </row>
    <row r="820" spans="1:12">
      <c r="B820" s="6" t="str">
        <f>项目总控台账!A94</f>
        <v>T091</v>
      </c>
      <c r="C820" s="6" t="str">
        <f>IF(AND(项目总控台账!E94&lt;&gt;"",项目总控台账!E94&lt;&gt;"/"),项目总控台账!E94,IF(AND(项目总控台账!D94&lt;&gt;"",项目总控台账!D94&lt;&gt;"/"),项目总控台账!D94,项目总控台账!C94))</f>
        <v>单据签章</v>
      </c>
      <c r="D820" s="6" t="str">
        <f>项目总控台账!F94</f>
        <v>第二批次</v>
      </c>
      <c r="E820" s="6" t="str">
        <f>项目总控台账!G94</f>
        <v>未开始</v>
      </c>
      <c r="F820" s="17">
        <f>项目总控台账!N94</f>
        <v>46230</v>
      </c>
      <c r="G820" s="17">
        <f>项目总控台账!O94</f>
        <v>46241</v>
      </c>
      <c r="H820" s="70">
        <v>1</v>
      </c>
      <c r="I820" s="6" t="str">
        <f>IF(H820="","待估算",IF(E820="已完成","已结束",IF(AND(ISNUMBER(F820),ISNUMBER(G820),F820&lt;=项目驾驶舱!$B$3,G820&gt;=项目驾驶舱!$B$3),"进行中","计划中")))</f>
        <v>计划中</v>
      </c>
      <c r="J820" s="6" t="str">
        <f>IF(I820="待估算",IF(OR(F820="/",G820="/",F820="",G820=""),"补充计划日期","补充投入工时"),IF(AND(G820&lt;项目驾驶舱!$B$3,E820&lt;&gt;"已完成"),"确认延期和后续安排","按计划跟踪"))</f>
        <v>确认延期和后续安排</v>
      </c>
      <c r="K820" s="8"/>
      <c r="L820" t="s">
        <v>65</v>
      </c>
    </row>
    <row r="821" spans="1:12">
      <c r="B821" s="6" t="str">
        <f>项目总控台账!A95</f>
        <v>T092</v>
      </c>
      <c r="C821" s="6" t="str">
        <f>IF(AND(项目总控台账!E95&lt;&gt;"",项目总控台账!E95&lt;&gt;"/"),项目总控台账!E95,IF(AND(项目总控台账!D95&lt;&gt;"",项目总控台账!D95&lt;&gt;"/"),项目总控台账!D95,项目总控台账!C95))</f>
        <v>数据推送</v>
      </c>
      <c r="D821" s="6" t="str">
        <f>项目总控台账!F95</f>
        <v>第二批次</v>
      </c>
      <c r="E821" s="6" t="str">
        <f>项目总控台账!G95</f>
        <v>未开始</v>
      </c>
      <c r="F821" s="17">
        <f>项目总控台账!N95</f>
        <v>46230</v>
      </c>
      <c r="G821" s="17">
        <f>项目总控台账!O95</f>
        <v>46241</v>
      </c>
      <c r="H821" s="70">
        <v>1</v>
      </c>
      <c r="I821" s="6" t="str">
        <f>IF(H821="","待估算",IF(E821="已完成","已结束",IF(AND(ISNUMBER(F821),ISNUMBER(G821),F821&lt;=项目驾驶舱!$B$3,G821&gt;=项目驾驶舱!$B$3),"进行中","计划中")))</f>
        <v>计划中</v>
      </c>
      <c r="J821" s="6" t="str">
        <f>IF(I821="待估算",IF(OR(F821="/",G821="/",F821="",G821=""),"补充计划日期","补充投入工时"),IF(AND(G821&lt;项目驾驶舱!$B$3,E821&lt;&gt;"已完成"),"确认延期和后续安排","按计划跟踪"))</f>
        <v>确认延期和后续安排</v>
      </c>
      <c r="K821" s="8"/>
      <c r="L821" t="s">
        <v>65</v>
      </c>
    </row>
    <row r="822" spans="1:12">
      <c r="B822" s="6" t="str">
        <f>项目总控台账!A96</f>
        <v>T093</v>
      </c>
      <c r="C822" s="6" t="str">
        <f>IF(AND(项目总控台账!E96&lt;&gt;"",项目总控台账!E96&lt;&gt;"/"),项目总控台账!E96,IF(AND(项目总控台账!D96&lt;&gt;"",项目总控台账!D96&lt;&gt;"/"),项目总控台账!D96,项目总控台账!C96))</f>
        <v>数据对接</v>
      </c>
      <c r="D822" s="6" t="str">
        <f>项目总控台账!F96</f>
        <v>第二批次</v>
      </c>
      <c r="E822" s="6" t="str">
        <f>项目总控台账!G96</f>
        <v>未开始</v>
      </c>
      <c r="F822" s="17">
        <f>项目总控台账!N96</f>
        <v>46230</v>
      </c>
      <c r="G822" s="17">
        <f>项目总控台账!O96</f>
        <v>46241</v>
      </c>
      <c r="H822" s="70">
        <v>1</v>
      </c>
      <c r="I822" s="6" t="str">
        <f>IF(H822="","待估算",IF(E822="已完成","已结束",IF(AND(ISNUMBER(F822),ISNUMBER(G822),F822&lt;=项目驾驶舱!$B$3,G822&gt;=项目驾驶舱!$B$3),"进行中","计划中")))</f>
        <v>计划中</v>
      </c>
      <c r="J822" s="6" t="str">
        <f>IF(I822="待估算",IF(OR(F822="/",G822="/",F822="",G822=""),"补充计划日期","补充投入工时"),IF(AND(G822&lt;项目驾驶舱!$B$3,E822&lt;&gt;"已完成"),"确认延期和后续安排","按计划跟踪"))</f>
        <v>确认延期和后续安排</v>
      </c>
      <c r="K822" s="8"/>
      <c r="L822" t="s">
        <v>65</v>
      </c>
    </row>
    <row r="823" spans="1:12">
      <c r="B823" s="6" t="str">
        <f>项目总控台账!A97</f>
        <v>T094</v>
      </c>
      <c r="C823" s="6" t="str">
        <f>IF(AND(项目总控台账!E97&lt;&gt;"",项目总控台账!E97&lt;&gt;"/"),项目总控台账!E97,IF(AND(项目总控台账!D97&lt;&gt;"",项目总控台账!D97&lt;&gt;"/"),项目总控台账!D97,项目总控台账!C97))</f>
        <v>数据展示</v>
      </c>
      <c r="D823" s="6" t="str">
        <f>项目总控台账!F97</f>
        <v>第二批次</v>
      </c>
      <c r="E823" s="6" t="str">
        <f>项目总控台账!G97</f>
        <v>未开始</v>
      </c>
      <c r="F823" s="17">
        <f>项目总控台账!N97</f>
        <v>46230</v>
      </c>
      <c r="G823" s="17">
        <f>项目总控台账!O97</f>
        <v>46241</v>
      </c>
      <c r="H823" s="70">
        <v>1</v>
      </c>
      <c r="I823" s="6" t="str">
        <f>IF(H823="","待估算",IF(E823="已完成","已结束",IF(AND(ISNUMBER(F823),ISNUMBER(G823),F823&lt;=项目驾驶舱!$B$3,G823&gt;=项目驾驶舱!$B$3),"进行中","计划中")))</f>
        <v>计划中</v>
      </c>
      <c r="J823" s="6" t="str">
        <f>IF(I823="待估算",IF(OR(F823="/",G823="/",F823="",G823=""),"补充计划日期","补充投入工时"),IF(AND(G823&lt;项目驾驶舱!$B$3,E823&lt;&gt;"已完成"),"确认延期和后续安排","按计划跟踪"))</f>
        <v>确认延期和后续安排</v>
      </c>
      <c r="K823" s="8"/>
      <c r="L823" t="s">
        <v>65</v>
      </c>
    </row>
    <row r="824" spans="1:12">
      <c r="B824" s="6" t="str">
        <f>项目总控台账!A129</f>
        <v>T126</v>
      </c>
      <c r="C824" s="6" t="str">
        <f>IF(AND(项目总控台账!E129&lt;&gt;"",项目总控台账!E129&lt;&gt;"/"),项目总控台账!E129,IF(AND(项目总控台账!D129&lt;&gt;"",项目总控台账!D129&lt;&gt;"/"),项目总控台账!D129,项目总控台账!C129))</f>
        <v>停泊费（外贸）查询</v>
      </c>
      <c r="D824" s="6" t="str">
        <f>项目总控台账!F129</f>
        <v>第二批次</v>
      </c>
      <c r="E824" s="6" t="str">
        <f>项目总控台账!G129</f>
        <v>未开始</v>
      </c>
      <c r="F824" s="17">
        <f>项目总控台账!N129</f>
        <v>46230</v>
      </c>
      <c r="G824" s="17">
        <f>项目总控台账!O129</f>
        <v>46241</v>
      </c>
      <c r="H824" s="70">
        <v>1</v>
      </c>
      <c r="I824" s="6" t="str">
        <f>IF(H824="","待估算",IF(E824="已完成","已结束",IF(AND(ISNUMBER(F824),ISNUMBER(G824),F824&lt;=项目驾驶舱!$B$3,G824&gt;=项目驾驶舱!$B$3),"进行中","计划中")))</f>
        <v>计划中</v>
      </c>
      <c r="J824" s="6" t="str">
        <f>IF(I824="待估算",IF(OR(F824="/",G824="/",F824="",G824=""),"补充计划日期","补充投入工时"),IF(AND(G824&lt;项目驾驶舱!$B$3,E824&lt;&gt;"已完成"),"确认延期和后续安排","按计划跟踪"))</f>
        <v>确认延期和后续安排</v>
      </c>
      <c r="K824" s="8"/>
      <c r="L824" t="s">
        <v>65</v>
      </c>
    </row>
    <row r="825" spans="1:12">
      <c r="B825" s="6" t="str">
        <f>项目总控台账!A130</f>
        <v>T127</v>
      </c>
      <c r="C825" s="6" t="str">
        <f>IF(AND(项目总控台账!E130&lt;&gt;"",项目总控台账!E130&lt;&gt;"/"),项目总控台账!E130,IF(AND(项目总控台账!D130&lt;&gt;"",项目总控台账!D130&lt;&gt;"/"),项目总控台账!D130,项目总控台账!C130))</f>
        <v>锚泊费（外贸）查询</v>
      </c>
      <c r="D825" s="6" t="str">
        <f>项目总控台账!F130</f>
        <v>第二批次</v>
      </c>
      <c r="E825" s="6" t="str">
        <f>项目总控台账!G130</f>
        <v>未开始</v>
      </c>
      <c r="F825" s="17">
        <f>项目总控台账!N130</f>
        <v>46230</v>
      </c>
      <c r="G825" s="17">
        <f>项目总控台账!O130</f>
        <v>46241</v>
      </c>
      <c r="H825" s="70">
        <v>1</v>
      </c>
      <c r="I825" s="6" t="str">
        <f>IF(H825="","待估算",IF(E825="已完成","已结束",IF(AND(ISNUMBER(F825),ISNUMBER(G825),F825&lt;=项目驾驶舱!$B$3,G825&gt;=项目驾驶舱!$B$3),"进行中","计划中")))</f>
        <v>计划中</v>
      </c>
      <c r="J825" s="6" t="str">
        <f>IF(I825="待估算",IF(OR(F825="/",G825="/",F825="",G825=""),"补充计划日期","补充投入工时"),IF(AND(G825&lt;项目驾驶舱!$B$3,E825&lt;&gt;"已完成"),"确认延期和后续安排","按计划跟踪"))</f>
        <v>确认延期和后续安排</v>
      </c>
      <c r="K825" s="8"/>
      <c r="L825" t="s">
        <v>65</v>
      </c>
    </row>
    <row r="826" spans="1:12">
      <c r="B826" s="6" t="str">
        <f>项目总控台账!A131</f>
        <v>T128</v>
      </c>
      <c r="C826" s="6" t="str">
        <f>IF(AND(项目总控台账!E131&lt;&gt;"",项目总控台账!E131&lt;&gt;"/"),项目总控台账!E131,IF(AND(项目总控台账!D131&lt;&gt;"",项目总控台账!D131&lt;&gt;"/"),项目总控台账!D131,项目总控台账!C131))</f>
        <v>堆存费（外贸）查询</v>
      </c>
      <c r="D826" s="6" t="str">
        <f>项目总控台账!F131</f>
        <v>第二批次</v>
      </c>
      <c r="E826" s="6" t="str">
        <f>项目总控台账!G131</f>
        <v>未开始</v>
      </c>
      <c r="F826" s="17">
        <f>项目总控台账!N131</f>
        <v>46230</v>
      </c>
      <c r="G826" s="17">
        <f>项目总控台账!O131</f>
        <v>46241</v>
      </c>
      <c r="H826" s="70">
        <v>1</v>
      </c>
      <c r="I826" s="6" t="str">
        <f>IF(H826="","待估算",IF(E826="已完成","已结束",IF(AND(ISNUMBER(F826),ISNUMBER(G826),F826&lt;=项目驾驶舱!$B$3,G826&gt;=项目驾驶舱!$B$3),"进行中","计划中")))</f>
        <v>计划中</v>
      </c>
      <c r="J826" s="6" t="str">
        <f>IF(I826="待估算",IF(OR(F826="/",G826="/",F826="",G826=""),"补充计划日期","补充投入工时"),IF(AND(G826&lt;项目驾驶舱!$B$3,E826&lt;&gt;"已完成"),"确认延期和后续安排","按计划跟踪"))</f>
        <v>确认延期和后续安排</v>
      </c>
      <c r="K826" s="8"/>
      <c r="L826" t="s">
        <v>65</v>
      </c>
    </row>
    <row r="827" spans="1:12">
      <c r="B827" s="6" t="str">
        <f>项目总控台账!A132</f>
        <v>T129</v>
      </c>
      <c r="C827" s="6" t="str">
        <f>IF(AND(项目总控台账!E132&lt;&gt;"",项目总控台账!E132&lt;&gt;"/"),项目总控台账!E132,IF(AND(项目总控台账!D132&lt;&gt;"",项目总控台账!D132&lt;&gt;"/"),项目总控台账!D132,项目总控台账!C132))</f>
        <v>卸船费（外贸）查询</v>
      </c>
      <c r="D827" s="6" t="str">
        <f>项目总控台账!F132</f>
        <v>第二批次</v>
      </c>
      <c r="E827" s="6" t="str">
        <f>项目总控台账!G132</f>
        <v>未开始</v>
      </c>
      <c r="F827" s="17">
        <f>项目总控台账!N132</f>
        <v>46230</v>
      </c>
      <c r="G827" s="17">
        <f>项目总控台账!O132</f>
        <v>46241</v>
      </c>
      <c r="H827" s="70">
        <v>1</v>
      </c>
      <c r="I827" s="6" t="str">
        <f>IF(H827="","待估算",IF(E827="已完成","已结束",IF(AND(ISNUMBER(F827),ISNUMBER(G827),F827&lt;=项目驾驶舱!$B$3,G827&gt;=项目驾驶舱!$B$3),"进行中","计划中")))</f>
        <v>计划中</v>
      </c>
      <c r="J827" s="6" t="str">
        <f>IF(I827="待估算",IF(OR(F827="/",G827="/",F827="",G827=""),"补充计划日期","补充投入工时"),IF(AND(G827&lt;项目驾驶舱!$B$3,E827&lt;&gt;"已完成"),"确认延期和后续安排","按计划跟踪"))</f>
        <v>确认延期和后续安排</v>
      </c>
      <c r="K827" s="8"/>
      <c r="L827" t="s">
        <v>65</v>
      </c>
    </row>
    <row r="828" spans="1:12">
      <c r="B828" s="6" t="str">
        <f>项目总控台账!A133</f>
        <v>T130</v>
      </c>
      <c r="C828" s="6" t="str">
        <f>IF(AND(项目总控台账!E133&lt;&gt;"",项目总控台账!E133&lt;&gt;"/"),项目总控台账!E133,IF(AND(项目总控台账!D133&lt;&gt;"",项目总控台账!D133&lt;&gt;"/"),项目总控台账!D133,项目总控台账!C133))</f>
        <v>采样服务费（外贸）查询</v>
      </c>
      <c r="D828" s="6" t="str">
        <f>项目总控台账!F133</f>
        <v>第二批次</v>
      </c>
      <c r="E828" s="6" t="str">
        <f>项目总控台账!G133</f>
        <v>未开始</v>
      </c>
      <c r="F828" s="17">
        <f>项目总控台账!N133</f>
        <v>46230</v>
      </c>
      <c r="G828" s="17">
        <f>项目总控台账!O133</f>
        <v>46241</v>
      </c>
      <c r="H828" s="70">
        <v>1</v>
      </c>
      <c r="I828" s="6" t="str">
        <f>IF(H828="","待估算",IF(E828="已完成","已结束",IF(AND(ISNUMBER(F828),ISNUMBER(G828),F828&lt;=项目驾驶舱!$B$3,G828&gt;=项目驾驶舱!$B$3),"进行中","计划中")))</f>
        <v>计划中</v>
      </c>
      <c r="J828" s="6" t="str">
        <f>IF(I828="待估算",IF(OR(F828="/",G828="/",F828="",G828=""),"补充计划日期","补充投入工时"),IF(AND(G828&lt;项目驾驶舱!$B$3,E828&lt;&gt;"已完成"),"确认延期和后续安排","按计划跟踪"))</f>
        <v>确认延期和后续安排</v>
      </c>
      <c r="K828" s="8"/>
      <c r="L828" t="s">
        <v>65</v>
      </c>
    </row>
    <row r="829" spans="1:12">
      <c r="A829" s="71"/>
      <c r="B829" s="6" t="str">
        <f>项目总控台账!A134</f>
        <v>T131</v>
      </c>
      <c r="C829" s="6" t="str">
        <f>IF(AND(项目总控台账!E134&lt;&gt;"",项目总控台账!E134&lt;&gt;"/"),项目总控台账!E134,IF(AND(项目总控台账!D134&lt;&gt;"",项目总控台账!D134&lt;&gt;"/"),项目总控台账!D134,项目总控台账!C134))</f>
        <v>船舶供应服务费（外贸）查询</v>
      </c>
      <c r="D829" s="6" t="str">
        <f>项目总控台账!F134</f>
        <v>第二批次</v>
      </c>
      <c r="E829" s="6" t="str">
        <f>项目总控台账!G134</f>
        <v>未开始</v>
      </c>
      <c r="F829" s="17">
        <f>项目总控台账!N134</f>
        <v>46230</v>
      </c>
      <c r="G829" s="17">
        <f>项目总控台账!O134</f>
        <v>46241</v>
      </c>
      <c r="H829" s="70">
        <v>1</v>
      </c>
      <c r="I829" s="6" t="str">
        <f>IF(H829="","待估算",IF(E829="已完成","已结束",IF(AND(ISNUMBER(F829),ISNUMBER(G829),F829&lt;=项目驾驶舱!$B$3,G829&gt;=项目驾驶舱!$B$3),"进行中","计划中")))</f>
        <v>计划中</v>
      </c>
      <c r="J829" s="6" t="str">
        <f>IF(I829="待估算",IF(OR(F829="/",G829="/",F829="",G829=""),"补充计划日期","补充投入工时"),IF(AND(G829&lt;项目驾驶舱!$B$3,E829&lt;&gt;"已完成"),"确认延期和后续安排","按计划跟踪"))</f>
        <v>确认延期和后续安排</v>
      </c>
      <c r="K829" s="8"/>
      <c r="L829" t="s">
        <v>65</v>
      </c>
    </row>
    <row r="830" spans="1:12">
      <c r="A830" s="72" t="s">
        <v>65</v>
      </c>
      <c r="B830" s="6" t="str">
        <f>项目总控台账!A135</f>
        <v>T132</v>
      </c>
      <c r="C830" s="6" t="str">
        <f>IF(AND(项目总控台账!E135&lt;&gt;"",项目总控台账!E135&lt;&gt;"/"),项目总控台账!E135,IF(AND(项目总控台账!D135&lt;&gt;"",项目总控台账!D135&lt;&gt;"/"),项目总控台账!D135,项目总控台账!C135))</f>
        <v>新增船舶靠泊通知单</v>
      </c>
      <c r="D830" s="6" t="str">
        <f>项目总控台账!F135</f>
        <v>第二批次</v>
      </c>
      <c r="E830" s="6" t="str">
        <f>项目总控台账!G135</f>
        <v>未开始</v>
      </c>
      <c r="F830" s="17">
        <f>项目总控台账!N135</f>
        <v>46230</v>
      </c>
      <c r="G830" s="17">
        <f>项目总控台账!O135</f>
        <v>46241</v>
      </c>
      <c r="H830" s="70">
        <v>1</v>
      </c>
      <c r="I830" s="6" t="str">
        <f>IF(H830="","待估算",IF(E830="已完成","已结束",IF(AND(ISNUMBER(F830),ISNUMBER(G830),F830&lt;=项目驾驶舱!$B$3,G830&gt;=项目驾驶舱!$B$3),"进行中","计划中")))</f>
        <v>计划中</v>
      </c>
      <c r="J830" s="6" t="str">
        <f>IF(I830="待估算",IF(OR(F830="/",G830="/",F830="",G830=""),"补充计划日期","补充投入工时"),IF(AND(G830&lt;项目驾驶舱!$B$3,E830&lt;&gt;"已完成"),"确认延期和后续安排","按计划跟踪"))</f>
        <v>确认延期和后续安排</v>
      </c>
      <c r="K830" s="8"/>
      <c r="L830" t="s">
        <v>65</v>
      </c>
    </row>
    <row r="831" spans="1:12">
      <c r="B831" s="6" t="str">
        <f>项目总控台账!A136</f>
        <v>T133</v>
      </c>
      <c r="C831" s="6" t="str">
        <f>IF(AND(项目总控台账!E136&lt;&gt;"",项目总控台账!E136&lt;&gt;"/"),项目总控台账!E136,IF(AND(项目总控台账!D136&lt;&gt;"",项目总控台账!D136&lt;&gt;"/"),项目总控台账!D136,项目总控台账!C136))</f>
        <v>查询船舶靠泊通知单</v>
      </c>
      <c r="D831" s="6" t="str">
        <f>项目总控台账!F136</f>
        <v>第二批次</v>
      </c>
      <c r="E831" s="6" t="str">
        <f>项目总控台账!G136</f>
        <v>未开始</v>
      </c>
      <c r="F831" s="17">
        <f>项目总控台账!N136</f>
        <v>46230</v>
      </c>
      <c r="G831" s="17">
        <f>项目总控台账!O136</f>
        <v>46241</v>
      </c>
      <c r="H831" s="70">
        <v>1</v>
      </c>
      <c r="I831" s="6" t="str">
        <f>IF(H831="","待估算",IF(E831="已完成","已结束",IF(AND(ISNUMBER(F831),ISNUMBER(G831),F831&lt;=项目驾驶舱!$B$3,G831&gt;=项目驾驶舱!$B$3),"进行中","计划中")))</f>
        <v>计划中</v>
      </c>
      <c r="J831" s="6" t="str">
        <f>IF(I831="待估算",IF(OR(F831="/",G831="/",F831="",G831=""),"补充计划日期","补充投入工时"),IF(AND(G831&lt;项目驾驶舱!$B$3,E831&lt;&gt;"已完成"),"确认延期和后续安排","按计划跟踪"))</f>
        <v>确认延期和后续安排</v>
      </c>
      <c r="K831" s="8"/>
      <c r="L831" t="s">
        <v>65</v>
      </c>
    </row>
    <row r="832" spans="1:12">
      <c r="B832" s="6" t="str">
        <f>项目总控台账!A137</f>
        <v>T134</v>
      </c>
      <c r="C832" s="6" t="str">
        <f>IF(AND(项目总控台账!E137&lt;&gt;"",项目总控台账!E137&lt;&gt;"/"),项目总控台账!E137,IF(AND(项目总控台账!D137&lt;&gt;"",项目总控台账!D137&lt;&gt;"/"),项目总控台账!D137,项目总控台账!C137))</f>
        <v>卸船计划查询</v>
      </c>
      <c r="D832" s="6" t="str">
        <f>项目总控台账!F137</f>
        <v>第二批次</v>
      </c>
      <c r="E832" s="6" t="str">
        <f>项目总控台账!G137</f>
        <v>未开始</v>
      </c>
      <c r="F832" s="17">
        <f>项目总控台账!N137</f>
        <v>46230</v>
      </c>
      <c r="G832" s="17">
        <f>项目总控台账!O137</f>
        <v>46241</v>
      </c>
      <c r="H832" s="70">
        <v>1</v>
      </c>
      <c r="I832" s="6" t="str">
        <f>IF(H832="","待估算",IF(E832="已完成","已结束",IF(AND(ISNUMBER(F832),ISNUMBER(G832),F832&lt;=项目驾驶舱!$B$3,G832&gt;=项目驾驶舱!$B$3),"进行中","计划中")))</f>
        <v>计划中</v>
      </c>
      <c r="J832" s="6" t="str">
        <f>IF(I832="待估算",IF(OR(F832="/",G832="/",F832="",G832=""),"补充计划日期","补充投入工时"),IF(AND(G832&lt;项目驾驶舱!$B$3,E832&lt;&gt;"已完成"),"确认延期和后续安排","按计划跟踪"))</f>
        <v>确认延期和后续安排</v>
      </c>
      <c r="K832" s="8"/>
      <c r="L832" t="s">
        <v>65</v>
      </c>
    </row>
    <row r="833" spans="1:12">
      <c r="B833" s="6" t="str">
        <f>项目总控台账!A138</f>
        <v>T135</v>
      </c>
      <c r="C833" s="6" t="str">
        <f>IF(AND(项目总控台账!E138&lt;&gt;"",项目总控台账!E138&lt;&gt;"/"),项目总控台账!E138,IF(AND(项目总控台账!D138&lt;&gt;"",项目总控台账!D138&lt;&gt;"/"),项目总控台账!D138,项目总控台账!C138))</f>
        <v>卸船查询</v>
      </c>
      <c r="D833" s="6" t="str">
        <f>项目总控台账!F138</f>
        <v>第二批次</v>
      </c>
      <c r="E833" s="6" t="str">
        <f>项目总控台账!G138</f>
        <v>未开始</v>
      </c>
      <c r="F833" s="17">
        <f>项目总控台账!N138</f>
        <v>46230</v>
      </c>
      <c r="G833" s="17">
        <f>项目总控台账!O138</f>
        <v>46241</v>
      </c>
      <c r="H833" s="70">
        <v>1</v>
      </c>
      <c r="I833" s="6" t="str">
        <f>IF(H833="","待估算",IF(E833="已完成","已结束",IF(AND(ISNUMBER(F833),ISNUMBER(G833),F833&lt;=项目驾驶舱!$B$3,G833&gt;=项目驾驶舱!$B$3),"进行中","计划中")))</f>
        <v>计划中</v>
      </c>
      <c r="J833" s="6" t="str">
        <f>IF(I833="待估算",IF(OR(F833="/",G833="/",F833="",G833=""),"补充计划日期","补充投入工时"),IF(AND(G833&lt;项目驾驶舱!$B$3,E833&lt;&gt;"已完成"),"确认延期和后续安排","按计划跟踪"))</f>
        <v>确认延期和后续安排</v>
      </c>
      <c r="K833" s="8"/>
      <c r="L833" t="s">
        <v>65</v>
      </c>
    </row>
    <row r="834" spans="1:12">
      <c r="B834" s="6" t="str">
        <f>项目总控台账!A139</f>
        <v>T136</v>
      </c>
      <c r="C834" s="6" t="str">
        <f>IF(AND(项目总控台账!E139&lt;&gt;"",项目总控台账!E139&lt;&gt;"/"),项目总控台账!E139,IF(AND(项目总控台账!D139&lt;&gt;"",项目总控台账!D139&lt;&gt;"/"),项目总控台账!D139,项目总控台账!C139))</f>
        <v>卸船作业委托</v>
      </c>
      <c r="D834" s="6" t="str">
        <f>项目总控台账!F139</f>
        <v>第二批次</v>
      </c>
      <c r="E834" s="6" t="str">
        <f>项目总控台账!G139</f>
        <v>未开始</v>
      </c>
      <c r="F834" s="17">
        <f>项目总控台账!N139</f>
        <v>46230</v>
      </c>
      <c r="G834" s="17">
        <f>项目总控台账!O139</f>
        <v>46241</v>
      </c>
      <c r="H834" s="70">
        <v>1</v>
      </c>
      <c r="I834" s="6" t="str">
        <f>IF(H834="","待估算",IF(E834="已完成","已结束",IF(AND(ISNUMBER(F834),ISNUMBER(G834),F834&lt;=项目驾驶舱!$B$3,G834&gt;=项目驾驶舱!$B$3),"进行中","计划中")))</f>
        <v>计划中</v>
      </c>
      <c r="J834" s="6" t="str">
        <f>IF(I834="待估算",IF(OR(F834="/",G834="/",F834="",G834=""),"补充计划日期","补充投入工时"),IF(AND(G834&lt;项目驾驶舱!$B$3,E834&lt;&gt;"已完成"),"确认延期和后续安排","按计划跟踪"))</f>
        <v>确认延期和后续安排</v>
      </c>
      <c r="K834" s="8"/>
      <c r="L834" t="s">
        <v>65</v>
      </c>
    </row>
    <row r="835" spans="1:12">
      <c r="B835" s="6" t="str">
        <f>项目总控台账!A140</f>
        <v>T137</v>
      </c>
      <c r="C835" s="6" t="str">
        <f>IF(AND(项目总控台账!E140&lt;&gt;"",项目总控台账!E140&lt;&gt;"/"),项目总控台账!E140,IF(AND(项目总控台账!D140&lt;&gt;"",项目总控台账!D140&lt;&gt;"/"),项目总控台账!D140,项目总控台账!C140))</f>
        <v>外轮转内贸业务查询</v>
      </c>
      <c r="D835" s="6" t="str">
        <f>项目总控台账!F140</f>
        <v>第二批次</v>
      </c>
      <c r="E835" s="6" t="str">
        <f>项目总控台账!G140</f>
        <v>未开始</v>
      </c>
      <c r="F835" s="17">
        <f>项目总控台账!N140</f>
        <v>46230</v>
      </c>
      <c r="G835" s="17">
        <f>项目总控台账!O140</f>
        <v>46241</v>
      </c>
      <c r="H835" s="70">
        <v>1</v>
      </c>
      <c r="I835" s="6" t="str">
        <f>IF(H835="","待估算",IF(E835="已完成","已结束",IF(AND(ISNUMBER(F835),ISNUMBER(G835),F835&lt;=项目驾驶舱!$B$3,G835&gt;=项目驾驶舱!$B$3),"进行中","计划中")))</f>
        <v>计划中</v>
      </c>
      <c r="J835" s="6" t="str">
        <f>IF(I835="待估算",IF(OR(F835="/",G835="/",F835="",G835=""),"补充计划日期","补充投入工时"),IF(AND(G835&lt;项目驾驶舱!$B$3,E835&lt;&gt;"已完成"),"确认延期和后续安排","按计划跟踪"))</f>
        <v>确认延期和后续安排</v>
      </c>
      <c r="K835" s="8"/>
      <c r="L835" t="s">
        <v>65</v>
      </c>
    </row>
    <row r="836" spans="1:12">
      <c r="A836" s="71"/>
      <c r="B836" s="6" t="str">
        <f>项目总控台账!A145</f>
        <v>T142</v>
      </c>
      <c r="C836" s="6" t="str">
        <f>IF(AND(项目总控台账!E145&lt;&gt;"",项目总控台账!E145&lt;&gt;"/"),项目总控台账!E145,IF(AND(项目总控台账!D145&lt;&gt;"",项目总控台账!D145&lt;&gt;"/"),项目总控台账!D145,项目总控台账!C145))</f>
        <v>审批船舶靠泊通知单</v>
      </c>
      <c r="D836" s="6" t="str">
        <f>项目总控台账!F145</f>
        <v>第二批次</v>
      </c>
      <c r="E836" s="6" t="str">
        <f>项目总控台账!G145</f>
        <v>未开始</v>
      </c>
      <c r="F836" s="17">
        <f>项目总控台账!N145</f>
        <v>46230</v>
      </c>
      <c r="G836" s="17">
        <f>项目总控台账!O145</f>
        <v>46241</v>
      </c>
      <c r="H836" s="70">
        <v>1</v>
      </c>
      <c r="I836" s="6" t="str">
        <f>IF(H836="","待估算",IF(E836="已完成","已结束",IF(AND(ISNUMBER(F836),ISNUMBER(G836),F836&lt;=项目驾驶舱!$B$3,G836&gt;=项目驾驶舱!$B$3),"进行中","计划中")))</f>
        <v>计划中</v>
      </c>
      <c r="J836" s="6" t="str">
        <f>IF(I836="待估算",IF(OR(F836="/",G836="/",F836="",G836=""),"补充计划日期","补充投入工时"),IF(AND(G836&lt;项目驾驶舱!$B$3,E836&lt;&gt;"已完成"),"确认延期和后续安排","按计划跟踪"))</f>
        <v>确认延期和后续安排</v>
      </c>
      <c r="K836" s="8"/>
      <c r="L836" t="s">
        <v>65</v>
      </c>
    </row>
  </sheetData>
  <autoFilter xmlns:etc="http://www.wps.cn/officeDocument/2017/etCustomData" ref="A157:K836" etc:filterBottomFollowUsedRange="0">
    <extLst/>
  </autoFilter>
  <mergeCells count="61">
    <mergeCell ref="A1:L1"/>
    <mergeCell ref="A2:L2"/>
    <mergeCell ref="A14:J14"/>
    <mergeCell ref="A158:A169"/>
    <mergeCell ref="A170:A181"/>
    <mergeCell ref="A182:A193"/>
    <mergeCell ref="A194:A205"/>
    <mergeCell ref="A206:A217"/>
    <mergeCell ref="A218:A229"/>
    <mergeCell ref="A230:A241"/>
    <mergeCell ref="A242:A253"/>
    <mergeCell ref="A254:A265"/>
    <mergeCell ref="A266:A277"/>
    <mergeCell ref="A278:A285"/>
    <mergeCell ref="A286:A296"/>
    <mergeCell ref="A297:A308"/>
    <mergeCell ref="A309:A320"/>
    <mergeCell ref="A321:A332"/>
    <mergeCell ref="A333:A344"/>
    <mergeCell ref="A345:A356"/>
    <mergeCell ref="A357:A368"/>
    <mergeCell ref="A369:A380"/>
    <mergeCell ref="A381:A392"/>
    <mergeCell ref="A393:A404"/>
    <mergeCell ref="A405:A416"/>
    <mergeCell ref="A417:A427"/>
    <mergeCell ref="A428:A439"/>
    <mergeCell ref="A440:A451"/>
    <mergeCell ref="A452:A463"/>
    <mergeCell ref="A464:A475"/>
    <mergeCell ref="A476:A487"/>
    <mergeCell ref="A488:A499"/>
    <mergeCell ref="A500:A511"/>
    <mergeCell ref="A512:A523"/>
    <mergeCell ref="A524:A535"/>
    <mergeCell ref="A536:A547"/>
    <mergeCell ref="A548:A559"/>
    <mergeCell ref="A560:A566"/>
    <mergeCell ref="A567:A578"/>
    <mergeCell ref="A579:A590"/>
    <mergeCell ref="A591:A602"/>
    <mergeCell ref="A603:A614"/>
    <mergeCell ref="A615:A626"/>
    <mergeCell ref="A627:A638"/>
    <mergeCell ref="A639:A650"/>
    <mergeCell ref="A651:A662"/>
    <mergeCell ref="A663:A674"/>
    <mergeCell ref="A675:A686"/>
    <mergeCell ref="A687:A697"/>
    <mergeCell ref="A698:A709"/>
    <mergeCell ref="A710:A721"/>
    <mergeCell ref="A722:A733"/>
    <mergeCell ref="A734:A745"/>
    <mergeCell ref="A746:A757"/>
    <mergeCell ref="A758:A769"/>
    <mergeCell ref="A770:A781"/>
    <mergeCell ref="A782:A793"/>
    <mergeCell ref="A794:A805"/>
    <mergeCell ref="A806:A817"/>
    <mergeCell ref="A818:A829"/>
    <mergeCell ref="A830:A836"/>
  </mergeCells>
  <conditionalFormatting sqref="D16:D153">
    <cfRule type="expression" dxfId="5" priority="4">
      <formula>$D16="无"</formula>
    </cfRule>
  </conditionalFormatting>
  <conditionalFormatting sqref="H16:H153">
    <cfRule type="expression" dxfId="6" priority="5">
      <formula>$H16="超负荷"</formula>
    </cfRule>
  </conditionalFormatting>
  <conditionalFormatting sqref="J5:J10">
    <cfRule type="expression" dxfId="6" priority="1">
      <formula>$J5="超负荷"</formula>
    </cfRule>
    <cfRule type="expression" dxfId="7" priority="2">
      <formula>$J5="高负荷"</formula>
    </cfRule>
    <cfRule type="expression" dxfId="8" priority="3">
      <formula>$J5="正常"</formula>
    </cfRule>
  </conditionalFormatting>
  <pageMargins left="0.75" right="0.75" top="1" bottom="1" header="0.5" footer="0.5"/>
  <pageSetup paperSize="1" fitToHeight="0" orientation="landscape"/>
  <headerFooter/>
  <tableParts count="2">
    <tablePart r:id="rId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showGridLines="0" workbookViewId="0">
      <selection activeCell="A1" sqref="A1:K1"/>
    </sheetView>
  </sheetViews>
  <sheetFormatPr defaultColWidth="9" defaultRowHeight="16.8"/>
  <cols>
    <col min="1" max="1" width="11" style="1" customWidth="1"/>
    <col min="2" max="2" width="25" style="1" customWidth="1"/>
    <col min="3" max="3" width="12" style="1" customWidth="1"/>
    <col min="4" max="4" width="36" style="1" customWidth="1"/>
    <col min="5" max="5" width="15" style="1" customWidth="1"/>
    <col min="6" max="6" width="13" style="1" customWidth="1"/>
    <col min="7" max="7" width="11" style="1" customWidth="1"/>
    <col min="8" max="8" width="13" style="1" customWidth="1"/>
    <col min="9" max="9" width="11" style="1" customWidth="1"/>
    <col min="10" max="10" width="10" style="1" customWidth="1"/>
    <col min="11" max="11" width="26" style="1" customWidth="1"/>
  </cols>
  <sheetData>
    <row r="1" ht="34" customHeight="1" spans="1:11">
      <c r="A1" s="23" t="s">
        <v>442</v>
      </c>
    </row>
    <row r="3" ht="30" customHeight="1" spans="1:11">
      <c r="A3" s="26" t="s">
        <v>443</v>
      </c>
      <c r="B3" s="26" t="s">
        <v>444</v>
      </c>
      <c r="C3" s="26" t="s">
        <v>23</v>
      </c>
      <c r="D3" s="26" t="s">
        <v>445</v>
      </c>
      <c r="E3" s="26" t="s">
        <v>446</v>
      </c>
      <c r="F3" s="26" t="s">
        <v>447</v>
      </c>
      <c r="G3" s="26" t="s">
        <v>21</v>
      </c>
      <c r="H3" s="26" t="s">
        <v>448</v>
      </c>
      <c r="I3" s="26" t="s">
        <v>449</v>
      </c>
      <c r="J3" s="26" t="s">
        <v>450</v>
      </c>
      <c r="K3" s="26" t="s">
        <v>410</v>
      </c>
    </row>
    <row r="4" ht="17" customHeight="1" spans="1:11">
      <c r="A4" s="27" t="s">
        <v>451</v>
      </c>
      <c r="B4" s="29" t="s">
        <v>452</v>
      </c>
      <c r="C4" s="29" t="s">
        <v>25</v>
      </c>
      <c r="D4" s="29" t="s">
        <v>453</v>
      </c>
      <c r="E4" s="29" t="s">
        <v>65</v>
      </c>
      <c r="F4" s="28">
        <v>46241</v>
      </c>
      <c r="G4" s="29" t="s">
        <v>5</v>
      </c>
      <c r="H4" s="28"/>
      <c r="I4" s="29">
        <f>IF(H4&lt;&gt;"",H4-F4,MAX(0,项目驾驶舱!$B$3-F4))</f>
        <v>27</v>
      </c>
      <c r="J4" s="29" t="str">
        <f>IF(G4="已完成","绿",IF(F4&lt;项目驾驶舱!$B$3,"红",IF(F4&lt;=项目驾驶舱!$B$3+7,"黄","绿")))</f>
        <v>红</v>
      </c>
      <c r="K4" s="30" t="s">
        <v>69</v>
      </c>
    </row>
    <row r="5" ht="17" customHeight="1" spans="1:11">
      <c r="A5" s="31" t="s">
        <v>454</v>
      </c>
      <c r="B5" s="33" t="s">
        <v>455</v>
      </c>
      <c r="C5" s="33" t="s">
        <v>25</v>
      </c>
      <c r="D5" s="33" t="s">
        <v>456</v>
      </c>
      <c r="E5" s="33" t="s">
        <v>457</v>
      </c>
      <c r="F5" s="32">
        <v>46262</v>
      </c>
      <c r="G5" s="33" t="s">
        <v>5</v>
      </c>
      <c r="H5" s="32"/>
      <c r="I5" s="33">
        <f>IF(H5&lt;&gt;"",H5-F5,MAX(0,项目驾驶舱!$B$3-F5))</f>
        <v>6</v>
      </c>
      <c r="J5" s="33" t="str">
        <f>IF(G5="已完成","绿",IF(F5&lt;项目驾驶舱!$B$3,"红",IF(F5&lt;=项目驾驶舱!$B$3+7,"黄","绿")))</f>
        <v>红</v>
      </c>
      <c r="K5" s="34" t="s">
        <v>69</v>
      </c>
    </row>
    <row r="6" ht="17" customHeight="1" spans="1:11">
      <c r="A6" s="31" t="s">
        <v>458</v>
      </c>
      <c r="B6" s="33" t="s">
        <v>459</v>
      </c>
      <c r="C6" s="33" t="s">
        <v>25</v>
      </c>
      <c r="D6" s="33" t="s">
        <v>460</v>
      </c>
      <c r="E6" s="33" t="s">
        <v>68</v>
      </c>
      <c r="F6" s="32">
        <v>46318</v>
      </c>
      <c r="G6" s="33" t="s">
        <v>5</v>
      </c>
      <c r="H6" s="32"/>
      <c r="I6" s="33">
        <f>IF(H6&lt;&gt;"",H6-F6,MAX(0,项目驾驶舱!$B$3-F6))</f>
        <v>0</v>
      </c>
      <c r="J6" s="33" t="str">
        <f>IF(G6="已完成","绿",IF(F6&lt;项目驾驶舱!$B$3,"红",IF(F6&lt;=项目驾驶舱!$B$3+7,"黄","绿")))</f>
        <v>绿</v>
      </c>
      <c r="K6" s="34" t="s">
        <v>69</v>
      </c>
    </row>
    <row r="7" ht="17" customHeight="1" spans="1:11">
      <c r="A7" s="31" t="s">
        <v>461</v>
      </c>
      <c r="B7" s="33" t="s">
        <v>462</v>
      </c>
      <c r="C7" s="33" t="s">
        <v>25</v>
      </c>
      <c r="D7" s="33" t="s">
        <v>463</v>
      </c>
      <c r="E7" s="33" t="s">
        <v>464</v>
      </c>
      <c r="F7" s="32">
        <v>46261</v>
      </c>
      <c r="G7" s="33" t="s">
        <v>5</v>
      </c>
      <c r="H7" s="32"/>
      <c r="I7" s="33">
        <f>IF(H7&lt;&gt;"",H7-F7,MAX(0,项目驾驶舱!$B$3-F7))</f>
        <v>7</v>
      </c>
      <c r="J7" s="33" t="str">
        <f>IF(G7="已完成","绿",IF(F7&lt;项目驾驶舱!$B$3,"红",IF(F7&lt;=项目驾驶舱!$B$3+7,"黄","绿")))</f>
        <v>红</v>
      </c>
      <c r="K7" s="34" t="s">
        <v>69</v>
      </c>
    </row>
    <row r="8" ht="17" customHeight="1" spans="1:11">
      <c r="A8" s="31" t="s">
        <v>465</v>
      </c>
      <c r="B8" s="33" t="s">
        <v>466</v>
      </c>
      <c r="C8" s="33" t="s">
        <v>26</v>
      </c>
      <c r="D8" s="33" t="s">
        <v>467</v>
      </c>
      <c r="E8" s="33" t="s">
        <v>65</v>
      </c>
      <c r="F8" s="32">
        <v>46241</v>
      </c>
      <c r="G8" s="33" t="s">
        <v>5</v>
      </c>
      <c r="H8" s="32"/>
      <c r="I8" s="33">
        <f>IF(H8&lt;&gt;"",H8-F8,MAX(0,项目驾驶舱!$B$3-F8))</f>
        <v>27</v>
      </c>
      <c r="J8" s="33" t="str">
        <f>IF(G8="已完成","绿",IF(F8&lt;项目驾驶舱!$B$3,"红",IF(F8&lt;=项目驾驶舱!$B$3+7,"黄","绿")))</f>
        <v>红</v>
      </c>
      <c r="K8" s="34" t="s">
        <v>69</v>
      </c>
    </row>
    <row r="9" ht="17" customHeight="1" spans="1:11">
      <c r="A9" s="31" t="s">
        <v>468</v>
      </c>
      <c r="B9" s="33" t="s">
        <v>469</v>
      </c>
      <c r="C9" s="33" t="s">
        <v>26</v>
      </c>
      <c r="D9" s="33" t="s">
        <v>470</v>
      </c>
      <c r="E9" s="33" t="s">
        <v>457</v>
      </c>
      <c r="F9" s="32">
        <v>46339</v>
      </c>
      <c r="G9" s="33" t="s">
        <v>5</v>
      </c>
      <c r="H9" s="32"/>
      <c r="I9" s="33">
        <f>IF(H9&lt;&gt;"",H9-F9,MAX(0,项目驾驶舱!$B$3-F9))</f>
        <v>0</v>
      </c>
      <c r="J9" s="33" t="str">
        <f>IF(G9="已完成","绿",IF(F9&lt;项目驾驶舱!$B$3,"红",IF(F9&lt;=项目驾驶舱!$B$3+7,"黄","绿")))</f>
        <v>绿</v>
      </c>
      <c r="K9" s="34" t="s">
        <v>69</v>
      </c>
    </row>
    <row r="10" ht="17" customHeight="1" spans="1:11">
      <c r="A10" s="31" t="s">
        <v>471</v>
      </c>
      <c r="B10" s="33" t="s">
        <v>472</v>
      </c>
      <c r="C10" s="33" t="s">
        <v>26</v>
      </c>
      <c r="D10" s="33" t="s">
        <v>473</v>
      </c>
      <c r="E10" s="33" t="s">
        <v>68</v>
      </c>
      <c r="F10" s="32">
        <v>46353</v>
      </c>
      <c r="G10" s="33" t="s">
        <v>5</v>
      </c>
      <c r="H10" s="32"/>
      <c r="I10" s="33">
        <f>IF(H10&lt;&gt;"",H10-F10,MAX(0,项目驾驶舱!$B$3-F10))</f>
        <v>0</v>
      </c>
      <c r="J10" s="33" t="str">
        <f>IF(G10="已完成","绿",IF(F10&lt;项目驾驶舱!$B$3,"红",IF(F10&lt;=项目驾驶舱!$B$3+7,"黄","绿")))</f>
        <v>绿</v>
      </c>
      <c r="K10" s="34" t="s">
        <v>69</v>
      </c>
    </row>
    <row r="11" ht="17" customHeight="1" spans="1:11">
      <c r="A11" s="31" t="s">
        <v>474</v>
      </c>
      <c r="B11" s="33" t="s">
        <v>475</v>
      </c>
      <c r="C11" s="33" t="s">
        <v>26</v>
      </c>
      <c r="D11" s="33" t="s">
        <v>463</v>
      </c>
      <c r="E11" s="33" t="s">
        <v>464</v>
      </c>
      <c r="F11" s="32">
        <v>46261</v>
      </c>
      <c r="G11" s="33" t="s">
        <v>5</v>
      </c>
      <c r="H11" s="32"/>
      <c r="I11" s="33">
        <f>IF(H11&lt;&gt;"",H11-F11,MAX(0,项目驾驶舱!$B$3-F11))</f>
        <v>7</v>
      </c>
      <c r="J11" s="33" t="str">
        <f>IF(G11="已完成","绿",IF(F11&lt;项目驾驶舱!$B$3,"红",IF(F11&lt;=项目驾驶舱!$B$3+7,"黄","绿")))</f>
        <v>红</v>
      </c>
      <c r="K11" s="34" t="s">
        <v>69</v>
      </c>
    </row>
    <row r="12" ht="17" customHeight="1" spans="1:11">
      <c r="A12" s="31" t="s">
        <v>476</v>
      </c>
      <c r="B12" s="33" t="s">
        <v>477</v>
      </c>
      <c r="C12" s="33" t="s">
        <v>478</v>
      </c>
      <c r="D12" s="33" t="s">
        <v>479</v>
      </c>
      <c r="E12" s="33" t="s">
        <v>480</v>
      </c>
      <c r="F12" s="32">
        <v>46346</v>
      </c>
      <c r="G12" s="33" t="s">
        <v>5</v>
      </c>
      <c r="H12" s="32"/>
      <c r="I12" s="33">
        <f>IF(H12&lt;&gt;"",H12-F12,MAX(0,项目驾驶舱!$B$3-F12))</f>
        <v>0</v>
      </c>
      <c r="J12" s="33" t="str">
        <f>IF(G12="已完成","绿",IF(F12&lt;项目驾驶舱!$B$3,"红",IF(F12&lt;=项目驾驶舱!$B$3+7,"黄","绿")))</f>
        <v>绿</v>
      </c>
      <c r="K12" s="34" t="s">
        <v>69</v>
      </c>
    </row>
    <row r="13" ht="17" customHeight="1" spans="1:11">
      <c r="A13" s="35" t="s">
        <v>481</v>
      </c>
      <c r="B13" s="37" t="s">
        <v>482</v>
      </c>
      <c r="C13" s="37" t="s">
        <v>478</v>
      </c>
      <c r="D13" s="37" t="s">
        <v>483</v>
      </c>
      <c r="E13" s="37" t="s">
        <v>464</v>
      </c>
      <c r="F13" s="36">
        <v>46356</v>
      </c>
      <c r="G13" s="37" t="s">
        <v>5</v>
      </c>
      <c r="H13" s="36"/>
      <c r="I13" s="37">
        <f>IF(H13&lt;&gt;"",H13-F13,MAX(0,项目驾驶舱!$B$3-F13))</f>
        <v>0</v>
      </c>
      <c r="J13" s="37" t="str">
        <f>IF(G13="已完成","绿",IF(F13&lt;项目驾驶舱!$B$3,"红",IF(F13&lt;=项目驾驶舱!$B$3+7,"黄","绿")))</f>
        <v>绿</v>
      </c>
      <c r="K13" s="38" t="s">
        <v>69</v>
      </c>
    </row>
    <row r="14" spans="1:11">
      <c r="A14" s="39"/>
      <c r="B14" s="39"/>
      <c r="C14" s="39"/>
      <c r="D14" s="39"/>
      <c r="E14" s="39"/>
      <c r="F14" s="39"/>
      <c r="G14" s="39"/>
      <c r="H14" s="39"/>
      <c r="I14" s="39"/>
      <c r="J14" s="39"/>
      <c r="K14" s="39"/>
    </row>
    <row r="15" spans="1:11">
      <c r="A15" s="39"/>
      <c r="B15" s="39"/>
      <c r="C15" s="39"/>
      <c r="D15" s="39"/>
      <c r="E15" s="39"/>
      <c r="F15" s="39"/>
      <c r="G15" s="39"/>
      <c r="H15" s="39"/>
      <c r="I15" s="39"/>
      <c r="J15" s="39"/>
      <c r="K15" s="39"/>
    </row>
    <row r="16" spans="1:11">
      <c r="A16" s="39"/>
      <c r="B16" s="39"/>
      <c r="C16" s="39"/>
      <c r="D16" s="39"/>
      <c r="E16" s="39"/>
      <c r="F16" s="39"/>
      <c r="G16" s="39"/>
      <c r="H16" s="39"/>
      <c r="I16" s="39"/>
      <c r="J16" s="39"/>
      <c r="K16" s="39"/>
    </row>
    <row r="17" spans="1:11">
      <c r="A17" s="39"/>
      <c r="B17" s="39"/>
      <c r="C17" s="39"/>
      <c r="D17" s="39"/>
      <c r="E17" s="39"/>
      <c r="F17" s="39"/>
      <c r="G17" s="39"/>
      <c r="H17" s="39"/>
      <c r="I17" s="39"/>
      <c r="J17" s="39"/>
      <c r="K17" s="39"/>
    </row>
    <row r="18" spans="1:11">
      <c r="A18" s="39"/>
      <c r="B18" s="39"/>
      <c r="C18" s="39"/>
      <c r="D18" s="39"/>
      <c r="E18" s="39"/>
      <c r="F18" s="39"/>
      <c r="G18" s="39"/>
      <c r="H18" s="39"/>
      <c r="I18" s="39"/>
      <c r="J18" s="39"/>
      <c r="K18" s="39"/>
    </row>
    <row r="19" spans="1:11">
      <c r="A19" s="39"/>
      <c r="B19" s="39"/>
      <c r="C19" s="39"/>
      <c r="D19" s="39"/>
      <c r="E19" s="39"/>
      <c r="F19" s="39"/>
      <c r="G19" s="39"/>
      <c r="H19" s="39"/>
      <c r="I19" s="39"/>
      <c r="J19" s="39"/>
      <c r="K19" s="39"/>
    </row>
    <row r="20" spans="1:11">
      <c r="A20" s="39"/>
      <c r="B20" s="39"/>
      <c r="C20" s="39"/>
      <c r="D20" s="39"/>
      <c r="E20" s="39"/>
      <c r="F20" s="39"/>
      <c r="G20" s="39"/>
      <c r="H20" s="39"/>
      <c r="I20" s="39"/>
      <c r="J20" s="39"/>
      <c r="K20" s="39"/>
    </row>
    <row r="21" spans="1:11">
      <c r="A21" s="39"/>
      <c r="B21" s="39"/>
      <c r="C21" s="39"/>
      <c r="D21" s="39"/>
      <c r="E21" s="39"/>
      <c r="F21" s="39"/>
      <c r="G21" s="39"/>
      <c r="H21" s="39"/>
      <c r="I21" s="39"/>
      <c r="J21" s="39"/>
      <c r="K21" s="39"/>
    </row>
    <row r="22" spans="1:11">
      <c r="A22" s="39"/>
      <c r="B22" s="39"/>
      <c r="C22" s="39"/>
      <c r="D22" s="39"/>
      <c r="E22" s="39"/>
      <c r="F22" s="39"/>
      <c r="G22" s="39"/>
      <c r="H22" s="39"/>
      <c r="I22" s="39"/>
      <c r="J22" s="39"/>
      <c r="K22" s="39"/>
    </row>
    <row r="23" spans="1:11">
      <c r="A23" s="39"/>
      <c r="B23" s="39"/>
      <c r="C23" s="39"/>
      <c r="D23" s="39"/>
      <c r="E23" s="39"/>
      <c r="F23" s="39"/>
      <c r="G23" s="39"/>
      <c r="H23" s="39"/>
      <c r="I23" s="39"/>
      <c r="J23" s="39"/>
      <c r="K23" s="39"/>
    </row>
  </sheetData>
  <mergeCells count="1">
    <mergeCell ref="A1:K1"/>
  </mergeCells>
  <conditionalFormatting sqref="G4:G23">
    <cfRule type="containsText" dxfId="0" priority="1" operator="between" text="已完成">
      <formula>NOT(ISERROR(SEARCH("已完成",G4)))</formula>
    </cfRule>
    <cfRule type="containsText" dxfId="1" priority="2" operator="between" text="进行中">
      <formula>NOT(ISERROR(SEARCH("进行中",G4)))</formula>
    </cfRule>
    <cfRule type="containsText" dxfId="2" priority="3" operator="between" text="未开始">
      <formula>NOT(ISERROR(SEARCH("未开始",G4)))</formula>
    </cfRule>
    <cfRule type="containsText" dxfId="3" priority="4" operator="between" text="暂停">
      <formula>NOT(ISERROR(SEARCH("暂停",G4)))</formula>
    </cfRule>
  </conditionalFormatting>
  <conditionalFormatting sqref="J4:J23">
    <cfRule type="containsText" dxfId="4" priority="5" operator="between" text="红">
      <formula>NOT(ISERROR(SEARCH("红",J4)))</formula>
    </cfRule>
    <cfRule type="containsText" dxfId="1" priority="6" operator="between" text="黄">
      <formula>NOT(ISERROR(SEARCH("黄",J4)))</formula>
    </cfRule>
    <cfRule type="containsText" dxfId="0" priority="7" operator="between" text="绿">
      <formula>NOT(ISERROR(SEARCH("绿",J4)))</formula>
    </cfRule>
  </conditionalFormatting>
  <dataValidations count="1">
    <dataValidation type="list" sqref="G4:G23">
      <formula1>"未开始,进行中,已完成,暂停"</formula1>
    </dataValidation>
  </dataValidation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
  <sheetViews>
    <sheetView showGridLines="0" workbookViewId="0">
      <pane xSplit="4" ySplit="3" topLeftCell="E4" activePane="bottomRight" state="frozen"/>
      <selection/>
      <selection pane="topRight"/>
      <selection pane="bottomLeft"/>
      <selection pane="bottomRight" activeCell="A1" sqref="A1:I1"/>
    </sheetView>
  </sheetViews>
  <sheetFormatPr defaultColWidth="9" defaultRowHeight="16.8"/>
  <cols>
    <col min="1" max="1" width="8.88235294117647" style="1" customWidth="1"/>
    <col min="2" max="2" width="13.3308823529412" style="1" customWidth="1"/>
    <col min="3" max="3" width="13" style="1" customWidth="1"/>
    <col min="4" max="4" width="60.5588235294118" style="1" customWidth="1"/>
    <col min="5" max="5" width="53.4411764705882" style="1" customWidth="1"/>
    <col min="6" max="6" width="54.3308823529412" style="1" customWidth="1"/>
    <col min="7" max="7" width="59.2279411764706" style="1" customWidth="1"/>
    <col min="8" max="8" width="12" style="1" customWidth="1"/>
    <col min="9" max="9" width="28" style="1" customWidth="1"/>
  </cols>
  <sheetData>
    <row r="1" ht="34" customHeight="1" spans="1:9">
      <c r="A1" s="23" t="s">
        <v>484</v>
      </c>
    </row>
    <row r="3" ht="30" customHeight="1" spans="1:9">
      <c r="A3" s="26" t="s">
        <v>485</v>
      </c>
      <c r="B3" s="26" t="s">
        <v>486</v>
      </c>
      <c r="C3" s="26" t="s">
        <v>487</v>
      </c>
      <c r="D3" s="26" t="s">
        <v>488</v>
      </c>
      <c r="E3" s="26" t="s">
        <v>489</v>
      </c>
      <c r="F3" s="26" t="s">
        <v>490</v>
      </c>
      <c r="G3" s="26" t="s">
        <v>491</v>
      </c>
      <c r="H3" s="26" t="s">
        <v>492</v>
      </c>
      <c r="I3" s="26" t="s">
        <v>493</v>
      </c>
    </row>
    <row r="4" ht="43.2" customHeight="1" spans="1:9">
      <c r="A4" s="41">
        <v>1</v>
      </c>
      <c r="B4" s="42">
        <v>46195</v>
      </c>
      <c r="C4" s="42">
        <v>46199</v>
      </c>
      <c r="D4" s="29" t="s">
        <v>494</v>
      </c>
      <c r="E4" s="43" t="s">
        <v>494</v>
      </c>
      <c r="F4" s="43" t="s">
        <v>494</v>
      </c>
      <c r="G4" s="29" t="s">
        <v>64</v>
      </c>
      <c r="H4" s="44">
        <f t="shared" ref="H4:H26" si="0">IF(COUNTA(D4:G4)=0,0,(IF(AND(D4&lt;&gt;"",D4&lt;&gt;"/"),1,0)+IF(AND(E4&lt;&gt;"",E4&lt;&gt;"/"),1,0)+IF(AND(F4&lt;&gt;"",F4&lt;&gt;"/"),1,0)+IF(AND(G4&lt;&gt;"",G4&lt;&gt;"/"),1,0))/4)</f>
        <v>0.75</v>
      </c>
      <c r="I4" s="45"/>
    </row>
    <row r="5" ht="65.15" customHeight="1" spans="1:9">
      <c r="A5" s="46">
        <v>2</v>
      </c>
      <c r="B5" s="47">
        <v>46202</v>
      </c>
      <c r="C5" s="47">
        <v>46206</v>
      </c>
      <c r="D5" s="33" t="s">
        <v>495</v>
      </c>
      <c r="E5" s="48"/>
      <c r="F5" s="48"/>
      <c r="G5" s="49" t="s">
        <v>494</v>
      </c>
      <c r="H5" s="50">
        <f t="shared" si="0"/>
        <v>0.5</v>
      </c>
      <c r="I5" s="51"/>
    </row>
    <row r="6" ht="32.55" customHeight="1" spans="1:9">
      <c r="A6" s="46">
        <v>3</v>
      </c>
      <c r="B6" s="47">
        <v>46209</v>
      </c>
      <c r="C6" s="47">
        <v>46213</v>
      </c>
      <c r="D6" s="33" t="s">
        <v>496</v>
      </c>
      <c r="E6" s="49" t="s">
        <v>495</v>
      </c>
      <c r="F6" s="49" t="s">
        <v>495</v>
      </c>
      <c r="G6" s="48"/>
      <c r="H6" s="50">
        <f t="shared" si="0"/>
        <v>0.75</v>
      </c>
      <c r="I6" s="51"/>
    </row>
    <row r="7" ht="55.05" customHeight="1" spans="1:9">
      <c r="A7" s="46">
        <v>4</v>
      </c>
      <c r="B7" s="47">
        <v>46216</v>
      </c>
      <c r="C7" s="47">
        <v>46220</v>
      </c>
      <c r="D7" s="33" t="s">
        <v>497</v>
      </c>
      <c r="E7" s="52"/>
      <c r="F7" s="52"/>
      <c r="G7" s="49" t="s">
        <v>498</v>
      </c>
      <c r="H7" s="50">
        <f t="shared" si="0"/>
        <v>0.5</v>
      </c>
      <c r="I7" s="51"/>
    </row>
    <row r="8" ht="16.3" customHeight="1" spans="1:9">
      <c r="A8" s="46">
        <v>5</v>
      </c>
      <c r="B8" s="47">
        <v>46223</v>
      </c>
      <c r="C8" s="47">
        <v>46227</v>
      </c>
      <c r="D8" s="33" t="s">
        <v>499</v>
      </c>
      <c r="E8" s="48"/>
      <c r="F8" s="48"/>
      <c r="G8" s="52"/>
      <c r="H8" s="50">
        <f t="shared" si="0"/>
        <v>0.25</v>
      </c>
      <c r="I8" s="51"/>
    </row>
    <row r="9" ht="16.25" customHeight="1" spans="1:9">
      <c r="A9" s="46">
        <v>6</v>
      </c>
      <c r="B9" s="47">
        <v>46230</v>
      </c>
      <c r="C9" s="47">
        <v>46234</v>
      </c>
      <c r="D9" s="49" t="s">
        <v>500</v>
      </c>
      <c r="E9" s="49" t="s">
        <v>501</v>
      </c>
      <c r="F9" s="49" t="s">
        <v>501</v>
      </c>
      <c r="G9" s="48"/>
      <c r="H9" s="50">
        <f t="shared" si="0"/>
        <v>0.75</v>
      </c>
      <c r="I9" s="51"/>
    </row>
    <row r="10" ht="51.6" customHeight="1" spans="1:9">
      <c r="A10" s="46">
        <v>7</v>
      </c>
      <c r="B10" s="47">
        <v>46237</v>
      </c>
      <c r="C10" s="47">
        <v>46241</v>
      </c>
      <c r="D10" s="48"/>
      <c r="E10" s="52"/>
      <c r="F10" s="52"/>
      <c r="G10" s="33"/>
      <c r="H10" s="50">
        <f t="shared" si="0"/>
        <v>0</v>
      </c>
      <c r="I10" s="51"/>
    </row>
    <row r="11" ht="16.25" customHeight="1" spans="1:9">
      <c r="A11" s="46">
        <v>8</v>
      </c>
      <c r="B11" s="47">
        <v>46244</v>
      </c>
      <c r="C11" s="47">
        <v>46248</v>
      </c>
      <c r="D11" s="33"/>
      <c r="E11" s="52"/>
      <c r="F11" s="52"/>
      <c r="G11" s="33"/>
      <c r="H11" s="50">
        <f t="shared" si="0"/>
        <v>0</v>
      </c>
      <c r="I11" s="51"/>
    </row>
    <row r="12" ht="16.25" customHeight="1" spans="1:9">
      <c r="A12" s="46">
        <v>9</v>
      </c>
      <c r="B12" s="47">
        <v>46251</v>
      </c>
      <c r="C12" s="47">
        <v>46255</v>
      </c>
      <c r="D12" s="33"/>
      <c r="E12" s="52"/>
      <c r="F12" s="52"/>
      <c r="G12" s="49" t="s">
        <v>501</v>
      </c>
      <c r="H12" s="50">
        <f t="shared" si="0"/>
        <v>0.25</v>
      </c>
      <c r="I12" s="51"/>
    </row>
    <row r="13" ht="16.25" customHeight="1" spans="1:9">
      <c r="A13" s="46">
        <v>10</v>
      </c>
      <c r="B13" s="47">
        <v>46258</v>
      </c>
      <c r="C13" s="47">
        <v>46262</v>
      </c>
      <c r="D13" s="33"/>
      <c r="E13" s="48"/>
      <c r="F13" s="48"/>
      <c r="G13" s="52"/>
      <c r="H13" s="50">
        <f t="shared" si="0"/>
        <v>0</v>
      </c>
      <c r="I13" s="51"/>
    </row>
    <row r="14" ht="32.55" customHeight="1" spans="1:9">
      <c r="A14" s="46">
        <v>11</v>
      </c>
      <c r="B14" s="47">
        <v>46265</v>
      </c>
      <c r="C14" s="47">
        <v>46269</v>
      </c>
      <c r="D14" s="33"/>
      <c r="E14" s="33" t="s">
        <v>497</v>
      </c>
      <c r="F14" s="33" t="s">
        <v>497</v>
      </c>
      <c r="G14" s="48"/>
      <c r="H14" s="50">
        <f t="shared" si="0"/>
        <v>0.5</v>
      </c>
      <c r="I14" s="51"/>
    </row>
    <row r="15" s="40" customFormat="1" ht="32.55" customHeight="1" spans="1:9">
      <c r="A15" s="53">
        <v>12</v>
      </c>
      <c r="B15" s="54">
        <v>46272</v>
      </c>
      <c r="C15" s="54">
        <v>46276</v>
      </c>
      <c r="D15" s="55"/>
      <c r="E15" s="56" t="s">
        <v>499</v>
      </c>
      <c r="F15" s="56" t="s">
        <v>499</v>
      </c>
      <c r="G15" s="55" t="s">
        <v>497</v>
      </c>
      <c r="H15" s="57">
        <f t="shared" si="0"/>
        <v>0.75</v>
      </c>
      <c r="I15" s="58"/>
    </row>
    <row r="16" s="40" customFormat="1" ht="16.25" customHeight="1" spans="1:9">
      <c r="A16" s="53">
        <v>13</v>
      </c>
      <c r="B16" s="54">
        <v>46279</v>
      </c>
      <c r="C16" s="54">
        <v>46283</v>
      </c>
      <c r="D16" s="55"/>
      <c r="E16" s="52"/>
      <c r="F16" s="52"/>
      <c r="G16" s="55"/>
      <c r="H16" s="57">
        <f t="shared" si="0"/>
        <v>0</v>
      </c>
      <c r="I16" s="58"/>
    </row>
    <row r="17" s="40" customFormat="1" ht="16.25" customHeight="1" spans="1:9">
      <c r="A17" s="53">
        <v>14</v>
      </c>
      <c r="B17" s="54">
        <v>46286</v>
      </c>
      <c r="C17" s="54">
        <v>46290</v>
      </c>
      <c r="D17" s="55"/>
      <c r="E17" s="52"/>
      <c r="F17" s="52"/>
      <c r="G17" s="55"/>
      <c r="H17" s="57">
        <f t="shared" si="0"/>
        <v>0</v>
      </c>
      <c r="I17" s="58"/>
    </row>
    <row r="18" s="40" customFormat="1" ht="16.25" customHeight="1" spans="1:9">
      <c r="A18" s="53">
        <v>15</v>
      </c>
      <c r="B18" s="54">
        <v>46293</v>
      </c>
      <c r="C18" s="54">
        <v>46297</v>
      </c>
      <c r="D18" s="55"/>
      <c r="E18" s="52"/>
      <c r="F18" s="52"/>
      <c r="G18" s="55"/>
      <c r="H18" s="57">
        <f t="shared" si="0"/>
        <v>0</v>
      </c>
      <c r="I18" s="58"/>
    </row>
    <row r="19" s="40" customFormat="1" ht="16.25" customHeight="1" spans="1:9">
      <c r="A19" s="53">
        <v>16</v>
      </c>
      <c r="B19" s="54">
        <v>46300</v>
      </c>
      <c r="C19" s="54">
        <v>46304</v>
      </c>
      <c r="D19" s="55"/>
      <c r="E19" s="48"/>
      <c r="F19" s="48"/>
      <c r="G19" s="55"/>
      <c r="H19" s="57">
        <f t="shared" si="0"/>
        <v>0</v>
      </c>
      <c r="I19" s="58"/>
    </row>
    <row r="20" ht="16.25" customHeight="1" spans="1:9">
      <c r="A20" s="46">
        <v>17</v>
      </c>
      <c r="B20" s="47">
        <v>46307</v>
      </c>
      <c r="C20" s="47">
        <v>46311</v>
      </c>
      <c r="D20" s="33"/>
      <c r="E20" s="49" t="s">
        <v>500</v>
      </c>
      <c r="F20" s="49" t="s">
        <v>500</v>
      </c>
      <c r="G20" s="49" t="s">
        <v>499</v>
      </c>
      <c r="H20" s="50">
        <f t="shared" si="0"/>
        <v>0.75</v>
      </c>
      <c r="I20" s="51"/>
    </row>
    <row r="21" ht="16.25" customHeight="1" spans="1:9">
      <c r="A21" s="46">
        <v>18</v>
      </c>
      <c r="B21" s="47">
        <v>46314</v>
      </c>
      <c r="C21" s="47">
        <v>46318</v>
      </c>
      <c r="D21" s="33"/>
      <c r="E21" s="52"/>
      <c r="F21" s="52"/>
      <c r="G21" s="48"/>
      <c r="H21" s="50">
        <f t="shared" si="0"/>
        <v>0</v>
      </c>
      <c r="I21" s="51"/>
    </row>
    <row r="22" ht="16.25" customHeight="1" spans="1:9">
      <c r="A22" s="46">
        <v>19</v>
      </c>
      <c r="B22" s="47">
        <v>46321</v>
      </c>
      <c r="C22" s="47">
        <v>46325</v>
      </c>
      <c r="D22" s="33"/>
      <c r="E22" s="52"/>
      <c r="F22" s="52"/>
      <c r="G22" s="33"/>
      <c r="H22" s="50">
        <f t="shared" si="0"/>
        <v>0</v>
      </c>
      <c r="I22" s="51"/>
    </row>
    <row r="23" ht="16.25" customHeight="1" spans="1:9">
      <c r="A23" s="46">
        <v>20</v>
      </c>
      <c r="B23" s="47">
        <v>46328</v>
      </c>
      <c r="C23" s="47">
        <v>46332</v>
      </c>
      <c r="D23" s="33"/>
      <c r="E23" s="52"/>
      <c r="F23" s="52"/>
      <c r="G23" s="33"/>
      <c r="H23" s="50">
        <f t="shared" si="0"/>
        <v>0</v>
      </c>
      <c r="I23" s="51"/>
    </row>
    <row r="24" ht="16.25" customHeight="1" spans="1:9">
      <c r="A24" s="46">
        <v>21</v>
      </c>
      <c r="B24" s="47">
        <v>46335</v>
      </c>
      <c r="C24" s="47">
        <v>46339</v>
      </c>
      <c r="D24" s="33"/>
      <c r="E24" s="48"/>
      <c r="F24" s="48"/>
      <c r="G24" s="33"/>
      <c r="H24" s="50">
        <f t="shared" si="0"/>
        <v>0</v>
      </c>
      <c r="I24" s="51"/>
    </row>
    <row r="25" ht="16.25" customHeight="1" spans="1:9">
      <c r="A25" s="46">
        <v>22</v>
      </c>
      <c r="B25" s="47">
        <v>46342</v>
      </c>
      <c r="C25" s="47">
        <v>46346</v>
      </c>
      <c r="D25" s="33"/>
      <c r="E25" s="33"/>
      <c r="F25" s="33"/>
      <c r="G25" s="49" t="s">
        <v>500</v>
      </c>
      <c r="H25" s="50">
        <f t="shared" si="0"/>
        <v>0.25</v>
      </c>
      <c r="I25" s="51"/>
    </row>
    <row r="26" ht="16.25" customHeight="1" spans="1:9">
      <c r="A26" s="59">
        <v>23</v>
      </c>
      <c r="B26" s="60">
        <v>46349</v>
      </c>
      <c r="C26" s="60">
        <v>46353</v>
      </c>
      <c r="D26" s="37"/>
      <c r="E26" s="37"/>
      <c r="F26" s="37"/>
      <c r="G26" s="48"/>
      <c r="H26" s="61">
        <f t="shared" si="0"/>
        <v>0</v>
      </c>
      <c r="I26" s="62"/>
    </row>
  </sheetData>
  <mergeCells count="17">
    <mergeCell ref="A1:I1"/>
    <mergeCell ref="D9:D10"/>
    <mergeCell ref="E4:E5"/>
    <mergeCell ref="E6:E8"/>
    <mergeCell ref="E9:E13"/>
    <mergeCell ref="E15:E19"/>
    <mergeCell ref="E20:E24"/>
    <mergeCell ref="F4:F5"/>
    <mergeCell ref="F6:F8"/>
    <mergeCell ref="F9:F13"/>
    <mergeCell ref="F15:F19"/>
    <mergeCell ref="F20:F24"/>
    <mergeCell ref="G5:G6"/>
    <mergeCell ref="G7:G9"/>
    <mergeCell ref="G12:G14"/>
    <mergeCell ref="G20:G21"/>
    <mergeCell ref="G25:G26"/>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53"/>
  <sheetViews>
    <sheetView showGridLines="0" workbookViewId="0">
      <selection activeCell="A1" sqref="A1:L1"/>
    </sheetView>
  </sheetViews>
  <sheetFormatPr defaultColWidth="9" defaultRowHeight="16.8"/>
  <cols>
    <col min="1" max="1" width="11" style="1" customWidth="1"/>
    <col min="2" max="2" width="23" style="1" customWidth="1"/>
    <col min="3" max="4" width="14" style="1" customWidth="1"/>
    <col min="5" max="5" width="34" style="1" customWidth="1"/>
    <col min="6" max="6" width="38" style="1" customWidth="1"/>
    <col min="7" max="7" width="11" style="1" customWidth="1"/>
    <col min="8" max="9" width="13" style="1" customWidth="1"/>
    <col min="10" max="10" width="28" style="1" customWidth="1"/>
    <col min="11" max="11" width="11" style="1" customWidth="1"/>
    <col min="12" max="12" width="45" style="1" customWidth="1"/>
  </cols>
  <sheetData>
    <row r="1" ht="34" customHeight="1" spans="1:12">
      <c r="A1" s="23" t="s">
        <v>502</v>
      </c>
    </row>
    <row r="3" ht="30" customHeight="1" spans="1:12">
      <c r="A3" s="26" t="s">
        <v>503</v>
      </c>
      <c r="B3" s="26" t="s">
        <v>504</v>
      </c>
      <c r="C3" s="26" t="s">
        <v>505</v>
      </c>
      <c r="D3" s="26" t="s">
        <v>506</v>
      </c>
      <c r="E3" s="26" t="s">
        <v>507</v>
      </c>
      <c r="F3" s="26" t="s">
        <v>508</v>
      </c>
      <c r="G3" s="26" t="s">
        <v>509</v>
      </c>
      <c r="H3" s="26" t="s">
        <v>39</v>
      </c>
      <c r="I3" s="26" t="s">
        <v>510</v>
      </c>
      <c r="J3" s="26" t="s">
        <v>511</v>
      </c>
      <c r="K3" s="26" t="s">
        <v>512</v>
      </c>
      <c r="L3" s="26" t="s">
        <v>513</v>
      </c>
    </row>
    <row r="4" ht="17" customHeight="1" spans="1:12">
      <c r="A4" s="27" t="s">
        <v>514</v>
      </c>
      <c r="B4" s="29" t="s">
        <v>515</v>
      </c>
      <c r="C4" s="29" t="s">
        <v>516</v>
      </c>
      <c r="D4" s="29" t="s">
        <v>517</v>
      </c>
      <c r="E4" s="29" t="s">
        <v>518</v>
      </c>
      <c r="F4" s="29" t="s">
        <v>3</v>
      </c>
      <c r="G4" s="29" t="s">
        <v>3</v>
      </c>
      <c r="H4" s="29"/>
      <c r="I4" s="29"/>
      <c r="J4" s="29"/>
      <c r="K4" s="29" t="s">
        <v>519</v>
      </c>
      <c r="L4" s="30"/>
    </row>
    <row r="5" ht="84" customHeight="1" spans="1:12">
      <c r="A5" s="31" t="s">
        <v>520</v>
      </c>
      <c r="B5" s="33" t="s">
        <v>521</v>
      </c>
      <c r="C5" s="33" t="s">
        <v>516</v>
      </c>
      <c r="D5" s="33" t="s">
        <v>522</v>
      </c>
      <c r="E5" s="33" t="s">
        <v>523</v>
      </c>
      <c r="F5" s="33" t="s">
        <v>524</v>
      </c>
      <c r="G5" s="33" t="s">
        <v>4</v>
      </c>
      <c r="H5" s="33"/>
      <c r="I5" s="33"/>
      <c r="J5" s="33"/>
      <c r="K5" s="33" t="s">
        <v>525</v>
      </c>
      <c r="L5" s="34" t="s">
        <v>526</v>
      </c>
    </row>
    <row r="6" ht="17" customHeight="1" spans="1:12">
      <c r="A6" s="31" t="s">
        <v>527</v>
      </c>
      <c r="B6" s="33" t="s">
        <v>528</v>
      </c>
      <c r="C6" s="33" t="s">
        <v>516</v>
      </c>
      <c r="D6" s="33" t="s">
        <v>529</v>
      </c>
      <c r="E6" s="33" t="s">
        <v>530</v>
      </c>
      <c r="F6" s="33" t="s">
        <v>3</v>
      </c>
      <c r="G6" s="33" t="s">
        <v>3</v>
      </c>
      <c r="H6" s="33"/>
      <c r="I6" s="33"/>
      <c r="J6" s="33"/>
      <c r="K6" s="33" t="s">
        <v>525</v>
      </c>
      <c r="L6" s="34" t="s">
        <v>531</v>
      </c>
    </row>
    <row r="7" ht="34" customHeight="1" spans="1:12">
      <c r="A7" s="31" t="s">
        <v>532</v>
      </c>
      <c r="B7" s="33" t="s">
        <v>533</v>
      </c>
      <c r="C7" s="33" t="s">
        <v>516</v>
      </c>
      <c r="D7" s="33"/>
      <c r="E7" s="33" t="s">
        <v>534</v>
      </c>
      <c r="F7" s="33" t="s">
        <v>535</v>
      </c>
      <c r="G7" s="33" t="s">
        <v>4</v>
      </c>
      <c r="H7" s="33"/>
      <c r="I7" s="33"/>
      <c r="J7" s="33"/>
      <c r="K7" s="33" t="s">
        <v>525</v>
      </c>
      <c r="L7" s="34" t="s">
        <v>536</v>
      </c>
    </row>
    <row r="8" ht="17" customHeight="1" spans="1:12">
      <c r="A8" s="31" t="s">
        <v>537</v>
      </c>
      <c r="B8" s="33" t="s">
        <v>538</v>
      </c>
      <c r="C8" s="33" t="s">
        <v>539</v>
      </c>
      <c r="D8" s="33" t="s">
        <v>540</v>
      </c>
      <c r="E8" s="33" t="s">
        <v>541</v>
      </c>
      <c r="F8" s="33" t="s">
        <v>542</v>
      </c>
      <c r="G8" s="33" t="s">
        <v>5</v>
      </c>
      <c r="H8" s="33"/>
      <c r="I8" s="33"/>
      <c r="J8" s="33"/>
      <c r="K8" s="33" t="s">
        <v>519</v>
      </c>
      <c r="L8" s="34" t="s">
        <v>543</v>
      </c>
    </row>
    <row r="9" ht="17" customHeight="1" spans="1:12">
      <c r="A9" s="35" t="s">
        <v>544</v>
      </c>
      <c r="B9" s="37" t="s">
        <v>545</v>
      </c>
      <c r="C9" s="37" t="s">
        <v>539</v>
      </c>
      <c r="D9" s="37" t="s">
        <v>64</v>
      </c>
      <c r="E9" s="37" t="s">
        <v>541</v>
      </c>
      <c r="F9" s="37" t="s">
        <v>542</v>
      </c>
      <c r="G9" s="37" t="s">
        <v>5</v>
      </c>
      <c r="H9" s="37"/>
      <c r="I9" s="37"/>
      <c r="J9" s="37"/>
      <c r="K9" s="37" t="s">
        <v>525</v>
      </c>
      <c r="L9" s="38" t="s">
        <v>546</v>
      </c>
    </row>
    <row r="10" spans="1:12">
      <c r="A10" s="39"/>
      <c r="B10" s="39"/>
      <c r="C10" s="39"/>
      <c r="D10" s="39"/>
      <c r="E10" s="39"/>
      <c r="F10" s="39"/>
      <c r="G10" s="39"/>
      <c r="H10" s="39"/>
      <c r="I10" s="39"/>
      <c r="J10" s="39"/>
      <c r="K10" s="39"/>
      <c r="L10" s="39"/>
    </row>
    <row r="11" spans="1:12">
      <c r="A11" s="39"/>
      <c r="B11" s="39"/>
      <c r="C11" s="39"/>
      <c r="D11" s="39"/>
      <c r="E11" s="39"/>
      <c r="F11" s="39"/>
      <c r="G11" s="39"/>
      <c r="H11" s="39"/>
      <c r="I11" s="39"/>
      <c r="J11" s="39"/>
      <c r="K11" s="39"/>
      <c r="L11" s="39"/>
    </row>
    <row r="12" spans="1:12">
      <c r="A12" s="39"/>
      <c r="B12" s="39"/>
      <c r="C12" s="39"/>
      <c r="D12" s="39"/>
      <c r="E12" s="39"/>
      <c r="F12" s="39"/>
      <c r="G12" s="39"/>
      <c r="H12" s="39"/>
      <c r="I12" s="39"/>
      <c r="J12" s="39"/>
      <c r="K12" s="39"/>
      <c r="L12" s="39"/>
    </row>
    <row r="13" spans="1:12">
      <c r="A13" s="39"/>
      <c r="B13" s="39"/>
      <c r="C13" s="39"/>
      <c r="D13" s="39"/>
      <c r="E13" s="39"/>
      <c r="F13" s="39"/>
      <c r="G13" s="39"/>
      <c r="H13" s="39"/>
      <c r="I13" s="39"/>
      <c r="J13" s="39"/>
      <c r="K13" s="39"/>
      <c r="L13" s="39"/>
    </row>
    <row r="14" spans="1:12">
      <c r="A14" s="39"/>
      <c r="B14" s="39"/>
      <c r="C14" s="39"/>
      <c r="D14" s="39"/>
      <c r="E14" s="39"/>
      <c r="F14" s="39"/>
      <c r="G14" s="39"/>
      <c r="H14" s="39"/>
      <c r="I14" s="39"/>
      <c r="J14" s="39"/>
      <c r="K14" s="39"/>
      <c r="L14" s="39"/>
    </row>
    <row r="15" spans="1:12">
      <c r="A15" s="39"/>
      <c r="B15" s="39"/>
      <c r="C15" s="39"/>
      <c r="D15" s="39"/>
      <c r="E15" s="39"/>
      <c r="F15" s="39"/>
      <c r="G15" s="39"/>
      <c r="H15" s="39"/>
      <c r="I15" s="39"/>
      <c r="J15" s="39"/>
      <c r="K15" s="39"/>
      <c r="L15" s="39"/>
    </row>
    <row r="16" spans="1:12">
      <c r="A16" s="39"/>
      <c r="B16" s="39"/>
      <c r="C16" s="39"/>
      <c r="D16" s="39"/>
      <c r="E16" s="39"/>
      <c r="F16" s="39"/>
      <c r="G16" s="39"/>
      <c r="H16" s="39"/>
      <c r="I16" s="39"/>
      <c r="J16" s="39"/>
      <c r="K16" s="39"/>
      <c r="L16" s="39"/>
    </row>
    <row r="17" spans="1:12">
      <c r="A17" s="39"/>
      <c r="B17" s="39"/>
      <c r="C17" s="39"/>
      <c r="D17" s="39"/>
      <c r="E17" s="39"/>
      <c r="F17" s="39"/>
      <c r="G17" s="39"/>
      <c r="H17" s="39"/>
      <c r="I17" s="39"/>
      <c r="J17" s="39"/>
      <c r="K17" s="39"/>
      <c r="L17" s="39"/>
    </row>
    <row r="18" spans="1:12">
      <c r="A18" s="39"/>
      <c r="B18" s="39"/>
      <c r="C18" s="39"/>
      <c r="D18" s="39"/>
      <c r="E18" s="39"/>
      <c r="F18" s="39"/>
      <c r="G18" s="39"/>
      <c r="H18" s="39"/>
      <c r="I18" s="39"/>
      <c r="J18" s="39"/>
      <c r="K18" s="39"/>
      <c r="L18" s="39"/>
    </row>
    <row r="19" spans="1:12">
      <c r="A19" s="39"/>
      <c r="B19" s="39"/>
      <c r="C19" s="39"/>
      <c r="D19" s="39"/>
      <c r="E19" s="39"/>
      <c r="F19" s="39"/>
      <c r="G19" s="39"/>
      <c r="H19" s="39"/>
      <c r="I19" s="39"/>
      <c r="J19" s="39"/>
      <c r="K19" s="39"/>
      <c r="L19" s="39"/>
    </row>
    <row r="20" spans="1:12">
      <c r="A20" s="39"/>
      <c r="B20" s="39"/>
      <c r="C20" s="39"/>
      <c r="D20" s="39"/>
      <c r="E20" s="39"/>
      <c r="F20" s="39"/>
      <c r="G20" s="39"/>
      <c r="H20" s="39"/>
      <c r="I20" s="39"/>
      <c r="J20" s="39"/>
      <c r="K20" s="39"/>
      <c r="L20" s="39"/>
    </row>
    <row r="21" spans="1:12">
      <c r="A21" s="39"/>
      <c r="B21" s="39"/>
      <c r="C21" s="39"/>
      <c r="D21" s="39"/>
      <c r="E21" s="39"/>
      <c r="F21" s="39"/>
      <c r="G21" s="39"/>
      <c r="H21" s="39"/>
      <c r="I21" s="39"/>
      <c r="J21" s="39"/>
      <c r="K21" s="39"/>
      <c r="L21" s="39"/>
    </row>
    <row r="22" spans="1:12">
      <c r="A22" s="39"/>
      <c r="B22" s="39"/>
      <c r="C22" s="39"/>
      <c r="D22" s="39"/>
      <c r="E22" s="39"/>
      <c r="F22" s="39"/>
      <c r="G22" s="39"/>
      <c r="H22" s="39"/>
      <c r="I22" s="39"/>
      <c r="J22" s="39"/>
      <c r="K22" s="39"/>
      <c r="L22" s="39"/>
    </row>
    <row r="23" spans="1:12">
      <c r="A23" s="39"/>
      <c r="B23" s="39"/>
      <c r="C23" s="39"/>
      <c r="D23" s="39"/>
      <c r="E23" s="39"/>
      <c r="F23" s="39"/>
      <c r="G23" s="39"/>
      <c r="H23" s="39"/>
      <c r="I23" s="39"/>
      <c r="J23" s="39"/>
      <c r="K23" s="39"/>
      <c r="L23" s="39"/>
    </row>
    <row r="24" spans="1:12">
      <c r="A24" s="39"/>
      <c r="B24" s="39"/>
      <c r="C24" s="39"/>
      <c r="D24" s="39"/>
      <c r="E24" s="39"/>
      <c r="F24" s="39"/>
      <c r="G24" s="39"/>
      <c r="H24" s="39"/>
      <c r="I24" s="39"/>
      <c r="J24" s="39"/>
      <c r="K24" s="39"/>
      <c r="L24" s="39"/>
    </row>
    <row r="25" spans="1:12">
      <c r="A25" s="39"/>
      <c r="B25" s="39"/>
      <c r="C25" s="39"/>
      <c r="D25" s="39"/>
      <c r="E25" s="39"/>
      <c r="F25" s="39"/>
      <c r="G25" s="39"/>
      <c r="H25" s="39"/>
      <c r="I25" s="39"/>
      <c r="J25" s="39"/>
      <c r="K25" s="39"/>
      <c r="L25" s="39"/>
    </row>
    <row r="26" spans="1:12">
      <c r="A26" s="39"/>
      <c r="B26" s="39"/>
      <c r="C26" s="39"/>
      <c r="D26" s="39"/>
      <c r="E26" s="39"/>
      <c r="F26" s="39"/>
      <c r="G26" s="39"/>
      <c r="H26" s="39"/>
      <c r="I26" s="39"/>
      <c r="J26" s="39"/>
      <c r="K26" s="39"/>
      <c r="L26" s="39"/>
    </row>
    <row r="27" spans="1:12">
      <c r="A27" s="39"/>
      <c r="B27" s="39"/>
      <c r="C27" s="39"/>
      <c r="D27" s="39"/>
      <c r="E27" s="39"/>
      <c r="F27" s="39"/>
      <c r="G27" s="39"/>
      <c r="H27" s="39"/>
      <c r="I27" s="39"/>
      <c r="J27" s="39"/>
      <c r="K27" s="39"/>
      <c r="L27" s="39"/>
    </row>
    <row r="28" spans="1:12">
      <c r="A28" s="39"/>
      <c r="B28" s="39"/>
      <c r="C28" s="39"/>
      <c r="D28" s="39"/>
      <c r="E28" s="39"/>
      <c r="F28" s="39"/>
      <c r="G28" s="39"/>
      <c r="H28" s="39"/>
      <c r="I28" s="39"/>
      <c r="J28" s="39"/>
      <c r="K28" s="39"/>
      <c r="L28" s="39"/>
    </row>
    <row r="29" spans="1:12">
      <c r="A29" s="39"/>
      <c r="B29" s="39"/>
      <c r="C29" s="39"/>
      <c r="D29" s="39"/>
      <c r="E29" s="39"/>
      <c r="F29" s="39"/>
      <c r="G29" s="39"/>
      <c r="H29" s="39"/>
      <c r="I29" s="39"/>
      <c r="J29" s="39"/>
      <c r="K29" s="39"/>
      <c r="L29" s="39"/>
    </row>
    <row r="30" spans="1:12">
      <c r="A30" s="39"/>
      <c r="B30" s="39"/>
      <c r="C30" s="39"/>
      <c r="D30" s="39"/>
      <c r="E30" s="39"/>
      <c r="F30" s="39"/>
      <c r="G30" s="39"/>
      <c r="H30" s="39"/>
      <c r="I30" s="39"/>
      <c r="J30" s="39"/>
      <c r="K30" s="39"/>
      <c r="L30" s="39"/>
    </row>
    <row r="31" spans="1:12">
      <c r="A31" s="39"/>
      <c r="B31" s="39"/>
      <c r="C31" s="39"/>
      <c r="D31" s="39"/>
      <c r="E31" s="39"/>
      <c r="F31" s="39"/>
      <c r="G31" s="39"/>
      <c r="H31" s="39"/>
      <c r="I31" s="39"/>
      <c r="J31" s="39"/>
      <c r="K31" s="39"/>
      <c r="L31" s="39"/>
    </row>
    <row r="32" spans="1:12">
      <c r="A32" s="39"/>
      <c r="B32" s="39"/>
      <c r="C32" s="39"/>
      <c r="D32" s="39"/>
      <c r="E32" s="39"/>
      <c r="F32" s="39"/>
      <c r="G32" s="39"/>
      <c r="H32" s="39"/>
      <c r="I32" s="39"/>
      <c r="J32" s="39"/>
      <c r="K32" s="39"/>
      <c r="L32" s="39"/>
    </row>
    <row r="33" spans="1:12">
      <c r="A33" s="39"/>
      <c r="B33" s="39"/>
      <c r="C33" s="39"/>
      <c r="D33" s="39"/>
      <c r="E33" s="39"/>
      <c r="F33" s="39"/>
      <c r="G33" s="39"/>
      <c r="H33" s="39"/>
      <c r="I33" s="39"/>
      <c r="J33" s="39"/>
      <c r="K33" s="39"/>
      <c r="L33" s="39"/>
    </row>
    <row r="34" spans="1:12">
      <c r="A34" s="39"/>
      <c r="B34" s="39"/>
      <c r="C34" s="39"/>
      <c r="D34" s="39"/>
      <c r="E34" s="39"/>
      <c r="F34" s="39"/>
      <c r="G34" s="39"/>
      <c r="H34" s="39"/>
      <c r="I34" s="39"/>
      <c r="J34" s="39"/>
      <c r="K34" s="39"/>
      <c r="L34" s="39"/>
    </row>
    <row r="35" spans="1:12">
      <c r="A35" s="39"/>
      <c r="B35" s="39"/>
      <c r="C35" s="39"/>
      <c r="D35" s="39"/>
      <c r="E35" s="39"/>
      <c r="F35" s="39"/>
      <c r="G35" s="39"/>
      <c r="H35" s="39"/>
      <c r="I35" s="39"/>
      <c r="J35" s="39"/>
      <c r="K35" s="39"/>
      <c r="L35" s="39"/>
    </row>
    <row r="36" spans="1:12">
      <c r="A36" s="39"/>
      <c r="B36" s="39"/>
      <c r="C36" s="39"/>
      <c r="D36" s="39"/>
      <c r="E36" s="39"/>
      <c r="F36" s="39"/>
      <c r="G36" s="39"/>
      <c r="H36" s="39"/>
      <c r="I36" s="39"/>
      <c r="J36" s="39"/>
      <c r="K36" s="39"/>
      <c r="L36" s="39"/>
    </row>
    <row r="37" spans="1:12">
      <c r="A37" s="39"/>
      <c r="B37" s="39"/>
      <c r="C37" s="39"/>
      <c r="D37" s="39"/>
      <c r="E37" s="39"/>
      <c r="F37" s="39"/>
      <c r="G37" s="39"/>
      <c r="H37" s="39"/>
      <c r="I37" s="39"/>
      <c r="J37" s="39"/>
      <c r="K37" s="39"/>
      <c r="L37" s="39"/>
    </row>
    <row r="38" spans="1:12">
      <c r="A38" s="39"/>
      <c r="B38" s="39"/>
      <c r="C38" s="39"/>
      <c r="D38" s="39"/>
      <c r="E38" s="39"/>
      <c r="F38" s="39"/>
      <c r="G38" s="39"/>
      <c r="H38" s="39"/>
      <c r="I38" s="39"/>
      <c r="J38" s="39"/>
      <c r="K38" s="39"/>
      <c r="L38" s="39"/>
    </row>
    <row r="39" spans="1:12">
      <c r="A39" s="39"/>
      <c r="B39" s="39"/>
      <c r="C39" s="39"/>
      <c r="D39" s="39"/>
      <c r="E39" s="39"/>
      <c r="F39" s="39"/>
      <c r="G39" s="39"/>
      <c r="H39" s="39"/>
      <c r="I39" s="39"/>
      <c r="J39" s="39"/>
      <c r="K39" s="39"/>
      <c r="L39" s="39"/>
    </row>
    <row r="40" spans="1:12">
      <c r="A40" s="39"/>
      <c r="B40" s="39"/>
      <c r="C40" s="39"/>
      <c r="D40" s="39"/>
      <c r="E40" s="39"/>
      <c r="F40" s="39"/>
      <c r="G40" s="39"/>
      <c r="H40" s="39"/>
      <c r="I40" s="39"/>
      <c r="J40" s="39"/>
      <c r="K40" s="39"/>
      <c r="L40" s="39"/>
    </row>
    <row r="41" spans="1:12">
      <c r="A41" s="39"/>
      <c r="B41" s="39"/>
      <c r="C41" s="39"/>
      <c r="D41" s="39"/>
      <c r="E41" s="39"/>
      <c r="F41" s="39"/>
      <c r="G41" s="39"/>
      <c r="H41" s="39"/>
      <c r="I41" s="39"/>
      <c r="J41" s="39"/>
      <c r="K41" s="39"/>
      <c r="L41" s="39"/>
    </row>
    <row r="42" spans="1:12">
      <c r="A42" s="39"/>
      <c r="B42" s="39"/>
      <c r="C42" s="39"/>
      <c r="D42" s="39"/>
      <c r="E42" s="39"/>
      <c r="F42" s="39"/>
      <c r="G42" s="39"/>
      <c r="H42" s="39"/>
      <c r="I42" s="39"/>
      <c r="J42" s="39"/>
      <c r="K42" s="39"/>
      <c r="L42" s="39"/>
    </row>
    <row r="43" spans="1:12">
      <c r="A43" s="39"/>
      <c r="B43" s="39"/>
      <c r="C43" s="39"/>
      <c r="D43" s="39"/>
      <c r="E43" s="39"/>
      <c r="F43" s="39"/>
      <c r="G43" s="39"/>
      <c r="H43" s="39"/>
      <c r="I43" s="39"/>
      <c r="J43" s="39"/>
      <c r="K43" s="39"/>
      <c r="L43" s="39"/>
    </row>
    <row r="44" spans="1:12">
      <c r="A44" s="39"/>
      <c r="B44" s="39"/>
      <c r="C44" s="39"/>
      <c r="D44" s="39"/>
      <c r="E44" s="39"/>
      <c r="F44" s="39"/>
      <c r="G44" s="39"/>
      <c r="H44" s="39"/>
      <c r="I44" s="39"/>
      <c r="J44" s="39"/>
      <c r="K44" s="39"/>
      <c r="L44" s="39"/>
    </row>
    <row r="45" spans="1:12">
      <c r="A45" s="39"/>
      <c r="B45" s="39"/>
      <c r="C45" s="39"/>
      <c r="D45" s="39"/>
      <c r="E45" s="39"/>
      <c r="F45" s="39"/>
      <c r="G45" s="39"/>
      <c r="H45" s="39"/>
      <c r="I45" s="39"/>
      <c r="J45" s="39"/>
      <c r="K45" s="39"/>
      <c r="L45" s="39"/>
    </row>
    <row r="46" spans="1:12">
      <c r="A46" s="39"/>
      <c r="B46" s="39"/>
      <c r="C46" s="39"/>
      <c r="D46" s="39"/>
      <c r="E46" s="39"/>
      <c r="F46" s="39"/>
      <c r="G46" s="39"/>
      <c r="H46" s="39"/>
      <c r="I46" s="39"/>
      <c r="J46" s="39"/>
      <c r="K46" s="39"/>
      <c r="L46" s="39"/>
    </row>
    <row r="47" spans="1:12">
      <c r="A47" s="39"/>
      <c r="B47" s="39"/>
      <c r="C47" s="39"/>
      <c r="D47" s="39"/>
      <c r="E47" s="39"/>
      <c r="F47" s="39"/>
      <c r="G47" s="39"/>
      <c r="H47" s="39"/>
      <c r="I47" s="39"/>
      <c r="J47" s="39"/>
      <c r="K47" s="39"/>
      <c r="L47" s="39"/>
    </row>
    <row r="48" spans="1:12">
      <c r="A48" s="39"/>
      <c r="B48" s="39"/>
      <c r="C48" s="39"/>
      <c r="D48" s="39"/>
      <c r="E48" s="39"/>
      <c r="F48" s="39"/>
      <c r="G48" s="39"/>
      <c r="H48" s="39"/>
      <c r="I48" s="39"/>
      <c r="J48" s="39"/>
      <c r="K48" s="39"/>
      <c r="L48" s="39"/>
    </row>
    <row r="49" spans="1:12">
      <c r="A49" s="39"/>
      <c r="B49" s="39"/>
      <c r="C49" s="39"/>
      <c r="D49" s="39"/>
      <c r="E49" s="39"/>
      <c r="F49" s="39"/>
      <c r="G49" s="39"/>
      <c r="H49" s="39"/>
      <c r="I49" s="39"/>
      <c r="J49" s="39"/>
      <c r="K49" s="39"/>
      <c r="L49" s="39"/>
    </row>
    <row r="50" spans="1:12">
      <c r="A50" s="39"/>
      <c r="B50" s="39"/>
      <c r="C50" s="39"/>
      <c r="D50" s="39"/>
      <c r="E50" s="39"/>
      <c r="F50" s="39"/>
      <c r="G50" s="39"/>
      <c r="H50" s="39"/>
      <c r="I50" s="39"/>
      <c r="J50" s="39"/>
      <c r="K50" s="39"/>
      <c r="L50" s="39"/>
    </row>
    <row r="51" spans="1:12">
      <c r="A51" s="39"/>
      <c r="B51" s="39"/>
      <c r="C51" s="39"/>
      <c r="D51" s="39"/>
      <c r="E51" s="39"/>
      <c r="F51" s="39"/>
      <c r="G51" s="39"/>
      <c r="H51" s="39"/>
      <c r="I51" s="39"/>
      <c r="J51" s="39"/>
      <c r="K51" s="39"/>
      <c r="L51" s="39"/>
    </row>
    <row r="52" spans="1:12">
      <c r="A52" s="39"/>
      <c r="B52" s="39"/>
      <c r="C52" s="39"/>
      <c r="D52" s="39"/>
      <c r="E52" s="39"/>
      <c r="F52" s="39"/>
      <c r="G52" s="39"/>
      <c r="H52" s="39"/>
      <c r="I52" s="39"/>
      <c r="J52" s="39"/>
      <c r="K52" s="39"/>
      <c r="L52" s="39"/>
    </row>
    <row r="53" spans="1:12">
      <c r="A53" s="39"/>
      <c r="B53" s="39"/>
      <c r="C53" s="39"/>
      <c r="D53" s="39"/>
      <c r="E53" s="39"/>
      <c r="F53" s="39"/>
      <c r="G53" s="39"/>
      <c r="H53" s="39"/>
      <c r="I53" s="39"/>
      <c r="J53" s="39"/>
      <c r="K53" s="39"/>
      <c r="L53" s="39"/>
    </row>
  </sheetData>
  <mergeCells count="1">
    <mergeCell ref="A1:L1"/>
  </mergeCells>
  <conditionalFormatting sqref="G4:G53">
    <cfRule type="containsText" dxfId="0" priority="1" operator="between" text="已完成">
      <formula>NOT(ISERROR(SEARCH("已完成",G4)))</formula>
    </cfRule>
    <cfRule type="containsText" dxfId="1" priority="2" operator="between" text="进行中">
      <formula>NOT(ISERROR(SEARCH("进行中",G4)))</formula>
    </cfRule>
    <cfRule type="containsText" dxfId="2" priority="3" operator="between" text="未开始">
      <formula>NOT(ISERROR(SEARCH("未开始",G4)))</formula>
    </cfRule>
    <cfRule type="containsText" dxfId="3" priority="4" operator="between" text="暂停">
      <formula>NOT(ISERROR(SEARCH("暂停",G4)))</formula>
    </cfRule>
  </conditionalFormatting>
  <dataValidations count="2">
    <dataValidation type="list" sqref="G4:G53">
      <formula1>"未开始,进行中,已完成,暂停"</formula1>
    </dataValidation>
    <dataValidation type="list" sqref="K4:K53">
      <formula1>"低,中,高"</formula1>
    </dataValidation>
  </dataValidation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3"/>
  <sheetViews>
    <sheetView showGridLines="0" workbookViewId="0">
      <selection activeCell="A1" sqref="A1:N1"/>
    </sheetView>
  </sheetViews>
  <sheetFormatPr defaultColWidth="9" defaultRowHeight="16.8"/>
  <cols>
    <col min="1" max="1" width="11" style="1" customWidth="1"/>
    <col min="2" max="2" width="10" style="1" customWidth="1"/>
    <col min="3" max="3" width="40" style="1" customWidth="1"/>
    <col min="4" max="4" width="10" style="1" customWidth="1"/>
    <col min="5" max="5" width="22" style="1" customWidth="1"/>
    <col min="6" max="6" width="14" style="1" customWidth="1"/>
    <col min="7" max="7" width="42" style="1" customWidth="1"/>
    <col min="8" max="9" width="13" style="1" customWidth="1"/>
    <col min="10" max="10" width="30" style="1" customWidth="1"/>
    <col min="11" max="13" width="11" style="1" customWidth="1"/>
    <col min="14" max="14" width="28" style="1" customWidth="1"/>
  </cols>
  <sheetData>
    <row r="1" ht="34" customHeight="1" spans="1:14">
      <c r="A1" s="23" t="s">
        <v>547</v>
      </c>
    </row>
    <row r="3" ht="30" customHeight="1" spans="1:14">
      <c r="A3" s="26" t="s">
        <v>548</v>
      </c>
      <c r="B3" s="26" t="s">
        <v>549</v>
      </c>
      <c r="C3" s="26" t="s">
        <v>550</v>
      </c>
      <c r="D3" s="26" t="s">
        <v>551</v>
      </c>
      <c r="E3" s="26" t="s">
        <v>552</v>
      </c>
      <c r="F3" s="26" t="s">
        <v>446</v>
      </c>
      <c r="G3" s="26" t="s">
        <v>553</v>
      </c>
      <c r="H3" s="26" t="s">
        <v>554</v>
      </c>
      <c r="I3" s="26" t="s">
        <v>555</v>
      </c>
      <c r="J3" s="26" t="s">
        <v>556</v>
      </c>
      <c r="K3" s="26" t="s">
        <v>21</v>
      </c>
      <c r="L3" s="26" t="s">
        <v>557</v>
      </c>
      <c r="M3" s="26" t="s">
        <v>558</v>
      </c>
      <c r="N3" s="26" t="s">
        <v>559</v>
      </c>
    </row>
    <row r="4" ht="17" customHeight="1" spans="1:14">
      <c r="A4" s="27" t="s">
        <v>560</v>
      </c>
      <c r="B4" s="29" t="s">
        <v>561</v>
      </c>
      <c r="C4" s="29" t="s">
        <v>562</v>
      </c>
      <c r="D4" s="29" t="s">
        <v>525</v>
      </c>
      <c r="E4" s="29" t="s">
        <v>563</v>
      </c>
      <c r="F4" s="29" t="s">
        <v>480</v>
      </c>
      <c r="G4" s="29" t="s">
        <v>564</v>
      </c>
      <c r="H4" s="28">
        <v>46310</v>
      </c>
      <c r="I4" s="28"/>
      <c r="J4" s="29" t="s">
        <v>565</v>
      </c>
      <c r="K4" s="29" t="s">
        <v>566</v>
      </c>
      <c r="L4" s="29">
        <f>IF(H4="","",H4-项目驾驶舱!$B$3)</f>
        <v>42</v>
      </c>
      <c r="M4" s="29" t="str">
        <f>IF(OR(K4="已关闭",H4=""),"否",IF(H4&lt;项目驾驶舱!$B$3,"是","否"))</f>
        <v>否</v>
      </c>
      <c r="N4" s="30" t="s">
        <v>567</v>
      </c>
    </row>
    <row r="5" ht="34" customHeight="1" spans="1:14">
      <c r="A5" s="31" t="s">
        <v>568</v>
      </c>
      <c r="B5" s="33" t="s">
        <v>561</v>
      </c>
      <c r="C5" s="33" t="s">
        <v>569</v>
      </c>
      <c r="D5" s="33" t="s">
        <v>525</v>
      </c>
      <c r="E5" s="33" t="s">
        <v>570</v>
      </c>
      <c r="F5" s="33" t="s">
        <v>464</v>
      </c>
      <c r="G5" s="33" t="s">
        <v>571</v>
      </c>
      <c r="H5" s="32">
        <v>46283</v>
      </c>
      <c r="I5" s="32"/>
      <c r="J5" s="33" t="s">
        <v>572</v>
      </c>
      <c r="K5" s="33" t="s">
        <v>573</v>
      </c>
      <c r="L5" s="33">
        <f>IF(H5="","",H5-项目驾驶舱!$B$3)</f>
        <v>15</v>
      </c>
      <c r="M5" s="33" t="str">
        <f>IF(OR(K5="已关闭",H5=""),"否",IF(H5&lt;项目驾驶舱!$B$3,"是","否"))</f>
        <v>否</v>
      </c>
      <c r="N5" s="34" t="s">
        <v>567</v>
      </c>
    </row>
    <row r="6" ht="17" customHeight="1" spans="1:14">
      <c r="A6" s="31" t="s">
        <v>574</v>
      </c>
      <c r="B6" s="33" t="s">
        <v>561</v>
      </c>
      <c r="C6" s="33" t="s">
        <v>575</v>
      </c>
      <c r="D6" s="33" t="s">
        <v>519</v>
      </c>
      <c r="E6" s="33" t="s">
        <v>530</v>
      </c>
      <c r="F6" s="33" t="s">
        <v>576</v>
      </c>
      <c r="G6" s="33" t="s">
        <v>577</v>
      </c>
      <c r="H6" s="32">
        <v>46290</v>
      </c>
      <c r="I6" s="32"/>
      <c r="J6" s="33" t="s">
        <v>578</v>
      </c>
      <c r="K6" s="33" t="s">
        <v>566</v>
      </c>
      <c r="L6" s="33">
        <f>IF(H6="","",H6-项目驾驶舱!$B$3)</f>
        <v>22</v>
      </c>
      <c r="M6" s="33" t="str">
        <f>IF(OR(K6="已关闭",H6=""),"否",IF(H6&lt;项目驾驶舱!$B$3,"是","否"))</f>
        <v>否</v>
      </c>
      <c r="N6" s="34" t="s">
        <v>567</v>
      </c>
    </row>
    <row r="7" ht="17" customHeight="1" spans="1:14">
      <c r="A7" s="31" t="s">
        <v>579</v>
      </c>
      <c r="B7" s="33" t="s">
        <v>561</v>
      </c>
      <c r="C7" s="33" t="s">
        <v>580</v>
      </c>
      <c r="D7" s="33" t="s">
        <v>525</v>
      </c>
      <c r="E7" s="33" t="s">
        <v>581</v>
      </c>
      <c r="F7" s="33" t="s">
        <v>480</v>
      </c>
      <c r="G7" s="33" t="s">
        <v>582</v>
      </c>
      <c r="H7" s="32">
        <v>46280</v>
      </c>
      <c r="I7" s="32"/>
      <c r="J7" s="33" t="s">
        <v>583</v>
      </c>
      <c r="K7" s="33" t="s">
        <v>573</v>
      </c>
      <c r="L7" s="33">
        <f>IF(H7="","",H7-项目驾驶舱!$B$3)</f>
        <v>12</v>
      </c>
      <c r="M7" s="33" t="str">
        <f>IF(OR(K7="已关闭",H7=""),"否",IF(H7&lt;项目驾驶舱!$B$3,"是","否"))</f>
        <v>否</v>
      </c>
      <c r="N7" s="34" t="s">
        <v>567</v>
      </c>
    </row>
    <row r="8" ht="34" customHeight="1" spans="1:14">
      <c r="A8" s="31" t="s">
        <v>584</v>
      </c>
      <c r="B8" s="33" t="s">
        <v>561</v>
      </c>
      <c r="C8" s="33" t="s">
        <v>585</v>
      </c>
      <c r="D8" s="33" t="s">
        <v>525</v>
      </c>
      <c r="E8" s="33" t="s">
        <v>586</v>
      </c>
      <c r="F8" s="33" t="s">
        <v>464</v>
      </c>
      <c r="G8" s="33" t="s">
        <v>587</v>
      </c>
      <c r="H8" s="32">
        <v>46326</v>
      </c>
      <c r="I8" s="32"/>
      <c r="J8" s="33" t="s">
        <v>588</v>
      </c>
      <c r="K8" s="33" t="s">
        <v>566</v>
      </c>
      <c r="L8" s="33">
        <f>IF(H8="","",H8-项目驾驶舱!$B$3)</f>
        <v>58</v>
      </c>
      <c r="M8" s="33" t="str">
        <f>IF(OR(K8="已关闭",H8=""),"否",IF(H8&lt;项目驾驶舱!$B$3,"是","否"))</f>
        <v>否</v>
      </c>
      <c r="N8" s="34" t="s">
        <v>567</v>
      </c>
    </row>
    <row r="9" ht="34" customHeight="1" spans="1:14">
      <c r="A9" s="31" t="s">
        <v>589</v>
      </c>
      <c r="B9" s="33" t="s">
        <v>561</v>
      </c>
      <c r="C9" s="33" t="s">
        <v>590</v>
      </c>
      <c r="D9" s="33" t="s">
        <v>525</v>
      </c>
      <c r="E9" s="33" t="s">
        <v>26</v>
      </c>
      <c r="F9" s="33" t="s">
        <v>591</v>
      </c>
      <c r="G9" s="33" t="s">
        <v>592</v>
      </c>
      <c r="H9" s="32">
        <v>46276</v>
      </c>
      <c r="I9" s="32"/>
      <c r="J9" s="33" t="s">
        <v>593</v>
      </c>
      <c r="K9" s="33" t="s">
        <v>573</v>
      </c>
      <c r="L9" s="33">
        <f>IF(H9="","",H9-项目驾驶舱!$B$3)</f>
        <v>8</v>
      </c>
      <c r="M9" s="33" t="str">
        <f>IF(OR(K9="已关闭",H9=""),"否",IF(H9&lt;项目驾驶舱!$B$3,"是","否"))</f>
        <v>否</v>
      </c>
      <c r="N9" s="34" t="s">
        <v>594</v>
      </c>
    </row>
    <row r="10" ht="17" customHeight="1" spans="1:14">
      <c r="A10" s="31"/>
      <c r="B10" s="33"/>
      <c r="C10" s="33"/>
      <c r="D10" s="33"/>
      <c r="E10" s="33"/>
      <c r="F10" s="33"/>
      <c r="G10" s="33"/>
      <c r="H10" s="32"/>
      <c r="I10" s="32"/>
      <c r="J10" s="33"/>
      <c r="K10" s="33"/>
      <c r="L10" s="33" t="str">
        <f>IF(H10="","",H10-项目驾驶舱!$B$3)</f>
        <v/>
      </c>
      <c r="M10" s="33" t="str">
        <f>IF(OR(K10="已关闭",H10=""),"否",IF(H10&lt;项目驾驶舱!$B$3,"是","否"))</f>
        <v>否</v>
      </c>
      <c r="N10" s="34"/>
    </row>
    <row r="11" ht="17" customHeight="1" spans="1:14">
      <c r="A11" s="31"/>
      <c r="B11" s="33"/>
      <c r="C11" s="33"/>
      <c r="D11" s="33"/>
      <c r="E11" s="33"/>
      <c r="F11" s="33"/>
      <c r="G11" s="33"/>
      <c r="H11" s="32"/>
      <c r="I11" s="32"/>
      <c r="J11" s="33"/>
      <c r="K11" s="33"/>
      <c r="L11" s="33" t="str">
        <f>IF(H11="","",H11-项目驾驶舱!$B$3)</f>
        <v/>
      </c>
      <c r="M11" s="33" t="str">
        <f>IF(OR(K11="已关闭",H11=""),"否",IF(H11&lt;项目驾驶舱!$B$3,"是","否"))</f>
        <v>否</v>
      </c>
      <c r="N11" s="34"/>
    </row>
    <row r="12" ht="17" customHeight="1" spans="1:14">
      <c r="A12" s="31"/>
      <c r="B12" s="33"/>
      <c r="C12" s="33"/>
      <c r="D12" s="33"/>
      <c r="E12" s="33"/>
      <c r="F12" s="33"/>
      <c r="G12" s="33"/>
      <c r="H12" s="32"/>
      <c r="I12" s="32"/>
      <c r="J12" s="33"/>
      <c r="K12" s="33"/>
      <c r="L12" s="33" t="str">
        <f>IF(H12="","",H12-项目驾驶舱!$B$3)</f>
        <v/>
      </c>
      <c r="M12" s="33" t="str">
        <f>IF(OR(K12="已关闭",H12=""),"否",IF(H12&lt;项目驾驶舱!$B$3,"是","否"))</f>
        <v>否</v>
      </c>
      <c r="N12" s="34"/>
    </row>
    <row r="13" ht="17" customHeight="1" spans="1:14">
      <c r="A13" s="31"/>
      <c r="B13" s="33"/>
      <c r="C13" s="33"/>
      <c r="D13" s="33"/>
      <c r="E13" s="33"/>
      <c r="F13" s="33"/>
      <c r="G13" s="33"/>
      <c r="H13" s="32"/>
      <c r="I13" s="32"/>
      <c r="J13" s="33"/>
      <c r="K13" s="33"/>
      <c r="L13" s="33" t="str">
        <f>IF(H13="","",H13-项目驾驶舱!$B$3)</f>
        <v/>
      </c>
      <c r="M13" s="33" t="str">
        <f>IF(OR(K13="已关闭",H13=""),"否",IF(H13&lt;项目驾驶舱!$B$3,"是","否"))</f>
        <v>否</v>
      </c>
      <c r="N13" s="34"/>
    </row>
    <row r="14" ht="17" customHeight="1" spans="1:14">
      <c r="A14" s="31"/>
      <c r="B14" s="33"/>
      <c r="C14" s="33"/>
      <c r="D14" s="33"/>
      <c r="E14" s="33"/>
      <c r="F14" s="33"/>
      <c r="G14" s="33"/>
      <c r="H14" s="32"/>
      <c r="I14" s="32"/>
      <c r="J14" s="33"/>
      <c r="K14" s="33"/>
      <c r="L14" s="33" t="str">
        <f>IF(H14="","",H14-项目驾驶舱!$B$3)</f>
        <v/>
      </c>
      <c r="M14" s="33" t="str">
        <f>IF(OR(K14="已关闭",H14=""),"否",IF(H14&lt;项目驾驶舱!$B$3,"是","否"))</f>
        <v>否</v>
      </c>
      <c r="N14" s="34"/>
    </row>
    <row r="15" ht="17" customHeight="1" spans="1:14">
      <c r="A15" s="31"/>
      <c r="B15" s="33"/>
      <c r="C15" s="33"/>
      <c r="D15" s="33"/>
      <c r="E15" s="33"/>
      <c r="F15" s="33"/>
      <c r="G15" s="33"/>
      <c r="H15" s="32"/>
      <c r="I15" s="32"/>
      <c r="J15" s="33"/>
      <c r="K15" s="33"/>
      <c r="L15" s="33" t="str">
        <f>IF(H15="","",H15-项目驾驶舱!$B$3)</f>
        <v/>
      </c>
      <c r="M15" s="33" t="str">
        <f>IF(OR(K15="已关闭",H15=""),"否",IF(H15&lt;项目驾驶舱!$B$3,"是","否"))</f>
        <v>否</v>
      </c>
      <c r="N15" s="34"/>
    </row>
    <row r="16" ht="17" customHeight="1" spans="1:14">
      <c r="A16" s="31"/>
      <c r="B16" s="33"/>
      <c r="C16" s="33"/>
      <c r="D16" s="33"/>
      <c r="E16" s="33"/>
      <c r="F16" s="33"/>
      <c r="G16" s="33"/>
      <c r="H16" s="32"/>
      <c r="I16" s="32"/>
      <c r="J16" s="33"/>
      <c r="K16" s="33"/>
      <c r="L16" s="33" t="str">
        <f>IF(H16="","",H16-项目驾驶舱!$B$3)</f>
        <v/>
      </c>
      <c r="M16" s="33" t="str">
        <f>IF(OR(K16="已关闭",H16=""),"否",IF(H16&lt;项目驾驶舱!$B$3,"是","否"))</f>
        <v>否</v>
      </c>
      <c r="N16" s="34"/>
    </row>
    <row r="17" ht="17" customHeight="1" spans="1:14">
      <c r="A17" s="31"/>
      <c r="B17" s="33"/>
      <c r="C17" s="33"/>
      <c r="D17" s="33"/>
      <c r="E17" s="33"/>
      <c r="F17" s="33"/>
      <c r="G17" s="33"/>
      <c r="H17" s="32"/>
      <c r="I17" s="32"/>
      <c r="J17" s="33"/>
      <c r="K17" s="33"/>
      <c r="L17" s="33" t="str">
        <f>IF(H17="","",H17-项目驾驶舱!$B$3)</f>
        <v/>
      </c>
      <c r="M17" s="33" t="str">
        <f>IF(OR(K17="已关闭",H17=""),"否",IF(H17&lt;项目驾驶舱!$B$3,"是","否"))</f>
        <v>否</v>
      </c>
      <c r="N17" s="34"/>
    </row>
    <row r="18" ht="17" customHeight="1" spans="1:14">
      <c r="A18" s="31"/>
      <c r="B18" s="33"/>
      <c r="C18" s="33"/>
      <c r="D18" s="33"/>
      <c r="E18" s="33"/>
      <c r="F18" s="33"/>
      <c r="G18" s="33"/>
      <c r="H18" s="32"/>
      <c r="I18" s="32"/>
      <c r="J18" s="33"/>
      <c r="K18" s="33"/>
      <c r="L18" s="33" t="str">
        <f>IF(H18="","",H18-项目驾驶舱!$B$3)</f>
        <v/>
      </c>
      <c r="M18" s="33" t="str">
        <f>IF(OR(K18="已关闭",H18=""),"否",IF(H18&lt;项目驾驶舱!$B$3,"是","否"))</f>
        <v>否</v>
      </c>
      <c r="N18" s="34"/>
    </row>
    <row r="19" ht="17" customHeight="1" spans="1:14">
      <c r="A19" s="31"/>
      <c r="B19" s="33"/>
      <c r="C19" s="33"/>
      <c r="D19" s="33"/>
      <c r="E19" s="33"/>
      <c r="F19" s="33"/>
      <c r="G19" s="33"/>
      <c r="H19" s="32"/>
      <c r="I19" s="32"/>
      <c r="J19" s="33"/>
      <c r="K19" s="33"/>
      <c r="L19" s="33" t="str">
        <f>IF(H19="","",H19-项目驾驶舱!$B$3)</f>
        <v/>
      </c>
      <c r="M19" s="33" t="str">
        <f>IF(OR(K19="已关闭",H19=""),"否",IF(H19&lt;项目驾驶舱!$B$3,"是","否"))</f>
        <v>否</v>
      </c>
      <c r="N19" s="34"/>
    </row>
    <row r="20" ht="17" customHeight="1" spans="1:14">
      <c r="A20" s="31"/>
      <c r="B20" s="33"/>
      <c r="C20" s="33"/>
      <c r="D20" s="33"/>
      <c r="E20" s="33"/>
      <c r="F20" s="33"/>
      <c r="G20" s="33"/>
      <c r="H20" s="32"/>
      <c r="I20" s="32"/>
      <c r="J20" s="33"/>
      <c r="K20" s="33"/>
      <c r="L20" s="33" t="str">
        <f>IF(H20="","",H20-项目驾驶舱!$B$3)</f>
        <v/>
      </c>
      <c r="M20" s="33" t="str">
        <f>IF(OR(K20="已关闭",H20=""),"否",IF(H20&lt;项目驾驶舱!$B$3,"是","否"))</f>
        <v>否</v>
      </c>
      <c r="N20" s="34"/>
    </row>
    <row r="21" ht="17" customHeight="1" spans="1:14">
      <c r="A21" s="31"/>
      <c r="B21" s="33"/>
      <c r="C21" s="33"/>
      <c r="D21" s="33"/>
      <c r="E21" s="33"/>
      <c r="F21" s="33"/>
      <c r="G21" s="33"/>
      <c r="H21" s="32"/>
      <c r="I21" s="32"/>
      <c r="J21" s="33"/>
      <c r="K21" s="33"/>
      <c r="L21" s="33" t="str">
        <f>IF(H21="","",H21-项目驾驶舱!$B$3)</f>
        <v/>
      </c>
      <c r="M21" s="33" t="str">
        <f>IF(OR(K21="已关闭",H21=""),"否",IF(H21&lt;项目驾驶舱!$B$3,"是","否"))</f>
        <v>否</v>
      </c>
      <c r="N21" s="34"/>
    </row>
    <row r="22" ht="17" customHeight="1" spans="1:14">
      <c r="A22" s="31"/>
      <c r="B22" s="33"/>
      <c r="C22" s="33"/>
      <c r="D22" s="33"/>
      <c r="E22" s="33"/>
      <c r="F22" s="33"/>
      <c r="G22" s="33"/>
      <c r="H22" s="32"/>
      <c r="I22" s="32"/>
      <c r="J22" s="33"/>
      <c r="K22" s="33"/>
      <c r="L22" s="33" t="str">
        <f>IF(H22="","",H22-项目驾驶舱!$B$3)</f>
        <v/>
      </c>
      <c r="M22" s="33" t="str">
        <f>IF(OR(K22="已关闭",H22=""),"否",IF(H22&lt;项目驾驶舱!$B$3,"是","否"))</f>
        <v>否</v>
      </c>
      <c r="N22" s="34"/>
    </row>
    <row r="23" ht="17" customHeight="1" spans="1:14">
      <c r="A23" s="31"/>
      <c r="B23" s="33"/>
      <c r="C23" s="33"/>
      <c r="D23" s="33"/>
      <c r="E23" s="33"/>
      <c r="F23" s="33"/>
      <c r="G23" s="33"/>
      <c r="H23" s="32"/>
      <c r="I23" s="32"/>
      <c r="J23" s="33"/>
      <c r="K23" s="33"/>
      <c r="L23" s="33" t="str">
        <f>IF(H23="","",H23-项目驾驶舱!$B$3)</f>
        <v/>
      </c>
      <c r="M23" s="33" t="str">
        <f>IF(OR(K23="已关闭",H23=""),"否",IF(H23&lt;项目驾驶舱!$B$3,"是","否"))</f>
        <v>否</v>
      </c>
      <c r="N23" s="34"/>
    </row>
    <row r="24" ht="17" customHeight="1" spans="1:14">
      <c r="A24" s="31"/>
      <c r="B24" s="33"/>
      <c r="C24" s="33"/>
      <c r="D24" s="33"/>
      <c r="E24" s="33"/>
      <c r="F24" s="33"/>
      <c r="G24" s="33"/>
      <c r="H24" s="32"/>
      <c r="I24" s="32"/>
      <c r="J24" s="33"/>
      <c r="K24" s="33"/>
      <c r="L24" s="33" t="str">
        <f>IF(H24="","",H24-项目驾驶舱!$B$3)</f>
        <v/>
      </c>
      <c r="M24" s="33" t="str">
        <f>IF(OR(K24="已关闭",H24=""),"否",IF(H24&lt;项目驾驶舱!$B$3,"是","否"))</f>
        <v>否</v>
      </c>
      <c r="N24" s="34"/>
    </row>
    <row r="25" ht="17" customHeight="1" spans="1:14">
      <c r="A25" s="31"/>
      <c r="B25" s="33"/>
      <c r="C25" s="33"/>
      <c r="D25" s="33"/>
      <c r="E25" s="33"/>
      <c r="F25" s="33"/>
      <c r="G25" s="33"/>
      <c r="H25" s="32"/>
      <c r="I25" s="32"/>
      <c r="J25" s="33"/>
      <c r="K25" s="33"/>
      <c r="L25" s="33" t="str">
        <f>IF(H25="","",H25-项目驾驶舱!$B$3)</f>
        <v/>
      </c>
      <c r="M25" s="33" t="str">
        <f>IF(OR(K25="已关闭",H25=""),"否",IF(H25&lt;项目驾驶舱!$B$3,"是","否"))</f>
        <v>否</v>
      </c>
      <c r="N25" s="34"/>
    </row>
    <row r="26" ht="17" customHeight="1" spans="1:14">
      <c r="A26" s="31"/>
      <c r="B26" s="33"/>
      <c r="C26" s="33"/>
      <c r="D26" s="33"/>
      <c r="E26" s="33"/>
      <c r="F26" s="33"/>
      <c r="G26" s="33"/>
      <c r="H26" s="32"/>
      <c r="I26" s="32"/>
      <c r="J26" s="33"/>
      <c r="K26" s="33"/>
      <c r="L26" s="33" t="str">
        <f>IF(H26="","",H26-项目驾驶舱!$B$3)</f>
        <v/>
      </c>
      <c r="M26" s="33" t="str">
        <f>IF(OR(K26="已关闭",H26=""),"否",IF(H26&lt;项目驾驶舱!$B$3,"是","否"))</f>
        <v>否</v>
      </c>
      <c r="N26" s="34"/>
    </row>
    <row r="27" ht="17" customHeight="1" spans="1:14">
      <c r="A27" s="31"/>
      <c r="B27" s="33"/>
      <c r="C27" s="33"/>
      <c r="D27" s="33"/>
      <c r="E27" s="33"/>
      <c r="F27" s="33"/>
      <c r="G27" s="33"/>
      <c r="H27" s="32"/>
      <c r="I27" s="32"/>
      <c r="J27" s="33"/>
      <c r="K27" s="33"/>
      <c r="L27" s="33" t="str">
        <f>IF(H27="","",H27-项目驾驶舱!$B$3)</f>
        <v/>
      </c>
      <c r="M27" s="33" t="str">
        <f>IF(OR(K27="已关闭",H27=""),"否",IF(H27&lt;项目驾驶舱!$B$3,"是","否"))</f>
        <v>否</v>
      </c>
      <c r="N27" s="34"/>
    </row>
    <row r="28" ht="17" customHeight="1" spans="1:14">
      <c r="A28" s="31"/>
      <c r="B28" s="33"/>
      <c r="C28" s="33"/>
      <c r="D28" s="33"/>
      <c r="E28" s="33"/>
      <c r="F28" s="33"/>
      <c r="G28" s="33"/>
      <c r="H28" s="32"/>
      <c r="I28" s="32"/>
      <c r="J28" s="33"/>
      <c r="K28" s="33"/>
      <c r="L28" s="33" t="str">
        <f>IF(H28="","",H28-项目驾驶舱!$B$3)</f>
        <v/>
      </c>
      <c r="M28" s="33" t="str">
        <f>IF(OR(K28="已关闭",H28=""),"否",IF(H28&lt;项目驾驶舱!$B$3,"是","否"))</f>
        <v>否</v>
      </c>
      <c r="N28" s="34"/>
    </row>
    <row r="29" ht="17" customHeight="1" spans="1:14">
      <c r="A29" s="31"/>
      <c r="B29" s="33"/>
      <c r="C29" s="33"/>
      <c r="D29" s="33"/>
      <c r="E29" s="33"/>
      <c r="F29" s="33"/>
      <c r="G29" s="33"/>
      <c r="H29" s="32"/>
      <c r="I29" s="32"/>
      <c r="J29" s="33"/>
      <c r="K29" s="33"/>
      <c r="L29" s="33" t="str">
        <f>IF(H29="","",H29-项目驾驶舱!$B$3)</f>
        <v/>
      </c>
      <c r="M29" s="33" t="str">
        <f>IF(OR(K29="已关闭",H29=""),"否",IF(H29&lt;项目驾驶舱!$B$3,"是","否"))</f>
        <v>否</v>
      </c>
      <c r="N29" s="34"/>
    </row>
    <row r="30" ht="17" customHeight="1" spans="1:14">
      <c r="A30" s="31"/>
      <c r="B30" s="33"/>
      <c r="C30" s="33"/>
      <c r="D30" s="33"/>
      <c r="E30" s="33"/>
      <c r="F30" s="33"/>
      <c r="G30" s="33"/>
      <c r="H30" s="32"/>
      <c r="I30" s="32"/>
      <c r="J30" s="33"/>
      <c r="K30" s="33"/>
      <c r="L30" s="33" t="str">
        <f>IF(H30="","",H30-项目驾驶舱!$B$3)</f>
        <v/>
      </c>
      <c r="M30" s="33" t="str">
        <f>IF(OR(K30="已关闭",H30=""),"否",IF(H30&lt;项目驾驶舱!$B$3,"是","否"))</f>
        <v>否</v>
      </c>
      <c r="N30" s="34"/>
    </row>
    <row r="31" ht="17" customHeight="1" spans="1:14">
      <c r="A31" s="31"/>
      <c r="B31" s="33"/>
      <c r="C31" s="33"/>
      <c r="D31" s="33"/>
      <c r="E31" s="33"/>
      <c r="F31" s="33"/>
      <c r="G31" s="33"/>
      <c r="H31" s="32"/>
      <c r="I31" s="32"/>
      <c r="J31" s="33"/>
      <c r="K31" s="33"/>
      <c r="L31" s="33" t="str">
        <f>IF(H31="","",H31-项目驾驶舱!$B$3)</f>
        <v/>
      </c>
      <c r="M31" s="33" t="str">
        <f>IF(OR(K31="已关闭",H31=""),"否",IF(H31&lt;项目驾驶舱!$B$3,"是","否"))</f>
        <v>否</v>
      </c>
      <c r="N31" s="34"/>
    </row>
    <row r="32" ht="17" customHeight="1" spans="1:14">
      <c r="A32" s="31"/>
      <c r="B32" s="33"/>
      <c r="C32" s="33"/>
      <c r="D32" s="33"/>
      <c r="E32" s="33"/>
      <c r="F32" s="33"/>
      <c r="G32" s="33"/>
      <c r="H32" s="32"/>
      <c r="I32" s="32"/>
      <c r="J32" s="33"/>
      <c r="K32" s="33"/>
      <c r="L32" s="33" t="str">
        <f>IF(H32="","",H32-项目驾驶舱!$B$3)</f>
        <v/>
      </c>
      <c r="M32" s="33" t="str">
        <f>IF(OR(K32="已关闭",H32=""),"否",IF(H32&lt;项目驾驶舱!$B$3,"是","否"))</f>
        <v>否</v>
      </c>
      <c r="N32" s="34"/>
    </row>
    <row r="33" ht="17" customHeight="1" spans="1:14">
      <c r="A33" s="31"/>
      <c r="B33" s="33"/>
      <c r="C33" s="33"/>
      <c r="D33" s="33"/>
      <c r="E33" s="33"/>
      <c r="F33" s="33"/>
      <c r="G33" s="33"/>
      <c r="H33" s="32"/>
      <c r="I33" s="32"/>
      <c r="J33" s="33"/>
      <c r="K33" s="33"/>
      <c r="L33" s="33" t="str">
        <f>IF(H33="","",H33-项目驾驶舱!$B$3)</f>
        <v/>
      </c>
      <c r="M33" s="33" t="str">
        <f>IF(OR(K33="已关闭",H33=""),"否",IF(H33&lt;项目驾驶舱!$B$3,"是","否"))</f>
        <v>否</v>
      </c>
      <c r="N33" s="34"/>
    </row>
    <row r="34" ht="17" customHeight="1" spans="1:14">
      <c r="A34" s="31"/>
      <c r="B34" s="33"/>
      <c r="C34" s="33"/>
      <c r="D34" s="33"/>
      <c r="E34" s="33"/>
      <c r="F34" s="33"/>
      <c r="G34" s="33"/>
      <c r="H34" s="32"/>
      <c r="I34" s="32"/>
      <c r="J34" s="33"/>
      <c r="K34" s="33"/>
      <c r="L34" s="33" t="str">
        <f>IF(H34="","",H34-项目驾驶舱!$B$3)</f>
        <v/>
      </c>
      <c r="M34" s="33" t="str">
        <f>IF(OR(K34="已关闭",H34=""),"否",IF(H34&lt;项目驾驶舱!$B$3,"是","否"))</f>
        <v>否</v>
      </c>
      <c r="N34" s="34"/>
    </row>
    <row r="35" ht="17" customHeight="1" spans="1:14">
      <c r="A35" s="31"/>
      <c r="B35" s="33"/>
      <c r="C35" s="33"/>
      <c r="D35" s="33"/>
      <c r="E35" s="33"/>
      <c r="F35" s="33"/>
      <c r="G35" s="33"/>
      <c r="H35" s="32"/>
      <c r="I35" s="32"/>
      <c r="J35" s="33"/>
      <c r="K35" s="33"/>
      <c r="L35" s="33" t="str">
        <f>IF(H35="","",H35-项目驾驶舱!$B$3)</f>
        <v/>
      </c>
      <c r="M35" s="33" t="str">
        <f>IF(OR(K35="已关闭",H35=""),"否",IF(H35&lt;项目驾驶舱!$B$3,"是","否"))</f>
        <v>否</v>
      </c>
      <c r="N35" s="34"/>
    </row>
    <row r="36" ht="17" customHeight="1" spans="1:14">
      <c r="A36" s="31"/>
      <c r="B36" s="33"/>
      <c r="C36" s="33"/>
      <c r="D36" s="33"/>
      <c r="E36" s="33"/>
      <c r="F36" s="33"/>
      <c r="G36" s="33"/>
      <c r="H36" s="32"/>
      <c r="I36" s="32"/>
      <c r="J36" s="33"/>
      <c r="K36" s="33"/>
      <c r="L36" s="33" t="str">
        <f>IF(H36="","",H36-项目驾驶舱!$B$3)</f>
        <v/>
      </c>
      <c r="M36" s="33" t="str">
        <f>IF(OR(K36="已关闭",H36=""),"否",IF(H36&lt;项目驾驶舱!$B$3,"是","否"))</f>
        <v>否</v>
      </c>
      <c r="N36" s="34"/>
    </row>
    <row r="37" ht="17" customHeight="1" spans="1:14">
      <c r="A37" s="31"/>
      <c r="B37" s="33"/>
      <c r="C37" s="33"/>
      <c r="D37" s="33"/>
      <c r="E37" s="33"/>
      <c r="F37" s="33"/>
      <c r="G37" s="33"/>
      <c r="H37" s="32"/>
      <c r="I37" s="32"/>
      <c r="J37" s="33"/>
      <c r="K37" s="33"/>
      <c r="L37" s="33" t="str">
        <f>IF(H37="","",H37-项目驾驶舱!$B$3)</f>
        <v/>
      </c>
      <c r="M37" s="33" t="str">
        <f>IF(OR(K37="已关闭",H37=""),"否",IF(H37&lt;项目驾驶舱!$B$3,"是","否"))</f>
        <v>否</v>
      </c>
      <c r="N37" s="34"/>
    </row>
    <row r="38" ht="17" customHeight="1" spans="1:14">
      <c r="A38" s="31"/>
      <c r="B38" s="33"/>
      <c r="C38" s="33"/>
      <c r="D38" s="33"/>
      <c r="E38" s="33"/>
      <c r="F38" s="33"/>
      <c r="G38" s="33"/>
      <c r="H38" s="32"/>
      <c r="I38" s="32"/>
      <c r="J38" s="33"/>
      <c r="K38" s="33"/>
      <c r="L38" s="33" t="str">
        <f>IF(H38="","",H38-项目驾驶舱!$B$3)</f>
        <v/>
      </c>
      <c r="M38" s="33" t="str">
        <f>IF(OR(K38="已关闭",H38=""),"否",IF(H38&lt;项目驾驶舱!$B$3,"是","否"))</f>
        <v>否</v>
      </c>
      <c r="N38" s="34"/>
    </row>
    <row r="39" ht="17" customHeight="1" spans="1:14">
      <c r="A39" s="31"/>
      <c r="B39" s="33"/>
      <c r="C39" s="33"/>
      <c r="D39" s="33"/>
      <c r="E39" s="33"/>
      <c r="F39" s="33"/>
      <c r="G39" s="33"/>
      <c r="H39" s="32"/>
      <c r="I39" s="32"/>
      <c r="J39" s="33"/>
      <c r="K39" s="33"/>
      <c r="L39" s="33" t="str">
        <f>IF(H39="","",H39-项目驾驶舱!$B$3)</f>
        <v/>
      </c>
      <c r="M39" s="33" t="str">
        <f>IF(OR(K39="已关闭",H39=""),"否",IF(H39&lt;项目驾驶舱!$B$3,"是","否"))</f>
        <v>否</v>
      </c>
      <c r="N39" s="34"/>
    </row>
    <row r="40" ht="17" customHeight="1" spans="1:14">
      <c r="A40" s="31"/>
      <c r="B40" s="33"/>
      <c r="C40" s="33"/>
      <c r="D40" s="33"/>
      <c r="E40" s="33"/>
      <c r="F40" s="33"/>
      <c r="G40" s="33"/>
      <c r="H40" s="32"/>
      <c r="I40" s="32"/>
      <c r="J40" s="33"/>
      <c r="K40" s="33"/>
      <c r="L40" s="33" t="str">
        <f>IF(H40="","",H40-项目驾驶舱!$B$3)</f>
        <v/>
      </c>
      <c r="M40" s="33" t="str">
        <f>IF(OR(K40="已关闭",H40=""),"否",IF(H40&lt;项目驾驶舱!$B$3,"是","否"))</f>
        <v>否</v>
      </c>
      <c r="N40" s="34"/>
    </row>
    <row r="41" ht="17" customHeight="1" spans="1:14">
      <c r="A41" s="31"/>
      <c r="B41" s="33"/>
      <c r="C41" s="33"/>
      <c r="D41" s="33"/>
      <c r="E41" s="33"/>
      <c r="F41" s="33"/>
      <c r="G41" s="33"/>
      <c r="H41" s="32"/>
      <c r="I41" s="32"/>
      <c r="J41" s="33"/>
      <c r="K41" s="33"/>
      <c r="L41" s="33" t="str">
        <f>IF(H41="","",H41-项目驾驶舱!$B$3)</f>
        <v/>
      </c>
      <c r="M41" s="33" t="str">
        <f>IF(OR(K41="已关闭",H41=""),"否",IF(H41&lt;项目驾驶舱!$B$3,"是","否"))</f>
        <v>否</v>
      </c>
      <c r="N41" s="34"/>
    </row>
    <row r="42" ht="17" customHeight="1" spans="1:14">
      <c r="A42" s="31"/>
      <c r="B42" s="33"/>
      <c r="C42" s="33"/>
      <c r="D42" s="33"/>
      <c r="E42" s="33"/>
      <c r="F42" s="33"/>
      <c r="G42" s="33"/>
      <c r="H42" s="32"/>
      <c r="I42" s="32"/>
      <c r="J42" s="33"/>
      <c r="K42" s="33"/>
      <c r="L42" s="33" t="str">
        <f>IF(H42="","",H42-项目驾驶舱!$B$3)</f>
        <v/>
      </c>
      <c r="M42" s="33" t="str">
        <f>IF(OR(K42="已关闭",H42=""),"否",IF(H42&lt;项目驾驶舱!$B$3,"是","否"))</f>
        <v>否</v>
      </c>
      <c r="N42" s="34"/>
    </row>
    <row r="43" ht="17" customHeight="1" spans="1:14">
      <c r="A43" s="31"/>
      <c r="B43" s="33"/>
      <c r="C43" s="33"/>
      <c r="D43" s="33"/>
      <c r="E43" s="33"/>
      <c r="F43" s="33"/>
      <c r="G43" s="33"/>
      <c r="H43" s="32"/>
      <c r="I43" s="32"/>
      <c r="J43" s="33"/>
      <c r="K43" s="33"/>
      <c r="L43" s="33" t="str">
        <f>IF(H43="","",H43-项目驾驶舱!$B$3)</f>
        <v/>
      </c>
      <c r="M43" s="33" t="str">
        <f>IF(OR(K43="已关闭",H43=""),"否",IF(H43&lt;项目驾驶舱!$B$3,"是","否"))</f>
        <v>否</v>
      </c>
      <c r="N43" s="34"/>
    </row>
    <row r="44" ht="17" customHeight="1" spans="1:14">
      <c r="A44" s="31"/>
      <c r="B44" s="33"/>
      <c r="C44" s="33"/>
      <c r="D44" s="33"/>
      <c r="E44" s="33"/>
      <c r="F44" s="33"/>
      <c r="G44" s="33"/>
      <c r="H44" s="32"/>
      <c r="I44" s="32"/>
      <c r="J44" s="33"/>
      <c r="K44" s="33"/>
      <c r="L44" s="33" t="str">
        <f>IF(H44="","",H44-项目驾驶舱!$B$3)</f>
        <v/>
      </c>
      <c r="M44" s="33" t="str">
        <f>IF(OR(K44="已关闭",H44=""),"否",IF(H44&lt;项目驾驶舱!$B$3,"是","否"))</f>
        <v>否</v>
      </c>
      <c r="N44" s="34"/>
    </row>
    <row r="45" ht="17" customHeight="1" spans="1:14">
      <c r="A45" s="31"/>
      <c r="B45" s="33"/>
      <c r="C45" s="33"/>
      <c r="D45" s="33"/>
      <c r="E45" s="33"/>
      <c r="F45" s="33"/>
      <c r="G45" s="33"/>
      <c r="H45" s="32"/>
      <c r="I45" s="32"/>
      <c r="J45" s="33"/>
      <c r="K45" s="33"/>
      <c r="L45" s="33" t="str">
        <f>IF(H45="","",H45-项目驾驶舱!$B$3)</f>
        <v/>
      </c>
      <c r="M45" s="33" t="str">
        <f>IF(OR(K45="已关闭",H45=""),"否",IF(H45&lt;项目驾驶舱!$B$3,"是","否"))</f>
        <v>否</v>
      </c>
      <c r="N45" s="34"/>
    </row>
    <row r="46" ht="17" customHeight="1" spans="1:14">
      <c r="A46" s="31"/>
      <c r="B46" s="33"/>
      <c r="C46" s="33"/>
      <c r="D46" s="33"/>
      <c r="E46" s="33"/>
      <c r="F46" s="33"/>
      <c r="G46" s="33"/>
      <c r="H46" s="32"/>
      <c r="I46" s="32"/>
      <c r="J46" s="33"/>
      <c r="K46" s="33"/>
      <c r="L46" s="33" t="str">
        <f>IF(H46="","",H46-项目驾驶舱!$B$3)</f>
        <v/>
      </c>
      <c r="M46" s="33" t="str">
        <f>IF(OR(K46="已关闭",H46=""),"否",IF(H46&lt;项目驾驶舱!$B$3,"是","否"))</f>
        <v>否</v>
      </c>
      <c r="N46" s="34"/>
    </row>
    <row r="47" ht="17" customHeight="1" spans="1:14">
      <c r="A47" s="31"/>
      <c r="B47" s="33"/>
      <c r="C47" s="33"/>
      <c r="D47" s="33"/>
      <c r="E47" s="33"/>
      <c r="F47" s="33"/>
      <c r="G47" s="33"/>
      <c r="H47" s="32"/>
      <c r="I47" s="32"/>
      <c r="J47" s="33"/>
      <c r="K47" s="33"/>
      <c r="L47" s="33" t="str">
        <f>IF(H47="","",H47-项目驾驶舱!$B$3)</f>
        <v/>
      </c>
      <c r="M47" s="33" t="str">
        <f>IF(OR(K47="已关闭",H47=""),"否",IF(H47&lt;项目驾驶舱!$B$3,"是","否"))</f>
        <v>否</v>
      </c>
      <c r="N47" s="34"/>
    </row>
    <row r="48" ht="17" customHeight="1" spans="1:14">
      <c r="A48" s="31"/>
      <c r="B48" s="33"/>
      <c r="C48" s="33"/>
      <c r="D48" s="33"/>
      <c r="E48" s="33"/>
      <c r="F48" s="33"/>
      <c r="G48" s="33"/>
      <c r="H48" s="32"/>
      <c r="I48" s="32"/>
      <c r="J48" s="33"/>
      <c r="K48" s="33"/>
      <c r="L48" s="33" t="str">
        <f>IF(H48="","",H48-项目驾驶舱!$B$3)</f>
        <v/>
      </c>
      <c r="M48" s="33" t="str">
        <f>IF(OR(K48="已关闭",H48=""),"否",IF(H48&lt;项目驾驶舱!$B$3,"是","否"))</f>
        <v>否</v>
      </c>
      <c r="N48" s="34"/>
    </row>
    <row r="49" ht="17" customHeight="1" spans="1:14">
      <c r="A49" s="31"/>
      <c r="B49" s="33"/>
      <c r="C49" s="33"/>
      <c r="D49" s="33"/>
      <c r="E49" s="33"/>
      <c r="F49" s="33"/>
      <c r="G49" s="33"/>
      <c r="H49" s="32"/>
      <c r="I49" s="32"/>
      <c r="J49" s="33"/>
      <c r="K49" s="33"/>
      <c r="L49" s="33" t="str">
        <f>IF(H49="","",H49-项目驾驶舱!$B$3)</f>
        <v/>
      </c>
      <c r="M49" s="33" t="str">
        <f>IF(OR(K49="已关闭",H49=""),"否",IF(H49&lt;项目驾驶舱!$B$3,"是","否"))</f>
        <v>否</v>
      </c>
      <c r="N49" s="34"/>
    </row>
    <row r="50" ht="17" customHeight="1" spans="1:14">
      <c r="A50" s="31"/>
      <c r="B50" s="33"/>
      <c r="C50" s="33"/>
      <c r="D50" s="33"/>
      <c r="E50" s="33"/>
      <c r="F50" s="33"/>
      <c r="G50" s="33"/>
      <c r="H50" s="32"/>
      <c r="I50" s="32"/>
      <c r="J50" s="33"/>
      <c r="K50" s="33"/>
      <c r="L50" s="33" t="str">
        <f>IF(H50="","",H50-项目驾驶舱!$B$3)</f>
        <v/>
      </c>
      <c r="M50" s="33" t="str">
        <f>IF(OR(K50="已关闭",H50=""),"否",IF(H50&lt;项目驾驶舱!$B$3,"是","否"))</f>
        <v>否</v>
      </c>
      <c r="N50" s="34"/>
    </row>
    <row r="51" ht="17" customHeight="1" spans="1:14">
      <c r="A51" s="31"/>
      <c r="B51" s="33"/>
      <c r="C51" s="33"/>
      <c r="D51" s="33"/>
      <c r="E51" s="33"/>
      <c r="F51" s="33"/>
      <c r="G51" s="33"/>
      <c r="H51" s="32"/>
      <c r="I51" s="32"/>
      <c r="J51" s="33"/>
      <c r="K51" s="33"/>
      <c r="L51" s="33" t="str">
        <f>IF(H51="","",H51-项目驾驶舱!$B$3)</f>
        <v/>
      </c>
      <c r="M51" s="33" t="str">
        <f>IF(OR(K51="已关闭",H51=""),"否",IF(H51&lt;项目驾驶舱!$B$3,"是","否"))</f>
        <v>否</v>
      </c>
      <c r="N51" s="34"/>
    </row>
    <row r="52" ht="17" customHeight="1" spans="1:14">
      <c r="A52" s="31"/>
      <c r="B52" s="33"/>
      <c r="C52" s="33"/>
      <c r="D52" s="33"/>
      <c r="E52" s="33"/>
      <c r="F52" s="33"/>
      <c r="G52" s="33"/>
      <c r="H52" s="32"/>
      <c r="I52" s="32"/>
      <c r="J52" s="33"/>
      <c r="K52" s="33"/>
      <c r="L52" s="33" t="str">
        <f>IF(H52="","",H52-项目驾驶舱!$B$3)</f>
        <v/>
      </c>
      <c r="M52" s="33" t="str">
        <f>IF(OR(K52="已关闭",H52=""),"否",IF(H52&lt;项目驾驶舱!$B$3,"是","否"))</f>
        <v>否</v>
      </c>
      <c r="N52" s="34"/>
    </row>
    <row r="53" ht="17" customHeight="1" spans="1:14">
      <c r="A53" s="31"/>
      <c r="B53" s="33"/>
      <c r="C53" s="33"/>
      <c r="D53" s="33"/>
      <c r="E53" s="33"/>
      <c r="F53" s="33"/>
      <c r="G53" s="33"/>
      <c r="H53" s="32"/>
      <c r="I53" s="32"/>
      <c r="J53" s="33"/>
      <c r="K53" s="33"/>
      <c r="L53" s="33" t="str">
        <f>IF(H53="","",H53-项目驾驶舱!$B$3)</f>
        <v/>
      </c>
      <c r="M53" s="33" t="str">
        <f>IF(OR(K53="已关闭",H53=""),"否",IF(H53&lt;项目驾驶舱!$B$3,"是","否"))</f>
        <v>否</v>
      </c>
      <c r="N53" s="34"/>
    </row>
    <row r="54" ht="17" customHeight="1" spans="1:14">
      <c r="A54" s="31"/>
      <c r="B54" s="33"/>
      <c r="C54" s="33"/>
      <c r="D54" s="33"/>
      <c r="E54" s="33"/>
      <c r="F54" s="33"/>
      <c r="G54" s="33"/>
      <c r="H54" s="32"/>
      <c r="I54" s="32"/>
      <c r="J54" s="33"/>
      <c r="K54" s="33"/>
      <c r="L54" s="33" t="str">
        <f>IF(H54="","",H54-项目驾驶舱!$B$3)</f>
        <v/>
      </c>
      <c r="M54" s="33" t="str">
        <f>IF(OR(K54="已关闭",H54=""),"否",IF(H54&lt;项目驾驶舱!$B$3,"是","否"))</f>
        <v>否</v>
      </c>
      <c r="N54" s="34"/>
    </row>
    <row r="55" ht="17" customHeight="1" spans="1:14">
      <c r="A55" s="31"/>
      <c r="B55" s="33"/>
      <c r="C55" s="33"/>
      <c r="D55" s="33"/>
      <c r="E55" s="33"/>
      <c r="F55" s="33"/>
      <c r="G55" s="33"/>
      <c r="H55" s="32"/>
      <c r="I55" s="32"/>
      <c r="J55" s="33"/>
      <c r="K55" s="33"/>
      <c r="L55" s="33" t="str">
        <f>IF(H55="","",H55-项目驾驶舱!$B$3)</f>
        <v/>
      </c>
      <c r="M55" s="33" t="str">
        <f>IF(OR(K55="已关闭",H55=""),"否",IF(H55&lt;项目驾驶舱!$B$3,"是","否"))</f>
        <v>否</v>
      </c>
      <c r="N55" s="34"/>
    </row>
    <row r="56" ht="17" customHeight="1" spans="1:14">
      <c r="A56" s="31"/>
      <c r="B56" s="33"/>
      <c r="C56" s="33"/>
      <c r="D56" s="33"/>
      <c r="E56" s="33"/>
      <c r="F56" s="33"/>
      <c r="G56" s="33"/>
      <c r="H56" s="32"/>
      <c r="I56" s="32"/>
      <c r="J56" s="33"/>
      <c r="K56" s="33"/>
      <c r="L56" s="33" t="str">
        <f>IF(H56="","",H56-项目驾驶舱!$B$3)</f>
        <v/>
      </c>
      <c r="M56" s="33" t="str">
        <f>IF(OR(K56="已关闭",H56=""),"否",IF(H56&lt;项目驾驶舱!$B$3,"是","否"))</f>
        <v>否</v>
      </c>
      <c r="N56" s="34"/>
    </row>
    <row r="57" ht="17" customHeight="1" spans="1:14">
      <c r="A57" s="31"/>
      <c r="B57" s="33"/>
      <c r="C57" s="33"/>
      <c r="D57" s="33"/>
      <c r="E57" s="33"/>
      <c r="F57" s="33"/>
      <c r="G57" s="33"/>
      <c r="H57" s="32"/>
      <c r="I57" s="32"/>
      <c r="J57" s="33"/>
      <c r="K57" s="33"/>
      <c r="L57" s="33" t="str">
        <f>IF(H57="","",H57-项目驾驶舱!$B$3)</f>
        <v/>
      </c>
      <c r="M57" s="33" t="str">
        <f>IF(OR(K57="已关闭",H57=""),"否",IF(H57&lt;项目驾驶舱!$B$3,"是","否"))</f>
        <v>否</v>
      </c>
      <c r="N57" s="34"/>
    </row>
    <row r="58" ht="17" customHeight="1" spans="1:14">
      <c r="A58" s="31"/>
      <c r="B58" s="33"/>
      <c r="C58" s="33"/>
      <c r="D58" s="33"/>
      <c r="E58" s="33"/>
      <c r="F58" s="33"/>
      <c r="G58" s="33"/>
      <c r="H58" s="32"/>
      <c r="I58" s="32"/>
      <c r="J58" s="33"/>
      <c r="K58" s="33"/>
      <c r="L58" s="33" t="str">
        <f>IF(H58="","",H58-项目驾驶舱!$B$3)</f>
        <v/>
      </c>
      <c r="M58" s="33" t="str">
        <f>IF(OR(K58="已关闭",H58=""),"否",IF(H58&lt;项目驾驶舱!$B$3,"是","否"))</f>
        <v>否</v>
      </c>
      <c r="N58" s="34"/>
    </row>
    <row r="59" ht="17" customHeight="1" spans="1:14">
      <c r="A59" s="31"/>
      <c r="B59" s="33"/>
      <c r="C59" s="33"/>
      <c r="D59" s="33"/>
      <c r="E59" s="33"/>
      <c r="F59" s="33"/>
      <c r="G59" s="33"/>
      <c r="H59" s="32"/>
      <c r="I59" s="32"/>
      <c r="J59" s="33"/>
      <c r="K59" s="33"/>
      <c r="L59" s="33" t="str">
        <f>IF(H59="","",H59-项目驾驶舱!$B$3)</f>
        <v/>
      </c>
      <c r="M59" s="33" t="str">
        <f>IF(OR(K59="已关闭",H59=""),"否",IF(H59&lt;项目驾驶舱!$B$3,"是","否"))</f>
        <v>否</v>
      </c>
      <c r="N59" s="34"/>
    </row>
    <row r="60" ht="17" customHeight="1" spans="1:14">
      <c r="A60" s="31"/>
      <c r="B60" s="33"/>
      <c r="C60" s="33"/>
      <c r="D60" s="33"/>
      <c r="E60" s="33"/>
      <c r="F60" s="33"/>
      <c r="G60" s="33"/>
      <c r="H60" s="32"/>
      <c r="I60" s="32"/>
      <c r="J60" s="33"/>
      <c r="K60" s="33"/>
      <c r="L60" s="33" t="str">
        <f>IF(H60="","",H60-项目驾驶舱!$B$3)</f>
        <v/>
      </c>
      <c r="M60" s="33" t="str">
        <f>IF(OR(K60="已关闭",H60=""),"否",IF(H60&lt;项目驾驶舱!$B$3,"是","否"))</f>
        <v>否</v>
      </c>
      <c r="N60" s="34"/>
    </row>
    <row r="61" ht="17" customHeight="1" spans="1:14">
      <c r="A61" s="31"/>
      <c r="B61" s="33"/>
      <c r="C61" s="33"/>
      <c r="D61" s="33"/>
      <c r="E61" s="33"/>
      <c r="F61" s="33"/>
      <c r="G61" s="33"/>
      <c r="H61" s="32"/>
      <c r="I61" s="32"/>
      <c r="J61" s="33"/>
      <c r="K61" s="33"/>
      <c r="L61" s="33" t="str">
        <f>IF(H61="","",H61-项目驾驶舱!$B$3)</f>
        <v/>
      </c>
      <c r="M61" s="33" t="str">
        <f>IF(OR(K61="已关闭",H61=""),"否",IF(H61&lt;项目驾驶舱!$B$3,"是","否"))</f>
        <v>否</v>
      </c>
      <c r="N61" s="34"/>
    </row>
    <row r="62" ht="17" customHeight="1" spans="1:14">
      <c r="A62" s="31"/>
      <c r="B62" s="33"/>
      <c r="C62" s="33"/>
      <c r="D62" s="33"/>
      <c r="E62" s="33"/>
      <c r="F62" s="33"/>
      <c r="G62" s="33"/>
      <c r="H62" s="32"/>
      <c r="I62" s="32"/>
      <c r="J62" s="33"/>
      <c r="K62" s="33"/>
      <c r="L62" s="33" t="str">
        <f>IF(H62="","",H62-项目驾驶舱!$B$3)</f>
        <v/>
      </c>
      <c r="M62" s="33" t="str">
        <f>IF(OR(K62="已关闭",H62=""),"否",IF(H62&lt;项目驾驶舱!$B$3,"是","否"))</f>
        <v>否</v>
      </c>
      <c r="N62" s="34"/>
    </row>
    <row r="63" ht="17" customHeight="1" spans="1:14">
      <c r="A63" s="31"/>
      <c r="B63" s="33"/>
      <c r="C63" s="33"/>
      <c r="D63" s="33"/>
      <c r="E63" s="33"/>
      <c r="F63" s="33"/>
      <c r="G63" s="33"/>
      <c r="H63" s="32"/>
      <c r="I63" s="32"/>
      <c r="J63" s="33"/>
      <c r="K63" s="33"/>
      <c r="L63" s="33" t="str">
        <f>IF(H63="","",H63-项目驾驶舱!$B$3)</f>
        <v/>
      </c>
      <c r="M63" s="33" t="str">
        <f>IF(OR(K63="已关闭",H63=""),"否",IF(H63&lt;项目驾驶舱!$B$3,"是","否"))</f>
        <v>否</v>
      </c>
      <c r="N63" s="34"/>
    </row>
    <row r="64" ht="17" customHeight="1" spans="1:14">
      <c r="A64" s="31"/>
      <c r="B64" s="33"/>
      <c r="C64" s="33"/>
      <c r="D64" s="33"/>
      <c r="E64" s="33"/>
      <c r="F64" s="33"/>
      <c r="G64" s="33"/>
      <c r="H64" s="32"/>
      <c r="I64" s="32"/>
      <c r="J64" s="33"/>
      <c r="K64" s="33"/>
      <c r="L64" s="33" t="str">
        <f>IF(H64="","",H64-项目驾驶舱!$B$3)</f>
        <v/>
      </c>
      <c r="M64" s="33" t="str">
        <f>IF(OR(K64="已关闭",H64=""),"否",IF(H64&lt;项目驾驶舱!$B$3,"是","否"))</f>
        <v>否</v>
      </c>
      <c r="N64" s="34"/>
    </row>
    <row r="65" ht="17" customHeight="1" spans="1:14">
      <c r="A65" s="31"/>
      <c r="B65" s="33"/>
      <c r="C65" s="33"/>
      <c r="D65" s="33"/>
      <c r="E65" s="33"/>
      <c r="F65" s="33"/>
      <c r="G65" s="33"/>
      <c r="H65" s="32"/>
      <c r="I65" s="32"/>
      <c r="J65" s="33"/>
      <c r="K65" s="33"/>
      <c r="L65" s="33" t="str">
        <f>IF(H65="","",H65-项目驾驶舱!$B$3)</f>
        <v/>
      </c>
      <c r="M65" s="33" t="str">
        <f>IF(OR(K65="已关闭",H65=""),"否",IF(H65&lt;项目驾驶舱!$B$3,"是","否"))</f>
        <v>否</v>
      </c>
      <c r="N65" s="34"/>
    </row>
    <row r="66" ht="17" customHeight="1" spans="1:14">
      <c r="A66" s="31"/>
      <c r="B66" s="33"/>
      <c r="C66" s="33"/>
      <c r="D66" s="33"/>
      <c r="E66" s="33"/>
      <c r="F66" s="33"/>
      <c r="G66" s="33"/>
      <c r="H66" s="32"/>
      <c r="I66" s="32"/>
      <c r="J66" s="33"/>
      <c r="K66" s="33"/>
      <c r="L66" s="33" t="str">
        <f>IF(H66="","",H66-项目驾驶舱!$B$3)</f>
        <v/>
      </c>
      <c r="M66" s="33" t="str">
        <f>IF(OR(K66="已关闭",H66=""),"否",IF(H66&lt;项目驾驶舱!$B$3,"是","否"))</f>
        <v>否</v>
      </c>
      <c r="N66" s="34"/>
    </row>
    <row r="67" ht="17" customHeight="1" spans="1:14">
      <c r="A67" s="31"/>
      <c r="B67" s="33"/>
      <c r="C67" s="33"/>
      <c r="D67" s="33"/>
      <c r="E67" s="33"/>
      <c r="F67" s="33"/>
      <c r="G67" s="33"/>
      <c r="H67" s="32"/>
      <c r="I67" s="32"/>
      <c r="J67" s="33"/>
      <c r="K67" s="33"/>
      <c r="L67" s="33" t="str">
        <f>IF(H67="","",H67-项目驾驶舱!$B$3)</f>
        <v/>
      </c>
      <c r="M67" s="33" t="str">
        <f>IF(OR(K67="已关闭",H67=""),"否",IF(H67&lt;项目驾驶舱!$B$3,"是","否"))</f>
        <v>否</v>
      </c>
      <c r="N67" s="34"/>
    </row>
    <row r="68" ht="17" customHeight="1" spans="1:14">
      <c r="A68" s="31"/>
      <c r="B68" s="33"/>
      <c r="C68" s="33"/>
      <c r="D68" s="33"/>
      <c r="E68" s="33"/>
      <c r="F68" s="33"/>
      <c r="G68" s="33"/>
      <c r="H68" s="32"/>
      <c r="I68" s="32"/>
      <c r="J68" s="33"/>
      <c r="K68" s="33"/>
      <c r="L68" s="33" t="str">
        <f>IF(H68="","",H68-项目驾驶舱!$B$3)</f>
        <v/>
      </c>
      <c r="M68" s="33" t="str">
        <f>IF(OR(K68="已关闭",H68=""),"否",IF(H68&lt;项目驾驶舱!$B$3,"是","否"))</f>
        <v>否</v>
      </c>
      <c r="N68" s="34"/>
    </row>
    <row r="69" ht="17" customHeight="1" spans="1:14">
      <c r="A69" s="31"/>
      <c r="B69" s="33"/>
      <c r="C69" s="33"/>
      <c r="D69" s="33"/>
      <c r="E69" s="33"/>
      <c r="F69" s="33"/>
      <c r="G69" s="33"/>
      <c r="H69" s="32"/>
      <c r="I69" s="32"/>
      <c r="J69" s="33"/>
      <c r="K69" s="33"/>
      <c r="L69" s="33" t="str">
        <f>IF(H69="","",H69-项目驾驶舱!$B$3)</f>
        <v/>
      </c>
      <c r="M69" s="33" t="str">
        <f>IF(OR(K69="已关闭",H69=""),"否",IF(H69&lt;项目驾驶舱!$B$3,"是","否"))</f>
        <v>否</v>
      </c>
      <c r="N69" s="34"/>
    </row>
    <row r="70" ht="17" customHeight="1" spans="1:14">
      <c r="A70" s="31"/>
      <c r="B70" s="33"/>
      <c r="C70" s="33"/>
      <c r="D70" s="33"/>
      <c r="E70" s="33"/>
      <c r="F70" s="33"/>
      <c r="G70" s="33"/>
      <c r="H70" s="32"/>
      <c r="I70" s="32"/>
      <c r="J70" s="33"/>
      <c r="K70" s="33"/>
      <c r="L70" s="33" t="str">
        <f>IF(H70="","",H70-项目驾驶舱!$B$3)</f>
        <v/>
      </c>
      <c r="M70" s="33" t="str">
        <f>IF(OR(K70="已关闭",H70=""),"否",IF(H70&lt;项目驾驶舱!$B$3,"是","否"))</f>
        <v>否</v>
      </c>
      <c r="N70" s="34"/>
    </row>
    <row r="71" ht="17" customHeight="1" spans="1:14">
      <c r="A71" s="31"/>
      <c r="B71" s="33"/>
      <c r="C71" s="33"/>
      <c r="D71" s="33"/>
      <c r="E71" s="33"/>
      <c r="F71" s="33"/>
      <c r="G71" s="33"/>
      <c r="H71" s="32"/>
      <c r="I71" s="32"/>
      <c r="J71" s="33"/>
      <c r="K71" s="33"/>
      <c r="L71" s="33" t="str">
        <f>IF(H71="","",H71-项目驾驶舱!$B$3)</f>
        <v/>
      </c>
      <c r="M71" s="33" t="str">
        <f>IF(OR(K71="已关闭",H71=""),"否",IF(H71&lt;项目驾驶舱!$B$3,"是","否"))</f>
        <v>否</v>
      </c>
      <c r="N71" s="34"/>
    </row>
    <row r="72" ht="17" customHeight="1" spans="1:14">
      <c r="A72" s="31"/>
      <c r="B72" s="33"/>
      <c r="C72" s="33"/>
      <c r="D72" s="33"/>
      <c r="E72" s="33"/>
      <c r="F72" s="33"/>
      <c r="G72" s="33"/>
      <c r="H72" s="32"/>
      <c r="I72" s="32"/>
      <c r="J72" s="33"/>
      <c r="K72" s="33"/>
      <c r="L72" s="33" t="str">
        <f>IF(H72="","",H72-项目驾驶舱!$B$3)</f>
        <v/>
      </c>
      <c r="M72" s="33" t="str">
        <f>IF(OR(K72="已关闭",H72=""),"否",IF(H72&lt;项目驾驶舱!$B$3,"是","否"))</f>
        <v>否</v>
      </c>
      <c r="N72" s="34"/>
    </row>
    <row r="73" ht="17" customHeight="1" spans="1:14">
      <c r="A73" s="31"/>
      <c r="B73" s="33"/>
      <c r="C73" s="33"/>
      <c r="D73" s="33"/>
      <c r="E73" s="33"/>
      <c r="F73" s="33"/>
      <c r="G73" s="33"/>
      <c r="H73" s="32"/>
      <c r="I73" s="32"/>
      <c r="J73" s="33"/>
      <c r="K73" s="33"/>
      <c r="L73" s="33" t="str">
        <f>IF(H73="","",H73-项目驾驶舱!$B$3)</f>
        <v/>
      </c>
      <c r="M73" s="33" t="str">
        <f>IF(OR(K73="已关闭",H73=""),"否",IF(H73&lt;项目驾驶舱!$B$3,"是","否"))</f>
        <v>否</v>
      </c>
      <c r="N73" s="34"/>
    </row>
    <row r="74" ht="17" customHeight="1" spans="1:14">
      <c r="A74" s="31"/>
      <c r="B74" s="33"/>
      <c r="C74" s="33"/>
      <c r="D74" s="33"/>
      <c r="E74" s="33"/>
      <c r="F74" s="33"/>
      <c r="G74" s="33"/>
      <c r="H74" s="32"/>
      <c r="I74" s="32"/>
      <c r="J74" s="33"/>
      <c r="K74" s="33"/>
      <c r="L74" s="33" t="str">
        <f>IF(H74="","",H74-项目驾驶舱!$B$3)</f>
        <v/>
      </c>
      <c r="M74" s="33" t="str">
        <f>IF(OR(K74="已关闭",H74=""),"否",IF(H74&lt;项目驾驶舱!$B$3,"是","否"))</f>
        <v>否</v>
      </c>
      <c r="N74" s="34"/>
    </row>
    <row r="75" ht="17" customHeight="1" spans="1:14">
      <c r="A75" s="31"/>
      <c r="B75" s="33"/>
      <c r="C75" s="33"/>
      <c r="D75" s="33"/>
      <c r="E75" s="33"/>
      <c r="F75" s="33"/>
      <c r="G75" s="33"/>
      <c r="H75" s="32"/>
      <c r="I75" s="32"/>
      <c r="J75" s="33"/>
      <c r="K75" s="33"/>
      <c r="L75" s="33" t="str">
        <f>IF(H75="","",H75-项目驾驶舱!$B$3)</f>
        <v/>
      </c>
      <c r="M75" s="33" t="str">
        <f>IF(OR(K75="已关闭",H75=""),"否",IF(H75&lt;项目驾驶舱!$B$3,"是","否"))</f>
        <v>否</v>
      </c>
      <c r="N75" s="34"/>
    </row>
    <row r="76" ht="17" customHeight="1" spans="1:14">
      <c r="A76" s="31"/>
      <c r="B76" s="33"/>
      <c r="C76" s="33"/>
      <c r="D76" s="33"/>
      <c r="E76" s="33"/>
      <c r="F76" s="33"/>
      <c r="G76" s="33"/>
      <c r="H76" s="32"/>
      <c r="I76" s="32"/>
      <c r="J76" s="33"/>
      <c r="K76" s="33"/>
      <c r="L76" s="33" t="str">
        <f>IF(H76="","",H76-项目驾驶舱!$B$3)</f>
        <v/>
      </c>
      <c r="M76" s="33" t="str">
        <f>IF(OR(K76="已关闭",H76=""),"否",IF(H76&lt;项目驾驶舱!$B$3,"是","否"))</f>
        <v>否</v>
      </c>
      <c r="N76" s="34"/>
    </row>
    <row r="77" ht="17" customHeight="1" spans="1:14">
      <c r="A77" s="31"/>
      <c r="B77" s="33"/>
      <c r="C77" s="33"/>
      <c r="D77" s="33"/>
      <c r="E77" s="33"/>
      <c r="F77" s="33"/>
      <c r="G77" s="33"/>
      <c r="H77" s="32"/>
      <c r="I77" s="32"/>
      <c r="J77" s="33"/>
      <c r="K77" s="33"/>
      <c r="L77" s="33" t="str">
        <f>IF(H77="","",H77-项目驾驶舱!$B$3)</f>
        <v/>
      </c>
      <c r="M77" s="33" t="str">
        <f>IF(OR(K77="已关闭",H77=""),"否",IF(H77&lt;项目驾驶舱!$B$3,"是","否"))</f>
        <v>否</v>
      </c>
      <c r="N77" s="34"/>
    </row>
    <row r="78" ht="17" customHeight="1" spans="1:14">
      <c r="A78" s="31"/>
      <c r="B78" s="33"/>
      <c r="C78" s="33"/>
      <c r="D78" s="33"/>
      <c r="E78" s="33"/>
      <c r="F78" s="33"/>
      <c r="G78" s="33"/>
      <c r="H78" s="32"/>
      <c r="I78" s="32"/>
      <c r="J78" s="33"/>
      <c r="K78" s="33"/>
      <c r="L78" s="33" t="str">
        <f>IF(H78="","",H78-项目驾驶舱!$B$3)</f>
        <v/>
      </c>
      <c r="M78" s="33" t="str">
        <f>IF(OR(K78="已关闭",H78=""),"否",IF(H78&lt;项目驾驶舱!$B$3,"是","否"))</f>
        <v>否</v>
      </c>
      <c r="N78" s="34"/>
    </row>
    <row r="79" ht="17" customHeight="1" spans="1:14">
      <c r="A79" s="31"/>
      <c r="B79" s="33"/>
      <c r="C79" s="33"/>
      <c r="D79" s="33"/>
      <c r="E79" s="33"/>
      <c r="F79" s="33"/>
      <c r="G79" s="33"/>
      <c r="H79" s="32"/>
      <c r="I79" s="32"/>
      <c r="J79" s="33"/>
      <c r="K79" s="33"/>
      <c r="L79" s="33" t="str">
        <f>IF(H79="","",H79-项目驾驶舱!$B$3)</f>
        <v/>
      </c>
      <c r="M79" s="33" t="str">
        <f>IF(OR(K79="已关闭",H79=""),"否",IF(H79&lt;项目驾驶舱!$B$3,"是","否"))</f>
        <v>否</v>
      </c>
      <c r="N79" s="34"/>
    </row>
    <row r="80" ht="17" customHeight="1" spans="1:14">
      <c r="A80" s="31"/>
      <c r="B80" s="33"/>
      <c r="C80" s="33"/>
      <c r="D80" s="33"/>
      <c r="E80" s="33"/>
      <c r="F80" s="33"/>
      <c r="G80" s="33"/>
      <c r="H80" s="32"/>
      <c r="I80" s="32"/>
      <c r="J80" s="33"/>
      <c r="K80" s="33"/>
      <c r="L80" s="33" t="str">
        <f>IF(H80="","",H80-项目驾驶舱!$B$3)</f>
        <v/>
      </c>
      <c r="M80" s="33" t="str">
        <f>IF(OR(K80="已关闭",H80=""),"否",IF(H80&lt;项目驾驶舱!$B$3,"是","否"))</f>
        <v>否</v>
      </c>
      <c r="N80" s="34"/>
    </row>
    <row r="81" ht="17" customHeight="1" spans="1:14">
      <c r="A81" s="31"/>
      <c r="B81" s="33"/>
      <c r="C81" s="33"/>
      <c r="D81" s="33"/>
      <c r="E81" s="33"/>
      <c r="F81" s="33"/>
      <c r="G81" s="33"/>
      <c r="H81" s="32"/>
      <c r="I81" s="32"/>
      <c r="J81" s="33"/>
      <c r="K81" s="33"/>
      <c r="L81" s="33" t="str">
        <f>IF(H81="","",H81-项目驾驶舱!$B$3)</f>
        <v/>
      </c>
      <c r="M81" s="33" t="str">
        <f>IF(OR(K81="已关闭",H81=""),"否",IF(H81&lt;项目驾驶舱!$B$3,"是","否"))</f>
        <v>否</v>
      </c>
      <c r="N81" s="34"/>
    </row>
    <row r="82" ht="17" customHeight="1" spans="1:14">
      <c r="A82" s="31"/>
      <c r="B82" s="33"/>
      <c r="C82" s="33"/>
      <c r="D82" s="33"/>
      <c r="E82" s="33"/>
      <c r="F82" s="33"/>
      <c r="G82" s="33"/>
      <c r="H82" s="32"/>
      <c r="I82" s="32"/>
      <c r="J82" s="33"/>
      <c r="K82" s="33"/>
      <c r="L82" s="33" t="str">
        <f>IF(H82="","",H82-项目驾驶舱!$B$3)</f>
        <v/>
      </c>
      <c r="M82" s="33" t="str">
        <f>IF(OR(K82="已关闭",H82=""),"否",IF(H82&lt;项目驾驶舱!$B$3,"是","否"))</f>
        <v>否</v>
      </c>
      <c r="N82" s="34"/>
    </row>
    <row r="83" ht="17" customHeight="1" spans="1:14">
      <c r="A83" s="31"/>
      <c r="B83" s="33"/>
      <c r="C83" s="33"/>
      <c r="D83" s="33"/>
      <c r="E83" s="33"/>
      <c r="F83" s="33"/>
      <c r="G83" s="33"/>
      <c r="H83" s="32"/>
      <c r="I83" s="32"/>
      <c r="J83" s="33"/>
      <c r="K83" s="33"/>
      <c r="L83" s="33" t="str">
        <f>IF(H83="","",H83-项目驾驶舱!$B$3)</f>
        <v/>
      </c>
      <c r="M83" s="33" t="str">
        <f>IF(OR(K83="已关闭",H83=""),"否",IF(H83&lt;项目驾驶舱!$B$3,"是","否"))</f>
        <v>否</v>
      </c>
      <c r="N83" s="34"/>
    </row>
    <row r="84" ht="17" customHeight="1" spans="1:14">
      <c r="A84" s="31"/>
      <c r="B84" s="33"/>
      <c r="C84" s="33"/>
      <c r="D84" s="33"/>
      <c r="E84" s="33"/>
      <c r="F84" s="33"/>
      <c r="G84" s="33"/>
      <c r="H84" s="32"/>
      <c r="I84" s="32"/>
      <c r="J84" s="33"/>
      <c r="K84" s="33"/>
      <c r="L84" s="33" t="str">
        <f>IF(H84="","",H84-项目驾驶舱!$B$3)</f>
        <v/>
      </c>
      <c r="M84" s="33" t="str">
        <f>IF(OR(K84="已关闭",H84=""),"否",IF(H84&lt;项目驾驶舱!$B$3,"是","否"))</f>
        <v>否</v>
      </c>
      <c r="N84" s="34"/>
    </row>
    <row r="85" ht="17" customHeight="1" spans="1:14">
      <c r="A85" s="31"/>
      <c r="B85" s="33"/>
      <c r="C85" s="33"/>
      <c r="D85" s="33"/>
      <c r="E85" s="33"/>
      <c r="F85" s="33"/>
      <c r="G85" s="33"/>
      <c r="H85" s="32"/>
      <c r="I85" s="32"/>
      <c r="J85" s="33"/>
      <c r="K85" s="33"/>
      <c r="L85" s="33" t="str">
        <f>IF(H85="","",H85-项目驾驶舱!$B$3)</f>
        <v/>
      </c>
      <c r="M85" s="33" t="str">
        <f>IF(OR(K85="已关闭",H85=""),"否",IF(H85&lt;项目驾驶舱!$B$3,"是","否"))</f>
        <v>否</v>
      </c>
      <c r="N85" s="34"/>
    </row>
    <row r="86" ht="17" customHeight="1" spans="1:14">
      <c r="A86" s="31"/>
      <c r="B86" s="33"/>
      <c r="C86" s="33"/>
      <c r="D86" s="33"/>
      <c r="E86" s="33"/>
      <c r="F86" s="33"/>
      <c r="G86" s="33"/>
      <c r="H86" s="32"/>
      <c r="I86" s="32"/>
      <c r="J86" s="33"/>
      <c r="K86" s="33"/>
      <c r="L86" s="33" t="str">
        <f>IF(H86="","",H86-项目驾驶舱!$B$3)</f>
        <v/>
      </c>
      <c r="M86" s="33" t="str">
        <f>IF(OR(K86="已关闭",H86=""),"否",IF(H86&lt;项目驾驶舱!$B$3,"是","否"))</f>
        <v>否</v>
      </c>
      <c r="N86" s="34"/>
    </row>
    <row r="87" ht="17" customHeight="1" spans="1:14">
      <c r="A87" s="31"/>
      <c r="B87" s="33"/>
      <c r="C87" s="33"/>
      <c r="D87" s="33"/>
      <c r="E87" s="33"/>
      <c r="F87" s="33"/>
      <c r="G87" s="33"/>
      <c r="H87" s="32"/>
      <c r="I87" s="32"/>
      <c r="J87" s="33"/>
      <c r="K87" s="33"/>
      <c r="L87" s="33" t="str">
        <f>IF(H87="","",H87-项目驾驶舱!$B$3)</f>
        <v/>
      </c>
      <c r="M87" s="33" t="str">
        <f>IF(OR(K87="已关闭",H87=""),"否",IF(H87&lt;项目驾驶舱!$B$3,"是","否"))</f>
        <v>否</v>
      </c>
      <c r="N87" s="34"/>
    </row>
    <row r="88" ht="17" customHeight="1" spans="1:14">
      <c r="A88" s="31"/>
      <c r="B88" s="33"/>
      <c r="C88" s="33"/>
      <c r="D88" s="33"/>
      <c r="E88" s="33"/>
      <c r="F88" s="33"/>
      <c r="G88" s="33"/>
      <c r="H88" s="32"/>
      <c r="I88" s="32"/>
      <c r="J88" s="33"/>
      <c r="K88" s="33"/>
      <c r="L88" s="33" t="str">
        <f>IF(H88="","",H88-项目驾驶舱!$B$3)</f>
        <v/>
      </c>
      <c r="M88" s="33" t="str">
        <f>IF(OR(K88="已关闭",H88=""),"否",IF(H88&lt;项目驾驶舱!$B$3,"是","否"))</f>
        <v>否</v>
      </c>
      <c r="N88" s="34"/>
    </row>
    <row r="89" ht="17" customHeight="1" spans="1:14">
      <c r="A89" s="31"/>
      <c r="B89" s="33"/>
      <c r="C89" s="33"/>
      <c r="D89" s="33"/>
      <c r="E89" s="33"/>
      <c r="F89" s="33"/>
      <c r="G89" s="33"/>
      <c r="H89" s="32"/>
      <c r="I89" s="32"/>
      <c r="J89" s="33"/>
      <c r="K89" s="33"/>
      <c r="L89" s="33" t="str">
        <f>IF(H89="","",H89-项目驾驶舱!$B$3)</f>
        <v/>
      </c>
      <c r="M89" s="33" t="str">
        <f>IF(OR(K89="已关闭",H89=""),"否",IF(H89&lt;项目驾驶舱!$B$3,"是","否"))</f>
        <v>否</v>
      </c>
      <c r="N89" s="34"/>
    </row>
    <row r="90" ht="17" customHeight="1" spans="1:14">
      <c r="A90" s="31"/>
      <c r="B90" s="33"/>
      <c r="C90" s="33"/>
      <c r="D90" s="33"/>
      <c r="E90" s="33"/>
      <c r="F90" s="33"/>
      <c r="G90" s="33"/>
      <c r="H90" s="32"/>
      <c r="I90" s="32"/>
      <c r="J90" s="33"/>
      <c r="K90" s="33"/>
      <c r="L90" s="33" t="str">
        <f>IF(H90="","",H90-项目驾驶舱!$B$3)</f>
        <v/>
      </c>
      <c r="M90" s="33" t="str">
        <f>IF(OR(K90="已关闭",H90=""),"否",IF(H90&lt;项目驾驶舱!$B$3,"是","否"))</f>
        <v>否</v>
      </c>
      <c r="N90" s="34"/>
    </row>
    <row r="91" ht="17" customHeight="1" spans="1:14">
      <c r="A91" s="31"/>
      <c r="B91" s="33"/>
      <c r="C91" s="33"/>
      <c r="D91" s="33"/>
      <c r="E91" s="33"/>
      <c r="F91" s="33"/>
      <c r="G91" s="33"/>
      <c r="H91" s="32"/>
      <c r="I91" s="32"/>
      <c r="J91" s="33"/>
      <c r="K91" s="33"/>
      <c r="L91" s="33" t="str">
        <f>IF(H91="","",H91-项目驾驶舱!$B$3)</f>
        <v/>
      </c>
      <c r="M91" s="33" t="str">
        <f>IF(OR(K91="已关闭",H91=""),"否",IF(H91&lt;项目驾驶舱!$B$3,"是","否"))</f>
        <v>否</v>
      </c>
      <c r="N91" s="34"/>
    </row>
    <row r="92" ht="17" customHeight="1" spans="1:14">
      <c r="A92" s="31"/>
      <c r="B92" s="33"/>
      <c r="C92" s="33"/>
      <c r="D92" s="33"/>
      <c r="E92" s="33"/>
      <c r="F92" s="33"/>
      <c r="G92" s="33"/>
      <c r="H92" s="32"/>
      <c r="I92" s="32"/>
      <c r="J92" s="33"/>
      <c r="K92" s="33"/>
      <c r="L92" s="33" t="str">
        <f>IF(H92="","",H92-项目驾驶舱!$B$3)</f>
        <v/>
      </c>
      <c r="M92" s="33" t="str">
        <f>IF(OR(K92="已关闭",H92=""),"否",IF(H92&lt;项目驾驶舱!$B$3,"是","否"))</f>
        <v>否</v>
      </c>
      <c r="N92" s="34"/>
    </row>
    <row r="93" ht="17" customHeight="1" spans="1:14">
      <c r="A93" s="31"/>
      <c r="B93" s="33"/>
      <c r="C93" s="33"/>
      <c r="D93" s="33"/>
      <c r="E93" s="33"/>
      <c r="F93" s="33"/>
      <c r="G93" s="33"/>
      <c r="H93" s="32"/>
      <c r="I93" s="32"/>
      <c r="J93" s="33"/>
      <c r="K93" s="33"/>
      <c r="L93" s="33" t="str">
        <f>IF(H93="","",H93-项目驾驶舱!$B$3)</f>
        <v/>
      </c>
      <c r="M93" s="33" t="str">
        <f>IF(OR(K93="已关闭",H93=""),"否",IF(H93&lt;项目驾驶舱!$B$3,"是","否"))</f>
        <v>否</v>
      </c>
      <c r="N93" s="34"/>
    </row>
    <row r="94" ht="17" customHeight="1" spans="1:14">
      <c r="A94" s="31"/>
      <c r="B94" s="33"/>
      <c r="C94" s="33"/>
      <c r="D94" s="33"/>
      <c r="E94" s="33"/>
      <c r="F94" s="33"/>
      <c r="G94" s="33"/>
      <c r="H94" s="32"/>
      <c r="I94" s="32"/>
      <c r="J94" s="33"/>
      <c r="K94" s="33"/>
      <c r="L94" s="33" t="str">
        <f>IF(H94="","",H94-项目驾驶舱!$B$3)</f>
        <v/>
      </c>
      <c r="M94" s="33" t="str">
        <f>IF(OR(K94="已关闭",H94=""),"否",IF(H94&lt;项目驾驶舱!$B$3,"是","否"))</f>
        <v>否</v>
      </c>
      <c r="N94" s="34"/>
    </row>
    <row r="95" ht="17" customHeight="1" spans="1:14">
      <c r="A95" s="31"/>
      <c r="B95" s="33"/>
      <c r="C95" s="33"/>
      <c r="D95" s="33"/>
      <c r="E95" s="33"/>
      <c r="F95" s="33"/>
      <c r="G95" s="33"/>
      <c r="H95" s="32"/>
      <c r="I95" s="32"/>
      <c r="J95" s="33"/>
      <c r="K95" s="33"/>
      <c r="L95" s="33" t="str">
        <f>IF(H95="","",H95-项目驾驶舱!$B$3)</f>
        <v/>
      </c>
      <c r="M95" s="33" t="str">
        <f>IF(OR(K95="已关闭",H95=""),"否",IF(H95&lt;项目驾驶舱!$B$3,"是","否"))</f>
        <v>否</v>
      </c>
      <c r="N95" s="34"/>
    </row>
    <row r="96" ht="17" customHeight="1" spans="1:14">
      <c r="A96" s="31"/>
      <c r="B96" s="33"/>
      <c r="C96" s="33"/>
      <c r="D96" s="33"/>
      <c r="E96" s="33"/>
      <c r="F96" s="33"/>
      <c r="G96" s="33"/>
      <c r="H96" s="32"/>
      <c r="I96" s="32"/>
      <c r="J96" s="33"/>
      <c r="K96" s="33"/>
      <c r="L96" s="33" t="str">
        <f>IF(H96="","",H96-项目驾驶舱!$B$3)</f>
        <v/>
      </c>
      <c r="M96" s="33" t="str">
        <f>IF(OR(K96="已关闭",H96=""),"否",IF(H96&lt;项目驾驶舱!$B$3,"是","否"))</f>
        <v>否</v>
      </c>
      <c r="N96" s="34"/>
    </row>
    <row r="97" ht="17" customHeight="1" spans="1:14">
      <c r="A97" s="31"/>
      <c r="B97" s="33"/>
      <c r="C97" s="33"/>
      <c r="D97" s="33"/>
      <c r="E97" s="33"/>
      <c r="F97" s="33"/>
      <c r="G97" s="33"/>
      <c r="H97" s="32"/>
      <c r="I97" s="32"/>
      <c r="J97" s="33"/>
      <c r="K97" s="33"/>
      <c r="L97" s="33" t="str">
        <f>IF(H97="","",H97-项目驾驶舱!$B$3)</f>
        <v/>
      </c>
      <c r="M97" s="33" t="str">
        <f>IF(OR(K97="已关闭",H97=""),"否",IF(H97&lt;项目驾驶舱!$B$3,"是","否"))</f>
        <v>否</v>
      </c>
      <c r="N97" s="34"/>
    </row>
    <row r="98" ht="17" customHeight="1" spans="1:14">
      <c r="A98" s="31"/>
      <c r="B98" s="33"/>
      <c r="C98" s="33"/>
      <c r="D98" s="33"/>
      <c r="E98" s="33"/>
      <c r="F98" s="33"/>
      <c r="G98" s="33"/>
      <c r="H98" s="32"/>
      <c r="I98" s="32"/>
      <c r="J98" s="33"/>
      <c r="K98" s="33"/>
      <c r="L98" s="33" t="str">
        <f>IF(H98="","",H98-项目驾驶舱!$B$3)</f>
        <v/>
      </c>
      <c r="M98" s="33" t="str">
        <f>IF(OR(K98="已关闭",H98=""),"否",IF(H98&lt;项目驾驶舱!$B$3,"是","否"))</f>
        <v>否</v>
      </c>
      <c r="N98" s="34"/>
    </row>
    <row r="99" ht="17" customHeight="1" spans="1:14">
      <c r="A99" s="31"/>
      <c r="B99" s="33"/>
      <c r="C99" s="33"/>
      <c r="D99" s="33"/>
      <c r="E99" s="33"/>
      <c r="F99" s="33"/>
      <c r="G99" s="33"/>
      <c r="H99" s="32"/>
      <c r="I99" s="32"/>
      <c r="J99" s="33"/>
      <c r="K99" s="33"/>
      <c r="L99" s="33" t="str">
        <f>IF(H99="","",H99-项目驾驶舱!$B$3)</f>
        <v/>
      </c>
      <c r="M99" s="33" t="str">
        <f>IF(OR(K99="已关闭",H99=""),"否",IF(H99&lt;项目驾驶舱!$B$3,"是","否"))</f>
        <v>否</v>
      </c>
      <c r="N99" s="34"/>
    </row>
    <row r="100" ht="17" customHeight="1" spans="1:14">
      <c r="A100" s="31"/>
      <c r="B100" s="33"/>
      <c r="C100" s="33"/>
      <c r="D100" s="33"/>
      <c r="E100" s="33"/>
      <c r="F100" s="33"/>
      <c r="G100" s="33"/>
      <c r="H100" s="32"/>
      <c r="I100" s="32"/>
      <c r="J100" s="33"/>
      <c r="K100" s="33"/>
      <c r="L100" s="33" t="str">
        <f>IF(H100="","",H100-项目驾驶舱!$B$3)</f>
        <v/>
      </c>
      <c r="M100" s="33" t="str">
        <f>IF(OR(K100="已关闭",H100=""),"否",IF(H100&lt;项目驾驶舱!$B$3,"是","否"))</f>
        <v>否</v>
      </c>
      <c r="N100" s="34"/>
    </row>
    <row r="101" ht="17" customHeight="1" spans="1:14">
      <c r="A101" s="31"/>
      <c r="B101" s="33"/>
      <c r="C101" s="33"/>
      <c r="D101" s="33"/>
      <c r="E101" s="33"/>
      <c r="F101" s="33"/>
      <c r="G101" s="33"/>
      <c r="H101" s="32"/>
      <c r="I101" s="32"/>
      <c r="J101" s="33"/>
      <c r="K101" s="33"/>
      <c r="L101" s="33" t="str">
        <f>IF(H101="","",H101-项目驾驶舱!$B$3)</f>
        <v/>
      </c>
      <c r="M101" s="33" t="str">
        <f>IF(OR(K101="已关闭",H101=""),"否",IF(H101&lt;项目驾驶舱!$B$3,"是","否"))</f>
        <v>否</v>
      </c>
      <c r="N101" s="34"/>
    </row>
    <row r="102" ht="17" customHeight="1" spans="1:14">
      <c r="A102" s="31"/>
      <c r="B102" s="33"/>
      <c r="C102" s="33"/>
      <c r="D102" s="33"/>
      <c r="E102" s="33"/>
      <c r="F102" s="33"/>
      <c r="G102" s="33"/>
      <c r="H102" s="32"/>
      <c r="I102" s="32"/>
      <c r="J102" s="33"/>
      <c r="K102" s="33"/>
      <c r="L102" s="33" t="str">
        <f>IF(H102="","",H102-项目驾驶舱!$B$3)</f>
        <v/>
      </c>
      <c r="M102" s="33" t="str">
        <f>IF(OR(K102="已关闭",H102=""),"否",IF(H102&lt;项目驾驶舱!$B$3,"是","否"))</f>
        <v>否</v>
      </c>
      <c r="N102" s="34"/>
    </row>
    <row r="103" ht="17" customHeight="1" spans="1:14">
      <c r="A103" s="35"/>
      <c r="B103" s="37"/>
      <c r="C103" s="37"/>
      <c r="D103" s="37"/>
      <c r="E103" s="37"/>
      <c r="F103" s="37"/>
      <c r="G103" s="37"/>
      <c r="H103" s="36"/>
      <c r="I103" s="36"/>
      <c r="J103" s="37"/>
      <c r="K103" s="37"/>
      <c r="L103" s="37" t="str">
        <f>IF(H103="","",H103-项目驾驶舱!$B$3)</f>
        <v/>
      </c>
      <c r="M103" s="37" t="str">
        <f>IF(OR(K103="已关闭",H103=""),"否",IF(H103&lt;项目驾驶舱!$B$3,"是","否"))</f>
        <v>否</v>
      </c>
      <c r="N103" s="38"/>
    </row>
  </sheetData>
  <mergeCells count="1">
    <mergeCell ref="A1:N1"/>
  </mergeCells>
  <conditionalFormatting sqref="D4:D103">
    <cfRule type="containsText" dxfId="4" priority="1" operator="between" text="高">
      <formula>NOT(ISERROR(SEARCH("高",D4)))</formula>
    </cfRule>
  </conditionalFormatting>
  <conditionalFormatting sqref="M4:M103">
    <cfRule type="containsText" dxfId="4" priority="2" operator="between" text="是">
      <formula>NOT(ISERROR(SEARCH("是",M4)))</formula>
    </cfRule>
  </conditionalFormatting>
  <dataValidations count="3">
    <dataValidation type="list" sqref="B4:B103">
      <formula1>"风险,问题"</formula1>
    </dataValidation>
    <dataValidation type="list" sqref="D4:D103">
      <formula1>"低,中,高"</formula1>
    </dataValidation>
    <dataValidation type="list" sqref="K4:K103">
      <formula1>"待处理,处理中,已关闭,已接受"</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3"/>
  <sheetViews>
    <sheetView showGridLines="0" workbookViewId="0">
      <selection activeCell="A1" sqref="A1:N1"/>
    </sheetView>
  </sheetViews>
  <sheetFormatPr defaultColWidth="9" defaultRowHeight="16.8"/>
  <cols>
    <col min="1" max="3" width="13" style="1" customWidth="1"/>
    <col min="4" max="4" width="38" style="1" customWidth="1"/>
    <col min="5" max="5" width="28" style="1" customWidth="1"/>
    <col min="6" max="6" width="10" style="1" customWidth="1"/>
    <col min="7" max="7" width="12" style="1" customWidth="1"/>
    <col min="8" max="8" width="32" style="1" customWidth="1"/>
    <col min="9" max="9" width="13" style="1" customWidth="1"/>
    <col min="10" max="10" width="15" style="1" customWidth="1"/>
    <col min="11" max="13" width="13" style="1" customWidth="1"/>
    <col min="14" max="14" width="30" style="1" customWidth="1"/>
  </cols>
  <sheetData>
    <row r="1" ht="34" customHeight="1" spans="1:14">
      <c r="A1" s="23" t="s">
        <v>595</v>
      </c>
    </row>
    <row r="3" ht="30" customHeight="1" spans="1:14">
      <c r="A3" s="26" t="s">
        <v>596</v>
      </c>
      <c r="B3" s="26" t="s">
        <v>597</v>
      </c>
      <c r="C3" s="26" t="s">
        <v>598</v>
      </c>
      <c r="D3" s="26" t="s">
        <v>599</v>
      </c>
      <c r="E3" s="26" t="s">
        <v>600</v>
      </c>
      <c r="F3" s="26" t="s">
        <v>601</v>
      </c>
      <c r="G3" s="26" t="s">
        <v>602</v>
      </c>
      <c r="H3" s="26" t="s">
        <v>603</v>
      </c>
      <c r="I3" s="26" t="s">
        <v>604</v>
      </c>
      <c r="J3" s="26" t="s">
        <v>605</v>
      </c>
      <c r="K3" s="26" t="s">
        <v>606</v>
      </c>
      <c r="L3" s="26" t="s">
        <v>607</v>
      </c>
      <c r="M3" s="26" t="s">
        <v>608</v>
      </c>
      <c r="N3" s="26" t="s">
        <v>609</v>
      </c>
    </row>
    <row r="4" spans="1:14">
      <c r="A4" s="27"/>
      <c r="B4" s="28"/>
      <c r="C4" s="29"/>
      <c r="D4" s="29"/>
      <c r="E4" s="29"/>
      <c r="F4" s="29"/>
      <c r="G4" s="29"/>
      <c r="H4" s="29"/>
      <c r="I4" s="29"/>
      <c r="J4" s="29"/>
      <c r="K4" s="29"/>
      <c r="L4" s="29"/>
      <c r="M4" s="28"/>
      <c r="N4" s="30"/>
    </row>
    <row r="5" spans="1:14">
      <c r="A5" s="31"/>
      <c r="B5" s="32"/>
      <c r="C5" s="33"/>
      <c r="D5" s="33"/>
      <c r="E5" s="33"/>
      <c r="F5" s="33"/>
      <c r="G5" s="33"/>
      <c r="H5" s="33"/>
      <c r="I5" s="33"/>
      <c r="J5" s="33"/>
      <c r="K5" s="33"/>
      <c r="L5" s="33"/>
      <c r="M5" s="32"/>
      <c r="N5" s="34"/>
    </row>
    <row r="6" spans="1:14">
      <c r="A6" s="31"/>
      <c r="B6" s="32"/>
      <c r="C6" s="33"/>
      <c r="D6" s="33"/>
      <c r="E6" s="33"/>
      <c r="F6" s="33"/>
      <c r="G6" s="33"/>
      <c r="H6" s="33"/>
      <c r="I6" s="33"/>
      <c r="J6" s="33"/>
      <c r="K6" s="33"/>
      <c r="L6" s="33"/>
      <c r="M6" s="32"/>
      <c r="N6" s="34"/>
    </row>
    <row r="7" spans="1:14">
      <c r="A7" s="31"/>
      <c r="B7" s="32"/>
      <c r="C7" s="33"/>
      <c r="D7" s="33"/>
      <c r="E7" s="33"/>
      <c r="F7" s="33"/>
      <c r="G7" s="33"/>
      <c r="H7" s="33"/>
      <c r="I7" s="33"/>
      <c r="J7" s="33"/>
      <c r="K7" s="33"/>
      <c r="L7" s="33"/>
      <c r="M7" s="32"/>
      <c r="N7" s="34"/>
    </row>
    <row r="8" spans="1:14">
      <c r="A8" s="31"/>
      <c r="B8" s="32"/>
      <c r="C8" s="33"/>
      <c r="D8" s="33"/>
      <c r="E8" s="33"/>
      <c r="F8" s="33"/>
      <c r="G8" s="33"/>
      <c r="H8" s="33"/>
      <c r="I8" s="33"/>
      <c r="J8" s="33"/>
      <c r="K8" s="33"/>
      <c r="L8" s="33"/>
      <c r="M8" s="32"/>
      <c r="N8" s="34"/>
    </row>
    <row r="9" spans="1:14">
      <c r="A9" s="31"/>
      <c r="B9" s="32"/>
      <c r="C9" s="33"/>
      <c r="D9" s="33"/>
      <c r="E9" s="33"/>
      <c r="F9" s="33"/>
      <c r="G9" s="33"/>
      <c r="H9" s="33"/>
      <c r="I9" s="33"/>
      <c r="J9" s="33"/>
      <c r="K9" s="33"/>
      <c r="L9" s="33"/>
      <c r="M9" s="32"/>
      <c r="N9" s="34"/>
    </row>
    <row r="10" spans="1:14">
      <c r="A10" s="31"/>
      <c r="B10" s="32"/>
      <c r="C10" s="33"/>
      <c r="D10" s="33"/>
      <c r="E10" s="33"/>
      <c r="F10" s="33"/>
      <c r="G10" s="33"/>
      <c r="H10" s="33"/>
      <c r="I10" s="33"/>
      <c r="J10" s="33"/>
      <c r="K10" s="33"/>
      <c r="L10" s="33"/>
      <c r="M10" s="32"/>
      <c r="N10" s="34"/>
    </row>
    <row r="11" spans="1:14">
      <c r="A11" s="31"/>
      <c r="B11" s="32"/>
      <c r="C11" s="33"/>
      <c r="D11" s="33"/>
      <c r="E11" s="33"/>
      <c r="F11" s="33"/>
      <c r="G11" s="33"/>
      <c r="H11" s="33"/>
      <c r="I11" s="33"/>
      <c r="J11" s="33"/>
      <c r="K11" s="33"/>
      <c r="L11" s="33"/>
      <c r="M11" s="32"/>
      <c r="N11" s="34"/>
    </row>
    <row r="12" spans="1:14">
      <c r="A12" s="31"/>
      <c r="B12" s="32"/>
      <c r="C12" s="33"/>
      <c r="D12" s="33"/>
      <c r="E12" s="33"/>
      <c r="F12" s="33"/>
      <c r="G12" s="33"/>
      <c r="H12" s="33"/>
      <c r="I12" s="33"/>
      <c r="J12" s="33"/>
      <c r="K12" s="33"/>
      <c r="L12" s="33"/>
      <c r="M12" s="32"/>
      <c r="N12" s="34"/>
    </row>
    <row r="13" spans="1:14">
      <c r="A13" s="31"/>
      <c r="B13" s="32"/>
      <c r="C13" s="33"/>
      <c r="D13" s="33"/>
      <c r="E13" s="33"/>
      <c r="F13" s="33"/>
      <c r="G13" s="33"/>
      <c r="H13" s="33"/>
      <c r="I13" s="33"/>
      <c r="J13" s="33"/>
      <c r="K13" s="33"/>
      <c r="L13" s="33"/>
      <c r="M13" s="32"/>
      <c r="N13" s="34"/>
    </row>
    <row r="14" spans="1:14">
      <c r="A14" s="31"/>
      <c r="B14" s="32"/>
      <c r="C14" s="33"/>
      <c r="D14" s="33"/>
      <c r="E14" s="33"/>
      <c r="F14" s="33"/>
      <c r="G14" s="33"/>
      <c r="H14" s="33"/>
      <c r="I14" s="33"/>
      <c r="J14" s="33"/>
      <c r="K14" s="33"/>
      <c r="L14" s="33"/>
      <c r="M14" s="32"/>
      <c r="N14" s="34"/>
    </row>
    <row r="15" spans="1:14">
      <c r="A15" s="31"/>
      <c r="B15" s="32"/>
      <c r="C15" s="33"/>
      <c r="D15" s="33"/>
      <c r="E15" s="33"/>
      <c r="F15" s="33"/>
      <c r="G15" s="33"/>
      <c r="H15" s="33"/>
      <c r="I15" s="33"/>
      <c r="J15" s="33"/>
      <c r="K15" s="33"/>
      <c r="L15" s="33"/>
      <c r="M15" s="32"/>
      <c r="N15" s="34"/>
    </row>
    <row r="16" spans="1:14">
      <c r="A16" s="31"/>
      <c r="B16" s="32"/>
      <c r="C16" s="33"/>
      <c r="D16" s="33"/>
      <c r="E16" s="33"/>
      <c r="F16" s="33"/>
      <c r="G16" s="33"/>
      <c r="H16" s="33"/>
      <c r="I16" s="33"/>
      <c r="J16" s="33"/>
      <c r="K16" s="33"/>
      <c r="L16" s="33"/>
      <c r="M16" s="32"/>
      <c r="N16" s="34"/>
    </row>
    <row r="17" spans="1:14">
      <c r="A17" s="31"/>
      <c r="B17" s="32"/>
      <c r="C17" s="33"/>
      <c r="D17" s="33"/>
      <c r="E17" s="33"/>
      <c r="F17" s="33"/>
      <c r="G17" s="33"/>
      <c r="H17" s="33"/>
      <c r="I17" s="33"/>
      <c r="J17" s="33"/>
      <c r="K17" s="33"/>
      <c r="L17" s="33"/>
      <c r="M17" s="32"/>
      <c r="N17" s="34"/>
    </row>
    <row r="18" spans="1:14">
      <c r="A18" s="31"/>
      <c r="B18" s="32"/>
      <c r="C18" s="33"/>
      <c r="D18" s="33"/>
      <c r="E18" s="33"/>
      <c r="F18" s="33"/>
      <c r="G18" s="33"/>
      <c r="H18" s="33"/>
      <c r="I18" s="33"/>
      <c r="J18" s="33"/>
      <c r="K18" s="33"/>
      <c r="L18" s="33"/>
      <c r="M18" s="32"/>
      <c r="N18" s="34"/>
    </row>
    <row r="19" spans="1:14">
      <c r="A19" s="31"/>
      <c r="B19" s="32"/>
      <c r="C19" s="33"/>
      <c r="D19" s="33"/>
      <c r="E19" s="33"/>
      <c r="F19" s="33"/>
      <c r="G19" s="33"/>
      <c r="H19" s="33"/>
      <c r="I19" s="33"/>
      <c r="J19" s="33"/>
      <c r="K19" s="33"/>
      <c r="L19" s="33"/>
      <c r="M19" s="32"/>
      <c r="N19" s="34"/>
    </row>
    <row r="20" spans="1:14">
      <c r="A20" s="31"/>
      <c r="B20" s="32"/>
      <c r="C20" s="33"/>
      <c r="D20" s="33"/>
      <c r="E20" s="33"/>
      <c r="F20" s="33"/>
      <c r="G20" s="33"/>
      <c r="H20" s="33"/>
      <c r="I20" s="33"/>
      <c r="J20" s="33"/>
      <c r="K20" s="33"/>
      <c r="L20" s="33"/>
      <c r="M20" s="32"/>
      <c r="N20" s="34"/>
    </row>
    <row r="21" spans="1:14">
      <c r="A21" s="31"/>
      <c r="B21" s="32"/>
      <c r="C21" s="33"/>
      <c r="D21" s="33"/>
      <c r="E21" s="33"/>
      <c r="F21" s="33"/>
      <c r="G21" s="33"/>
      <c r="H21" s="33"/>
      <c r="I21" s="33"/>
      <c r="J21" s="33"/>
      <c r="K21" s="33"/>
      <c r="L21" s="33"/>
      <c r="M21" s="32"/>
      <c r="N21" s="34"/>
    </row>
    <row r="22" spans="1:14">
      <c r="A22" s="31"/>
      <c r="B22" s="32"/>
      <c r="C22" s="33"/>
      <c r="D22" s="33"/>
      <c r="E22" s="33"/>
      <c r="F22" s="33"/>
      <c r="G22" s="33"/>
      <c r="H22" s="33"/>
      <c r="I22" s="33"/>
      <c r="J22" s="33"/>
      <c r="K22" s="33"/>
      <c r="L22" s="33"/>
      <c r="M22" s="32"/>
      <c r="N22" s="34"/>
    </row>
    <row r="23" spans="1:14">
      <c r="A23" s="31"/>
      <c r="B23" s="32"/>
      <c r="C23" s="33"/>
      <c r="D23" s="33"/>
      <c r="E23" s="33"/>
      <c r="F23" s="33"/>
      <c r="G23" s="33"/>
      <c r="H23" s="33"/>
      <c r="I23" s="33"/>
      <c r="J23" s="33"/>
      <c r="K23" s="33"/>
      <c r="L23" s="33"/>
      <c r="M23" s="32"/>
      <c r="N23" s="34"/>
    </row>
    <row r="24" spans="1:14">
      <c r="A24" s="31"/>
      <c r="B24" s="32"/>
      <c r="C24" s="33"/>
      <c r="D24" s="33"/>
      <c r="E24" s="33"/>
      <c r="F24" s="33"/>
      <c r="G24" s="33"/>
      <c r="H24" s="33"/>
      <c r="I24" s="33"/>
      <c r="J24" s="33"/>
      <c r="K24" s="33"/>
      <c r="L24" s="33"/>
      <c r="M24" s="32"/>
      <c r="N24" s="34"/>
    </row>
    <row r="25" spans="1:14">
      <c r="A25" s="31"/>
      <c r="B25" s="32"/>
      <c r="C25" s="33"/>
      <c r="D25" s="33"/>
      <c r="E25" s="33"/>
      <c r="F25" s="33"/>
      <c r="G25" s="33"/>
      <c r="H25" s="33"/>
      <c r="I25" s="33"/>
      <c r="J25" s="33"/>
      <c r="K25" s="33"/>
      <c r="L25" s="33"/>
      <c r="M25" s="32"/>
      <c r="N25" s="34"/>
    </row>
    <row r="26" spans="1:14">
      <c r="A26" s="31"/>
      <c r="B26" s="32"/>
      <c r="C26" s="33"/>
      <c r="D26" s="33"/>
      <c r="E26" s="33"/>
      <c r="F26" s="33"/>
      <c r="G26" s="33"/>
      <c r="H26" s="33"/>
      <c r="I26" s="33"/>
      <c r="J26" s="33"/>
      <c r="K26" s="33"/>
      <c r="L26" s="33"/>
      <c r="M26" s="32"/>
      <c r="N26" s="34"/>
    </row>
    <row r="27" spans="1:14">
      <c r="A27" s="31"/>
      <c r="B27" s="32"/>
      <c r="C27" s="33"/>
      <c r="D27" s="33"/>
      <c r="E27" s="33"/>
      <c r="F27" s="33"/>
      <c r="G27" s="33"/>
      <c r="H27" s="33"/>
      <c r="I27" s="33"/>
      <c r="J27" s="33"/>
      <c r="K27" s="33"/>
      <c r="L27" s="33"/>
      <c r="M27" s="32"/>
      <c r="N27" s="34"/>
    </row>
    <row r="28" spans="1:14">
      <c r="A28" s="31"/>
      <c r="B28" s="32"/>
      <c r="C28" s="33"/>
      <c r="D28" s="33"/>
      <c r="E28" s="33"/>
      <c r="F28" s="33"/>
      <c r="G28" s="33"/>
      <c r="H28" s="33"/>
      <c r="I28" s="33"/>
      <c r="J28" s="33"/>
      <c r="K28" s="33"/>
      <c r="L28" s="33"/>
      <c r="M28" s="32"/>
      <c r="N28" s="34"/>
    </row>
    <row r="29" spans="1:14">
      <c r="A29" s="31"/>
      <c r="B29" s="32"/>
      <c r="C29" s="33"/>
      <c r="D29" s="33"/>
      <c r="E29" s="33"/>
      <c r="F29" s="33"/>
      <c r="G29" s="33"/>
      <c r="H29" s="33"/>
      <c r="I29" s="33"/>
      <c r="J29" s="33"/>
      <c r="K29" s="33"/>
      <c r="L29" s="33"/>
      <c r="M29" s="32"/>
      <c r="N29" s="34"/>
    </row>
    <row r="30" spans="1:14">
      <c r="A30" s="31"/>
      <c r="B30" s="32"/>
      <c r="C30" s="33"/>
      <c r="D30" s="33"/>
      <c r="E30" s="33"/>
      <c r="F30" s="33"/>
      <c r="G30" s="33"/>
      <c r="H30" s="33"/>
      <c r="I30" s="33"/>
      <c r="J30" s="33"/>
      <c r="K30" s="33"/>
      <c r="L30" s="33"/>
      <c r="M30" s="32"/>
      <c r="N30" s="34"/>
    </row>
    <row r="31" spans="1:14">
      <c r="A31" s="31"/>
      <c r="B31" s="32"/>
      <c r="C31" s="33"/>
      <c r="D31" s="33"/>
      <c r="E31" s="33"/>
      <c r="F31" s="33"/>
      <c r="G31" s="33"/>
      <c r="H31" s="33"/>
      <c r="I31" s="33"/>
      <c r="J31" s="33"/>
      <c r="K31" s="33"/>
      <c r="L31" s="33"/>
      <c r="M31" s="32"/>
      <c r="N31" s="34"/>
    </row>
    <row r="32" spans="1:14">
      <c r="A32" s="31"/>
      <c r="B32" s="32"/>
      <c r="C32" s="33"/>
      <c r="D32" s="33"/>
      <c r="E32" s="33"/>
      <c r="F32" s="33"/>
      <c r="G32" s="33"/>
      <c r="H32" s="33"/>
      <c r="I32" s="33"/>
      <c r="J32" s="33"/>
      <c r="K32" s="33"/>
      <c r="L32" s="33"/>
      <c r="M32" s="32"/>
      <c r="N32" s="34"/>
    </row>
    <row r="33" spans="1:14">
      <c r="A33" s="31"/>
      <c r="B33" s="32"/>
      <c r="C33" s="33"/>
      <c r="D33" s="33"/>
      <c r="E33" s="33"/>
      <c r="F33" s="33"/>
      <c r="G33" s="33"/>
      <c r="H33" s="33"/>
      <c r="I33" s="33"/>
      <c r="J33" s="33"/>
      <c r="K33" s="33"/>
      <c r="L33" s="33"/>
      <c r="M33" s="32"/>
      <c r="N33" s="34"/>
    </row>
    <row r="34" spans="1:14">
      <c r="A34" s="31"/>
      <c r="B34" s="32"/>
      <c r="C34" s="33"/>
      <c r="D34" s="33"/>
      <c r="E34" s="33"/>
      <c r="F34" s="33"/>
      <c r="G34" s="33"/>
      <c r="H34" s="33"/>
      <c r="I34" s="33"/>
      <c r="J34" s="33"/>
      <c r="K34" s="33"/>
      <c r="L34" s="33"/>
      <c r="M34" s="32"/>
      <c r="N34" s="34"/>
    </row>
    <row r="35" spans="1:14">
      <c r="A35" s="31"/>
      <c r="B35" s="32"/>
      <c r="C35" s="33"/>
      <c r="D35" s="33"/>
      <c r="E35" s="33"/>
      <c r="F35" s="33"/>
      <c r="G35" s="33"/>
      <c r="H35" s="33"/>
      <c r="I35" s="33"/>
      <c r="J35" s="33"/>
      <c r="K35" s="33"/>
      <c r="L35" s="33"/>
      <c r="M35" s="32"/>
      <c r="N35" s="34"/>
    </row>
    <row r="36" spans="1:14">
      <c r="A36" s="31"/>
      <c r="B36" s="32"/>
      <c r="C36" s="33"/>
      <c r="D36" s="33"/>
      <c r="E36" s="33"/>
      <c r="F36" s="33"/>
      <c r="G36" s="33"/>
      <c r="H36" s="33"/>
      <c r="I36" s="33"/>
      <c r="J36" s="33"/>
      <c r="K36" s="33"/>
      <c r="L36" s="33"/>
      <c r="M36" s="32"/>
      <c r="N36" s="34"/>
    </row>
    <row r="37" spans="1:14">
      <c r="A37" s="31"/>
      <c r="B37" s="32"/>
      <c r="C37" s="33"/>
      <c r="D37" s="33"/>
      <c r="E37" s="33"/>
      <c r="F37" s="33"/>
      <c r="G37" s="33"/>
      <c r="H37" s="33"/>
      <c r="I37" s="33"/>
      <c r="J37" s="33"/>
      <c r="K37" s="33"/>
      <c r="L37" s="33"/>
      <c r="M37" s="32"/>
      <c r="N37" s="34"/>
    </row>
    <row r="38" spans="1:14">
      <c r="A38" s="31"/>
      <c r="B38" s="32"/>
      <c r="C38" s="33"/>
      <c r="D38" s="33"/>
      <c r="E38" s="33"/>
      <c r="F38" s="33"/>
      <c r="G38" s="33"/>
      <c r="H38" s="33"/>
      <c r="I38" s="33"/>
      <c r="J38" s="33"/>
      <c r="K38" s="33"/>
      <c r="L38" s="33"/>
      <c r="M38" s="32"/>
      <c r="N38" s="34"/>
    </row>
    <row r="39" spans="1:14">
      <c r="A39" s="31"/>
      <c r="B39" s="32"/>
      <c r="C39" s="33"/>
      <c r="D39" s="33"/>
      <c r="E39" s="33"/>
      <c r="F39" s="33"/>
      <c r="G39" s="33"/>
      <c r="H39" s="33"/>
      <c r="I39" s="33"/>
      <c r="J39" s="33"/>
      <c r="K39" s="33"/>
      <c r="L39" s="33"/>
      <c r="M39" s="32"/>
      <c r="N39" s="34"/>
    </row>
    <row r="40" spans="1:14">
      <c r="A40" s="31"/>
      <c r="B40" s="32"/>
      <c r="C40" s="33"/>
      <c r="D40" s="33"/>
      <c r="E40" s="33"/>
      <c r="F40" s="33"/>
      <c r="G40" s="33"/>
      <c r="H40" s="33"/>
      <c r="I40" s="33"/>
      <c r="J40" s="33"/>
      <c r="K40" s="33"/>
      <c r="L40" s="33"/>
      <c r="M40" s="32"/>
      <c r="N40" s="34"/>
    </row>
    <row r="41" spans="1:14">
      <c r="A41" s="31"/>
      <c r="B41" s="32"/>
      <c r="C41" s="33"/>
      <c r="D41" s="33"/>
      <c r="E41" s="33"/>
      <c r="F41" s="33"/>
      <c r="G41" s="33"/>
      <c r="H41" s="33"/>
      <c r="I41" s="33"/>
      <c r="J41" s="33"/>
      <c r="K41" s="33"/>
      <c r="L41" s="33"/>
      <c r="M41" s="32"/>
      <c r="N41" s="34"/>
    </row>
    <row r="42" spans="1:14">
      <c r="A42" s="31"/>
      <c r="B42" s="32"/>
      <c r="C42" s="33"/>
      <c r="D42" s="33"/>
      <c r="E42" s="33"/>
      <c r="F42" s="33"/>
      <c r="G42" s="33"/>
      <c r="H42" s="33"/>
      <c r="I42" s="33"/>
      <c r="J42" s="33"/>
      <c r="K42" s="33"/>
      <c r="L42" s="33"/>
      <c r="M42" s="32"/>
      <c r="N42" s="34"/>
    </row>
    <row r="43" spans="1:14">
      <c r="A43" s="31"/>
      <c r="B43" s="32"/>
      <c r="C43" s="33"/>
      <c r="D43" s="33"/>
      <c r="E43" s="33"/>
      <c r="F43" s="33"/>
      <c r="G43" s="33"/>
      <c r="H43" s="33"/>
      <c r="I43" s="33"/>
      <c r="J43" s="33"/>
      <c r="K43" s="33"/>
      <c r="L43" s="33"/>
      <c r="M43" s="32"/>
      <c r="N43" s="34"/>
    </row>
    <row r="44" spans="1:14">
      <c r="A44" s="31"/>
      <c r="B44" s="32"/>
      <c r="C44" s="33"/>
      <c r="D44" s="33"/>
      <c r="E44" s="33"/>
      <c r="F44" s="33"/>
      <c r="G44" s="33"/>
      <c r="H44" s="33"/>
      <c r="I44" s="33"/>
      <c r="J44" s="33"/>
      <c r="K44" s="33"/>
      <c r="L44" s="33"/>
      <c r="M44" s="32"/>
      <c r="N44" s="34"/>
    </row>
    <row r="45" spans="1:14">
      <c r="A45" s="31"/>
      <c r="B45" s="32"/>
      <c r="C45" s="33"/>
      <c r="D45" s="33"/>
      <c r="E45" s="33"/>
      <c r="F45" s="33"/>
      <c r="G45" s="33"/>
      <c r="H45" s="33"/>
      <c r="I45" s="33"/>
      <c r="J45" s="33"/>
      <c r="K45" s="33"/>
      <c r="L45" s="33"/>
      <c r="M45" s="32"/>
      <c r="N45" s="34"/>
    </row>
    <row r="46" spans="1:14">
      <c r="A46" s="31"/>
      <c r="B46" s="32"/>
      <c r="C46" s="33"/>
      <c r="D46" s="33"/>
      <c r="E46" s="33"/>
      <c r="F46" s="33"/>
      <c r="G46" s="33"/>
      <c r="H46" s="33"/>
      <c r="I46" s="33"/>
      <c r="J46" s="33"/>
      <c r="K46" s="33"/>
      <c r="L46" s="33"/>
      <c r="M46" s="32"/>
      <c r="N46" s="34"/>
    </row>
    <row r="47" spans="1:14">
      <c r="A47" s="31"/>
      <c r="B47" s="32"/>
      <c r="C47" s="33"/>
      <c r="D47" s="33"/>
      <c r="E47" s="33"/>
      <c r="F47" s="33"/>
      <c r="G47" s="33"/>
      <c r="H47" s="33"/>
      <c r="I47" s="33"/>
      <c r="J47" s="33"/>
      <c r="K47" s="33"/>
      <c r="L47" s="33"/>
      <c r="M47" s="32"/>
      <c r="N47" s="34"/>
    </row>
    <row r="48" spans="1:14">
      <c r="A48" s="31"/>
      <c r="B48" s="32"/>
      <c r="C48" s="33"/>
      <c r="D48" s="33"/>
      <c r="E48" s="33"/>
      <c r="F48" s="33"/>
      <c r="G48" s="33"/>
      <c r="H48" s="33"/>
      <c r="I48" s="33"/>
      <c r="J48" s="33"/>
      <c r="K48" s="33"/>
      <c r="L48" s="33"/>
      <c r="M48" s="32"/>
      <c r="N48" s="34"/>
    </row>
    <row r="49" spans="1:14">
      <c r="A49" s="31"/>
      <c r="B49" s="32"/>
      <c r="C49" s="33"/>
      <c r="D49" s="33"/>
      <c r="E49" s="33"/>
      <c r="F49" s="33"/>
      <c r="G49" s="33"/>
      <c r="H49" s="33"/>
      <c r="I49" s="33"/>
      <c r="J49" s="33"/>
      <c r="K49" s="33"/>
      <c r="L49" s="33"/>
      <c r="M49" s="32"/>
      <c r="N49" s="34"/>
    </row>
    <row r="50" spans="1:14">
      <c r="A50" s="31"/>
      <c r="B50" s="32"/>
      <c r="C50" s="33"/>
      <c r="D50" s="33"/>
      <c r="E50" s="33"/>
      <c r="F50" s="33"/>
      <c r="G50" s="33"/>
      <c r="H50" s="33"/>
      <c r="I50" s="33"/>
      <c r="J50" s="33"/>
      <c r="K50" s="33"/>
      <c r="L50" s="33"/>
      <c r="M50" s="32"/>
      <c r="N50" s="34"/>
    </row>
    <row r="51" spans="1:14">
      <c r="A51" s="31"/>
      <c r="B51" s="32"/>
      <c r="C51" s="33"/>
      <c r="D51" s="33"/>
      <c r="E51" s="33"/>
      <c r="F51" s="33"/>
      <c r="G51" s="33"/>
      <c r="H51" s="33"/>
      <c r="I51" s="33"/>
      <c r="J51" s="33"/>
      <c r="K51" s="33"/>
      <c r="L51" s="33"/>
      <c r="M51" s="32"/>
      <c r="N51" s="34"/>
    </row>
    <row r="52" spans="1:14">
      <c r="A52" s="31"/>
      <c r="B52" s="32"/>
      <c r="C52" s="33"/>
      <c r="D52" s="33"/>
      <c r="E52" s="33"/>
      <c r="F52" s="33"/>
      <c r="G52" s="33"/>
      <c r="H52" s="33"/>
      <c r="I52" s="33"/>
      <c r="J52" s="33"/>
      <c r="K52" s="33"/>
      <c r="L52" s="33"/>
      <c r="M52" s="32"/>
      <c r="N52" s="34"/>
    </row>
    <row r="53" spans="1:14">
      <c r="A53" s="35"/>
      <c r="B53" s="36"/>
      <c r="C53" s="37"/>
      <c r="D53" s="37"/>
      <c r="E53" s="37"/>
      <c r="F53" s="37"/>
      <c r="G53" s="37"/>
      <c r="H53" s="37"/>
      <c r="I53" s="37"/>
      <c r="J53" s="37"/>
      <c r="K53" s="37"/>
      <c r="L53" s="37"/>
      <c r="M53" s="36"/>
      <c r="N53" s="38"/>
    </row>
  </sheetData>
  <mergeCells count="1">
    <mergeCell ref="A1:N1"/>
  </mergeCells>
  <dataValidations count="2">
    <dataValidation type="list" sqref="F4:F53">
      <formula1>"低,中,高,紧急"</formula1>
    </dataValidation>
    <dataValidation type="list" sqref="G4:G53">
      <formula1>"评估中,待审批,已批准,已拒绝,已实施,已关闭"</formula1>
    </dataValidation>
  </dataValidation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3"/>
  <sheetViews>
    <sheetView showGridLines="0" workbookViewId="0">
      <selection activeCell="A1" sqref="A1:K1"/>
    </sheetView>
  </sheetViews>
  <sheetFormatPr defaultColWidth="9" defaultRowHeight="16.8"/>
  <cols>
    <col min="1" max="1" width="12" style="1" customWidth="1"/>
    <col min="2" max="2" width="30" style="1" customWidth="1"/>
    <col min="3" max="3" width="12" style="1" customWidth="1"/>
    <col min="4" max="4" width="15" style="1" customWidth="1"/>
    <col min="5" max="6" width="13" style="1" customWidth="1"/>
    <col min="7" max="7" width="12" style="1" customWidth="1"/>
    <col min="8" max="8" width="15" style="1" customWidth="1"/>
    <col min="9" max="9" width="14" style="1" customWidth="1"/>
    <col min="10" max="10" width="32" style="1" customWidth="1"/>
    <col min="11" max="11" width="28" style="1" customWidth="1"/>
  </cols>
  <sheetData>
    <row r="1" ht="34" customHeight="1" spans="1:11">
      <c r="A1" s="23" t="s">
        <v>610</v>
      </c>
    </row>
    <row r="3" ht="30" customHeight="1" spans="1:11">
      <c r="A3" s="26" t="s">
        <v>611</v>
      </c>
      <c r="B3" s="26" t="s">
        <v>612</v>
      </c>
      <c r="C3" s="26" t="s">
        <v>613</v>
      </c>
      <c r="D3" s="26" t="s">
        <v>446</v>
      </c>
      <c r="E3" s="26" t="s">
        <v>39</v>
      </c>
      <c r="F3" s="26" t="s">
        <v>510</v>
      </c>
      <c r="G3" s="26" t="s">
        <v>21</v>
      </c>
      <c r="H3" s="26" t="s">
        <v>614</v>
      </c>
      <c r="I3" s="26" t="s">
        <v>615</v>
      </c>
      <c r="J3" s="26" t="s">
        <v>616</v>
      </c>
      <c r="K3" s="26" t="s">
        <v>59</v>
      </c>
    </row>
    <row r="4" ht="17" customHeight="1" spans="1:11">
      <c r="A4" s="27" t="s">
        <v>617</v>
      </c>
      <c r="B4" s="29" t="s">
        <v>618</v>
      </c>
      <c r="C4" s="29" t="s">
        <v>619</v>
      </c>
      <c r="D4" s="29" t="s">
        <v>464</v>
      </c>
      <c r="E4" s="28">
        <v>46192</v>
      </c>
      <c r="F4" s="28"/>
      <c r="G4" s="29" t="s">
        <v>4</v>
      </c>
      <c r="H4" s="29" t="s">
        <v>620</v>
      </c>
      <c r="I4" s="29" t="s">
        <v>621</v>
      </c>
      <c r="J4" s="29" t="s">
        <v>69</v>
      </c>
      <c r="K4" s="30" t="s">
        <v>69</v>
      </c>
    </row>
    <row r="5" ht="17" customHeight="1" spans="1:11">
      <c r="A5" s="31" t="s">
        <v>622</v>
      </c>
      <c r="B5" s="33" t="s">
        <v>623</v>
      </c>
      <c r="C5" s="33" t="s">
        <v>624</v>
      </c>
      <c r="D5" s="33" t="s">
        <v>65</v>
      </c>
      <c r="E5" s="32">
        <v>46241</v>
      </c>
      <c r="F5" s="32"/>
      <c r="G5" s="33" t="s">
        <v>4</v>
      </c>
      <c r="H5" s="33" t="s">
        <v>41</v>
      </c>
      <c r="I5" s="33" t="s">
        <v>621</v>
      </c>
      <c r="J5" s="33" t="s">
        <v>69</v>
      </c>
      <c r="K5" s="34" t="s">
        <v>69</v>
      </c>
    </row>
    <row r="6" ht="17" customHeight="1" spans="1:11">
      <c r="A6" s="31" t="s">
        <v>625</v>
      </c>
      <c r="B6" s="33" t="s">
        <v>626</v>
      </c>
      <c r="C6" s="33" t="s">
        <v>627</v>
      </c>
      <c r="D6" s="33" t="s">
        <v>576</v>
      </c>
      <c r="E6" s="32">
        <v>46248</v>
      </c>
      <c r="F6" s="32"/>
      <c r="G6" s="33" t="s">
        <v>4</v>
      </c>
      <c r="H6" s="33" t="s">
        <v>628</v>
      </c>
      <c r="I6" s="33" t="s">
        <v>621</v>
      </c>
      <c r="J6" s="33" t="s">
        <v>69</v>
      </c>
      <c r="K6" s="34" t="s">
        <v>69</v>
      </c>
    </row>
    <row r="7" ht="17" customHeight="1" spans="1:11">
      <c r="A7" s="31" t="s">
        <v>629</v>
      </c>
      <c r="B7" s="33" t="s">
        <v>630</v>
      </c>
      <c r="C7" s="33" t="s">
        <v>631</v>
      </c>
      <c r="D7" s="33" t="s">
        <v>480</v>
      </c>
      <c r="E7" s="32">
        <v>46283</v>
      </c>
      <c r="F7" s="32"/>
      <c r="G7" s="33" t="s">
        <v>4</v>
      </c>
      <c r="H7" s="33" t="s">
        <v>576</v>
      </c>
      <c r="I7" s="33" t="s">
        <v>621</v>
      </c>
      <c r="J7" s="33" t="s">
        <v>69</v>
      </c>
      <c r="K7" s="34" t="s">
        <v>69</v>
      </c>
    </row>
    <row r="8" ht="17" customHeight="1" spans="1:11">
      <c r="A8" s="31" t="s">
        <v>632</v>
      </c>
      <c r="B8" s="33" t="s">
        <v>633</v>
      </c>
      <c r="C8" s="33" t="s">
        <v>401</v>
      </c>
      <c r="D8" s="33" t="s">
        <v>68</v>
      </c>
      <c r="E8" s="32">
        <v>46318</v>
      </c>
      <c r="F8" s="32"/>
      <c r="G8" s="33" t="s">
        <v>4</v>
      </c>
      <c r="H8" s="33" t="s">
        <v>464</v>
      </c>
      <c r="I8" s="33" t="s">
        <v>621</v>
      </c>
      <c r="J8" s="33" t="s">
        <v>69</v>
      </c>
      <c r="K8" s="34" t="s">
        <v>69</v>
      </c>
    </row>
    <row r="9" ht="17" customHeight="1" spans="1:11">
      <c r="A9" s="31" t="s">
        <v>634</v>
      </c>
      <c r="B9" s="33" t="s">
        <v>635</v>
      </c>
      <c r="C9" s="33" t="s">
        <v>401</v>
      </c>
      <c r="D9" s="33" t="s">
        <v>68</v>
      </c>
      <c r="E9" s="32">
        <v>46353</v>
      </c>
      <c r="F9" s="32"/>
      <c r="G9" s="33" t="s">
        <v>5</v>
      </c>
      <c r="H9" s="33" t="s">
        <v>464</v>
      </c>
      <c r="I9" s="33" t="s">
        <v>621</v>
      </c>
      <c r="J9" s="33" t="s">
        <v>69</v>
      </c>
      <c r="K9" s="34" t="s">
        <v>69</v>
      </c>
    </row>
    <row r="10" ht="17" customHeight="1" spans="1:11">
      <c r="A10" s="31" t="s">
        <v>636</v>
      </c>
      <c r="B10" s="33" t="s">
        <v>637</v>
      </c>
      <c r="C10" s="33" t="s">
        <v>638</v>
      </c>
      <c r="D10" s="33" t="s">
        <v>639</v>
      </c>
      <c r="E10" s="32">
        <v>46346</v>
      </c>
      <c r="F10" s="32"/>
      <c r="G10" s="33" t="s">
        <v>5</v>
      </c>
      <c r="H10" s="33" t="s">
        <v>464</v>
      </c>
      <c r="I10" s="33" t="s">
        <v>621</v>
      </c>
      <c r="J10" s="33" t="s">
        <v>69</v>
      </c>
      <c r="K10" s="34" t="s">
        <v>69</v>
      </c>
    </row>
    <row r="11" ht="17" customHeight="1" spans="1:11">
      <c r="A11" s="31" t="s">
        <v>640</v>
      </c>
      <c r="B11" s="33" t="s">
        <v>641</v>
      </c>
      <c r="C11" s="33" t="s">
        <v>642</v>
      </c>
      <c r="D11" s="33" t="s">
        <v>643</v>
      </c>
      <c r="E11" s="32">
        <v>46349</v>
      </c>
      <c r="F11" s="32"/>
      <c r="G11" s="33" t="s">
        <v>5</v>
      </c>
      <c r="H11" s="33" t="s">
        <v>41</v>
      </c>
      <c r="I11" s="33" t="s">
        <v>621</v>
      </c>
      <c r="J11" s="33" t="s">
        <v>69</v>
      </c>
      <c r="K11" s="34" t="s">
        <v>69</v>
      </c>
    </row>
    <row r="12" ht="17" customHeight="1" spans="1:11">
      <c r="A12" s="31" t="s">
        <v>644</v>
      </c>
      <c r="B12" s="33" t="s">
        <v>645</v>
      </c>
      <c r="C12" s="33" t="s">
        <v>646</v>
      </c>
      <c r="D12" s="33" t="s">
        <v>464</v>
      </c>
      <c r="E12" s="32">
        <v>46356</v>
      </c>
      <c r="F12" s="32"/>
      <c r="G12" s="33" t="s">
        <v>5</v>
      </c>
      <c r="H12" s="33" t="s">
        <v>620</v>
      </c>
      <c r="I12" s="33" t="s">
        <v>621</v>
      </c>
      <c r="J12" s="33" t="s">
        <v>69</v>
      </c>
      <c r="K12" s="34" t="s">
        <v>69</v>
      </c>
    </row>
    <row r="13" ht="17" customHeight="1" spans="1:11">
      <c r="A13" s="31" t="s">
        <v>647</v>
      </c>
      <c r="B13" s="33" t="s">
        <v>648</v>
      </c>
      <c r="C13" s="33" t="s">
        <v>649</v>
      </c>
      <c r="D13" s="33" t="s">
        <v>464</v>
      </c>
      <c r="E13" s="32">
        <v>46360</v>
      </c>
      <c r="F13" s="32"/>
      <c r="G13" s="33" t="s">
        <v>5</v>
      </c>
      <c r="H13" s="33" t="s">
        <v>620</v>
      </c>
      <c r="I13" s="33" t="s">
        <v>621</v>
      </c>
      <c r="J13" s="33" t="s">
        <v>69</v>
      </c>
      <c r="K13" s="34" t="s">
        <v>69</v>
      </c>
    </row>
    <row r="14" spans="1:11">
      <c r="A14" s="31"/>
      <c r="B14" s="33"/>
      <c r="C14" s="33"/>
      <c r="D14" s="33"/>
      <c r="E14" s="32"/>
      <c r="F14" s="32"/>
      <c r="G14" s="33"/>
      <c r="H14" s="33"/>
      <c r="I14" s="33"/>
      <c r="J14" s="33"/>
      <c r="K14" s="34"/>
    </row>
    <row r="15" spans="1:11">
      <c r="A15" s="31"/>
      <c r="B15" s="33"/>
      <c r="C15" s="33"/>
      <c r="D15" s="33"/>
      <c r="E15" s="32"/>
      <c r="F15" s="32"/>
      <c r="G15" s="33"/>
      <c r="H15" s="33"/>
      <c r="I15" s="33"/>
      <c r="J15" s="33"/>
      <c r="K15" s="34"/>
    </row>
    <row r="16" spans="1:11">
      <c r="A16" s="31"/>
      <c r="B16" s="33"/>
      <c r="C16" s="33"/>
      <c r="D16" s="33"/>
      <c r="E16" s="32"/>
      <c r="F16" s="32"/>
      <c r="G16" s="33"/>
      <c r="H16" s="33"/>
      <c r="I16" s="33"/>
      <c r="J16" s="33"/>
      <c r="K16" s="34"/>
    </row>
    <row r="17" spans="1:11">
      <c r="A17" s="31"/>
      <c r="B17" s="33"/>
      <c r="C17" s="33"/>
      <c r="D17" s="33"/>
      <c r="E17" s="32"/>
      <c r="F17" s="32"/>
      <c r="G17" s="33"/>
      <c r="H17" s="33"/>
      <c r="I17" s="33"/>
      <c r="J17" s="33"/>
      <c r="K17" s="34"/>
    </row>
    <row r="18" spans="1:11">
      <c r="A18" s="31"/>
      <c r="B18" s="33"/>
      <c r="C18" s="33"/>
      <c r="D18" s="33"/>
      <c r="E18" s="32"/>
      <c r="F18" s="32"/>
      <c r="G18" s="33"/>
      <c r="H18" s="33"/>
      <c r="I18" s="33"/>
      <c r="J18" s="33"/>
      <c r="K18" s="34"/>
    </row>
    <row r="19" spans="1:11">
      <c r="A19" s="31"/>
      <c r="B19" s="33"/>
      <c r="C19" s="33"/>
      <c r="D19" s="33"/>
      <c r="E19" s="32"/>
      <c r="F19" s="32"/>
      <c r="G19" s="33"/>
      <c r="H19" s="33"/>
      <c r="I19" s="33"/>
      <c r="J19" s="33"/>
      <c r="K19" s="34"/>
    </row>
    <row r="20" spans="1:11">
      <c r="A20" s="31"/>
      <c r="B20" s="33"/>
      <c r="C20" s="33"/>
      <c r="D20" s="33"/>
      <c r="E20" s="32"/>
      <c r="F20" s="32"/>
      <c r="G20" s="33"/>
      <c r="H20" s="33"/>
      <c r="I20" s="33"/>
      <c r="J20" s="33"/>
      <c r="K20" s="34"/>
    </row>
    <row r="21" spans="1:11">
      <c r="A21" s="31"/>
      <c r="B21" s="33"/>
      <c r="C21" s="33"/>
      <c r="D21" s="33"/>
      <c r="E21" s="32"/>
      <c r="F21" s="32"/>
      <c r="G21" s="33"/>
      <c r="H21" s="33"/>
      <c r="I21" s="33"/>
      <c r="J21" s="33"/>
      <c r="K21" s="34"/>
    </row>
    <row r="22" spans="1:11">
      <c r="A22" s="31"/>
      <c r="B22" s="33"/>
      <c r="C22" s="33"/>
      <c r="D22" s="33"/>
      <c r="E22" s="32"/>
      <c r="F22" s="32"/>
      <c r="G22" s="33"/>
      <c r="H22" s="33"/>
      <c r="I22" s="33"/>
      <c r="J22" s="33"/>
      <c r="K22" s="34"/>
    </row>
    <row r="23" spans="1:11">
      <c r="A23" s="31"/>
      <c r="B23" s="33"/>
      <c r="C23" s="33"/>
      <c r="D23" s="33"/>
      <c r="E23" s="32"/>
      <c r="F23" s="32"/>
      <c r="G23" s="33"/>
      <c r="H23" s="33"/>
      <c r="I23" s="33"/>
      <c r="J23" s="33"/>
      <c r="K23" s="34"/>
    </row>
    <row r="24" spans="1:11">
      <c r="A24" s="31"/>
      <c r="B24" s="33"/>
      <c r="C24" s="33"/>
      <c r="D24" s="33"/>
      <c r="E24" s="32"/>
      <c r="F24" s="32"/>
      <c r="G24" s="33"/>
      <c r="H24" s="33"/>
      <c r="I24" s="33"/>
      <c r="J24" s="33"/>
      <c r="K24" s="34"/>
    </row>
    <row r="25" spans="1:11">
      <c r="A25" s="31"/>
      <c r="B25" s="33"/>
      <c r="C25" s="33"/>
      <c r="D25" s="33"/>
      <c r="E25" s="32"/>
      <c r="F25" s="32"/>
      <c r="G25" s="33"/>
      <c r="H25" s="33"/>
      <c r="I25" s="33"/>
      <c r="J25" s="33"/>
      <c r="K25" s="34"/>
    </row>
    <row r="26" spans="1:11">
      <c r="A26" s="31"/>
      <c r="B26" s="33"/>
      <c r="C26" s="33"/>
      <c r="D26" s="33"/>
      <c r="E26" s="32"/>
      <c r="F26" s="32"/>
      <c r="G26" s="33"/>
      <c r="H26" s="33"/>
      <c r="I26" s="33"/>
      <c r="J26" s="33"/>
      <c r="K26" s="34"/>
    </row>
    <row r="27" spans="1:11">
      <c r="A27" s="31"/>
      <c r="B27" s="33"/>
      <c r="C27" s="33"/>
      <c r="D27" s="33"/>
      <c r="E27" s="32"/>
      <c r="F27" s="32"/>
      <c r="G27" s="33"/>
      <c r="H27" s="33"/>
      <c r="I27" s="33"/>
      <c r="J27" s="33"/>
      <c r="K27" s="34"/>
    </row>
    <row r="28" spans="1:11">
      <c r="A28" s="31"/>
      <c r="B28" s="33"/>
      <c r="C28" s="33"/>
      <c r="D28" s="33"/>
      <c r="E28" s="32"/>
      <c r="F28" s="32"/>
      <c r="G28" s="33"/>
      <c r="H28" s="33"/>
      <c r="I28" s="33"/>
      <c r="J28" s="33"/>
      <c r="K28" s="34"/>
    </row>
    <row r="29" spans="1:11">
      <c r="A29" s="31"/>
      <c r="B29" s="33"/>
      <c r="C29" s="33"/>
      <c r="D29" s="33"/>
      <c r="E29" s="32"/>
      <c r="F29" s="32"/>
      <c r="G29" s="33"/>
      <c r="H29" s="33"/>
      <c r="I29" s="33"/>
      <c r="J29" s="33"/>
      <c r="K29" s="34"/>
    </row>
    <row r="30" spans="1:11">
      <c r="A30" s="31"/>
      <c r="B30" s="33"/>
      <c r="C30" s="33"/>
      <c r="D30" s="33"/>
      <c r="E30" s="32"/>
      <c r="F30" s="32"/>
      <c r="G30" s="33"/>
      <c r="H30" s="33"/>
      <c r="I30" s="33"/>
      <c r="J30" s="33"/>
      <c r="K30" s="34"/>
    </row>
    <row r="31" spans="1:11">
      <c r="A31" s="31"/>
      <c r="B31" s="33"/>
      <c r="C31" s="33"/>
      <c r="D31" s="33"/>
      <c r="E31" s="32"/>
      <c r="F31" s="32"/>
      <c r="G31" s="33"/>
      <c r="H31" s="33"/>
      <c r="I31" s="33"/>
      <c r="J31" s="33"/>
      <c r="K31" s="34"/>
    </row>
    <row r="32" spans="1:11">
      <c r="A32" s="31"/>
      <c r="B32" s="33"/>
      <c r="C32" s="33"/>
      <c r="D32" s="33"/>
      <c r="E32" s="32"/>
      <c r="F32" s="32"/>
      <c r="G32" s="33"/>
      <c r="H32" s="33"/>
      <c r="I32" s="33"/>
      <c r="J32" s="33"/>
      <c r="K32" s="34"/>
    </row>
    <row r="33" spans="1:11">
      <c r="A33" s="31"/>
      <c r="B33" s="33"/>
      <c r="C33" s="33"/>
      <c r="D33" s="33"/>
      <c r="E33" s="32"/>
      <c r="F33" s="32"/>
      <c r="G33" s="33"/>
      <c r="H33" s="33"/>
      <c r="I33" s="33"/>
      <c r="J33" s="33"/>
      <c r="K33" s="34"/>
    </row>
    <row r="34" spans="1:11">
      <c r="A34" s="31"/>
      <c r="B34" s="33"/>
      <c r="C34" s="33"/>
      <c r="D34" s="33"/>
      <c r="E34" s="32"/>
      <c r="F34" s="32"/>
      <c r="G34" s="33"/>
      <c r="H34" s="33"/>
      <c r="I34" s="33"/>
      <c r="J34" s="33"/>
      <c r="K34" s="34"/>
    </row>
    <row r="35" spans="1:11">
      <c r="A35" s="31"/>
      <c r="B35" s="33"/>
      <c r="C35" s="33"/>
      <c r="D35" s="33"/>
      <c r="E35" s="32"/>
      <c r="F35" s="32"/>
      <c r="G35" s="33"/>
      <c r="H35" s="33"/>
      <c r="I35" s="33"/>
      <c r="J35" s="33"/>
      <c r="K35" s="34"/>
    </row>
    <row r="36" spans="1:11">
      <c r="A36" s="31"/>
      <c r="B36" s="33"/>
      <c r="C36" s="33"/>
      <c r="D36" s="33"/>
      <c r="E36" s="32"/>
      <c r="F36" s="32"/>
      <c r="G36" s="33"/>
      <c r="H36" s="33"/>
      <c r="I36" s="33"/>
      <c r="J36" s="33"/>
      <c r="K36" s="34"/>
    </row>
    <row r="37" spans="1:11">
      <c r="A37" s="31"/>
      <c r="B37" s="33"/>
      <c r="C37" s="33"/>
      <c r="D37" s="33"/>
      <c r="E37" s="32"/>
      <c r="F37" s="32"/>
      <c r="G37" s="33"/>
      <c r="H37" s="33"/>
      <c r="I37" s="33"/>
      <c r="J37" s="33"/>
      <c r="K37" s="34"/>
    </row>
    <row r="38" spans="1:11">
      <c r="A38" s="31"/>
      <c r="B38" s="33"/>
      <c r="C38" s="33"/>
      <c r="D38" s="33"/>
      <c r="E38" s="32"/>
      <c r="F38" s="32"/>
      <c r="G38" s="33"/>
      <c r="H38" s="33"/>
      <c r="I38" s="33"/>
      <c r="J38" s="33"/>
      <c r="K38" s="34"/>
    </row>
    <row r="39" spans="1:11">
      <c r="A39" s="31"/>
      <c r="B39" s="33"/>
      <c r="C39" s="33"/>
      <c r="D39" s="33"/>
      <c r="E39" s="32"/>
      <c r="F39" s="32"/>
      <c r="G39" s="33"/>
      <c r="H39" s="33"/>
      <c r="I39" s="33"/>
      <c r="J39" s="33"/>
      <c r="K39" s="34"/>
    </row>
    <row r="40" spans="1:11">
      <c r="A40" s="31"/>
      <c r="B40" s="33"/>
      <c r="C40" s="33"/>
      <c r="D40" s="33"/>
      <c r="E40" s="32"/>
      <c r="F40" s="32"/>
      <c r="G40" s="33"/>
      <c r="H40" s="33"/>
      <c r="I40" s="33"/>
      <c r="J40" s="33"/>
      <c r="K40" s="34"/>
    </row>
    <row r="41" spans="1:11">
      <c r="A41" s="31"/>
      <c r="B41" s="33"/>
      <c r="C41" s="33"/>
      <c r="D41" s="33"/>
      <c r="E41" s="32"/>
      <c r="F41" s="32"/>
      <c r="G41" s="33"/>
      <c r="H41" s="33"/>
      <c r="I41" s="33"/>
      <c r="J41" s="33"/>
      <c r="K41" s="34"/>
    </row>
    <row r="42" spans="1:11">
      <c r="A42" s="31"/>
      <c r="B42" s="33"/>
      <c r="C42" s="33"/>
      <c r="D42" s="33"/>
      <c r="E42" s="32"/>
      <c r="F42" s="32"/>
      <c r="G42" s="33"/>
      <c r="H42" s="33"/>
      <c r="I42" s="33"/>
      <c r="J42" s="33"/>
      <c r="K42" s="34"/>
    </row>
    <row r="43" spans="1:11">
      <c r="A43" s="31"/>
      <c r="B43" s="33"/>
      <c r="C43" s="33"/>
      <c r="D43" s="33"/>
      <c r="E43" s="32"/>
      <c r="F43" s="32"/>
      <c r="G43" s="33"/>
      <c r="H43" s="33"/>
      <c r="I43" s="33"/>
      <c r="J43" s="33"/>
      <c r="K43" s="34"/>
    </row>
    <row r="44" spans="1:11">
      <c r="A44" s="31"/>
      <c r="B44" s="33"/>
      <c r="C44" s="33"/>
      <c r="D44" s="33"/>
      <c r="E44" s="32"/>
      <c r="F44" s="32"/>
      <c r="G44" s="33"/>
      <c r="H44" s="33"/>
      <c r="I44" s="33"/>
      <c r="J44" s="33"/>
      <c r="K44" s="34"/>
    </row>
    <row r="45" spans="1:11">
      <c r="A45" s="31"/>
      <c r="B45" s="33"/>
      <c r="C45" s="33"/>
      <c r="D45" s="33"/>
      <c r="E45" s="32"/>
      <c r="F45" s="32"/>
      <c r="G45" s="33"/>
      <c r="H45" s="33"/>
      <c r="I45" s="33"/>
      <c r="J45" s="33"/>
      <c r="K45" s="34"/>
    </row>
    <row r="46" spans="1:11">
      <c r="A46" s="31"/>
      <c r="B46" s="33"/>
      <c r="C46" s="33"/>
      <c r="D46" s="33"/>
      <c r="E46" s="32"/>
      <c r="F46" s="32"/>
      <c r="G46" s="33"/>
      <c r="H46" s="33"/>
      <c r="I46" s="33"/>
      <c r="J46" s="33"/>
      <c r="K46" s="34"/>
    </row>
    <row r="47" spans="1:11">
      <c r="A47" s="31"/>
      <c r="B47" s="33"/>
      <c r="C47" s="33"/>
      <c r="D47" s="33"/>
      <c r="E47" s="32"/>
      <c r="F47" s="32"/>
      <c r="G47" s="33"/>
      <c r="H47" s="33"/>
      <c r="I47" s="33"/>
      <c r="J47" s="33"/>
      <c r="K47" s="34"/>
    </row>
    <row r="48" spans="1:11">
      <c r="A48" s="31"/>
      <c r="B48" s="33"/>
      <c r="C48" s="33"/>
      <c r="D48" s="33"/>
      <c r="E48" s="32"/>
      <c r="F48" s="32"/>
      <c r="G48" s="33"/>
      <c r="H48" s="33"/>
      <c r="I48" s="33"/>
      <c r="J48" s="33"/>
      <c r="K48" s="34"/>
    </row>
    <row r="49" spans="1:11">
      <c r="A49" s="31"/>
      <c r="B49" s="33"/>
      <c r="C49" s="33"/>
      <c r="D49" s="33"/>
      <c r="E49" s="32"/>
      <c r="F49" s="32"/>
      <c r="G49" s="33"/>
      <c r="H49" s="33"/>
      <c r="I49" s="33"/>
      <c r="J49" s="33"/>
      <c r="K49" s="34"/>
    </row>
    <row r="50" spans="1:11">
      <c r="A50" s="31"/>
      <c r="B50" s="33"/>
      <c r="C50" s="33"/>
      <c r="D50" s="33"/>
      <c r="E50" s="32"/>
      <c r="F50" s="32"/>
      <c r="G50" s="33"/>
      <c r="H50" s="33"/>
      <c r="I50" s="33"/>
      <c r="J50" s="33"/>
      <c r="K50" s="34"/>
    </row>
    <row r="51" spans="1:11">
      <c r="A51" s="31"/>
      <c r="B51" s="33"/>
      <c r="C51" s="33"/>
      <c r="D51" s="33"/>
      <c r="E51" s="32"/>
      <c r="F51" s="32"/>
      <c r="G51" s="33"/>
      <c r="H51" s="33"/>
      <c r="I51" s="33"/>
      <c r="J51" s="33"/>
      <c r="K51" s="34"/>
    </row>
    <row r="52" spans="1:11">
      <c r="A52" s="31"/>
      <c r="B52" s="33"/>
      <c r="C52" s="33"/>
      <c r="D52" s="33"/>
      <c r="E52" s="32"/>
      <c r="F52" s="32"/>
      <c r="G52" s="33"/>
      <c r="H52" s="33"/>
      <c r="I52" s="33"/>
      <c r="J52" s="33"/>
      <c r="K52" s="34"/>
    </row>
    <row r="53" spans="1:11">
      <c r="A53" s="35"/>
      <c r="B53" s="37"/>
      <c r="C53" s="37"/>
      <c r="D53" s="37"/>
      <c r="E53" s="36"/>
      <c r="F53" s="36"/>
      <c r="G53" s="37"/>
      <c r="H53" s="37"/>
      <c r="I53" s="37"/>
      <c r="J53" s="37"/>
      <c r="K53" s="38"/>
    </row>
  </sheetData>
  <mergeCells count="1">
    <mergeCell ref="A1:K1"/>
  </mergeCells>
  <conditionalFormatting sqref="G4:G53">
    <cfRule type="containsText" dxfId="0" priority="1" operator="between" text="已完成">
      <formula>NOT(ISERROR(SEARCH("已完成",G4)))</formula>
    </cfRule>
    <cfRule type="containsText" dxfId="1" priority="2" operator="between" text="进行中">
      <formula>NOT(ISERROR(SEARCH("进行中",G4)))</formula>
    </cfRule>
    <cfRule type="containsText" dxfId="2" priority="3" operator="between" text="未开始">
      <formula>NOT(ISERROR(SEARCH("未开始",G4)))</formula>
    </cfRule>
    <cfRule type="containsText" dxfId="3" priority="4" operator="between" text="暂停">
      <formula>NOT(ISERROR(SEARCH("暂停",G4)))</formula>
    </cfRule>
  </conditionalFormatting>
  <dataValidations count="1">
    <dataValidation type="list" sqref="G4:G53">
      <formula1>"未开始,进行中,已完成,退回修改"</formula1>
    </dataValidation>
  </dataValidation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3"/>
  <sheetViews>
    <sheetView showGridLines="0" workbookViewId="0">
      <selection activeCell="A1" sqref="A1:L1"/>
    </sheetView>
  </sheetViews>
  <sheetFormatPr defaultColWidth="9" defaultRowHeight="16.8"/>
  <cols>
    <col min="1" max="2" width="13" style="1" customWidth="1"/>
    <col min="3" max="3" width="24" style="1" customWidth="1"/>
    <col min="4" max="4" width="42" style="1" customWidth="1"/>
    <col min="5" max="6" width="14" style="1" customWidth="1"/>
    <col min="7" max="7" width="13" style="1" customWidth="1"/>
    <col min="8" max="8" width="11" style="1" customWidth="1"/>
    <col min="9" max="9" width="13" style="1" customWidth="1"/>
    <col min="10" max="10" width="11" style="1" customWidth="1"/>
    <col min="11" max="11" width="10" style="1" customWidth="1"/>
    <col min="12" max="12" width="32" style="1" customWidth="1"/>
  </cols>
  <sheetData>
    <row r="1" ht="34" customHeight="1" spans="1:12">
      <c r="A1" s="23" t="s">
        <v>650</v>
      </c>
    </row>
    <row r="3" ht="30" customHeight="1" spans="1:12">
      <c r="A3" s="26" t="s">
        <v>651</v>
      </c>
      <c r="B3" s="26" t="s">
        <v>652</v>
      </c>
      <c r="C3" s="26" t="s">
        <v>653</v>
      </c>
      <c r="D3" s="26" t="s">
        <v>654</v>
      </c>
      <c r="E3" s="26" t="s">
        <v>446</v>
      </c>
      <c r="F3" s="26" t="s">
        <v>655</v>
      </c>
      <c r="G3" s="26" t="s">
        <v>656</v>
      </c>
      <c r="H3" s="26" t="s">
        <v>21</v>
      </c>
      <c r="I3" s="26" t="s">
        <v>657</v>
      </c>
      <c r="J3" s="26" t="s">
        <v>658</v>
      </c>
      <c r="K3" s="26" t="s">
        <v>601</v>
      </c>
      <c r="L3" s="26" t="s">
        <v>659</v>
      </c>
    </row>
    <row r="4" spans="1:12">
      <c r="A4" s="27"/>
      <c r="B4" s="28"/>
      <c r="C4" s="29"/>
      <c r="D4" s="29"/>
      <c r="E4" s="29"/>
      <c r="F4" s="29"/>
      <c r="G4" s="28"/>
      <c r="H4" s="29"/>
      <c r="I4" s="28"/>
      <c r="J4" s="29">
        <f>IF(OR(G4="",H4="已完成"),0,MAX(0,项目驾驶舱!$B$3-G4))</f>
        <v>0</v>
      </c>
      <c r="K4" s="29"/>
      <c r="L4" s="30"/>
    </row>
    <row r="5" spans="1:12">
      <c r="A5" s="31"/>
      <c r="B5" s="32"/>
      <c r="C5" s="33"/>
      <c r="D5" s="33"/>
      <c r="E5" s="33"/>
      <c r="F5" s="33"/>
      <c r="G5" s="32"/>
      <c r="H5" s="33"/>
      <c r="I5" s="32"/>
      <c r="J5" s="33">
        <f>IF(OR(G5="",H5="已完成"),0,MAX(0,项目驾驶舱!$B$3-G5))</f>
        <v>0</v>
      </c>
      <c r="K5" s="33"/>
      <c r="L5" s="34"/>
    </row>
    <row r="6" spans="1:12">
      <c r="A6" s="31"/>
      <c r="B6" s="32"/>
      <c r="C6" s="33"/>
      <c r="D6" s="33"/>
      <c r="E6" s="33"/>
      <c r="F6" s="33"/>
      <c r="G6" s="32"/>
      <c r="H6" s="33"/>
      <c r="I6" s="32"/>
      <c r="J6" s="33">
        <f>IF(OR(G6="",H6="已完成"),0,MAX(0,项目驾驶舱!$B$3-G6))</f>
        <v>0</v>
      </c>
      <c r="K6" s="33"/>
      <c r="L6" s="34"/>
    </row>
    <row r="7" spans="1:12">
      <c r="A7" s="31"/>
      <c r="B7" s="32"/>
      <c r="C7" s="33"/>
      <c r="D7" s="33"/>
      <c r="E7" s="33"/>
      <c r="F7" s="33"/>
      <c r="G7" s="32"/>
      <c r="H7" s="33"/>
      <c r="I7" s="32"/>
      <c r="J7" s="33">
        <f>IF(OR(G7="",H7="已完成"),0,MAX(0,项目驾驶舱!$B$3-G7))</f>
        <v>0</v>
      </c>
      <c r="K7" s="33"/>
      <c r="L7" s="34"/>
    </row>
    <row r="8" spans="1:12">
      <c r="A8" s="31"/>
      <c r="B8" s="32"/>
      <c r="C8" s="33"/>
      <c r="D8" s="33"/>
      <c r="E8" s="33"/>
      <c r="F8" s="33"/>
      <c r="G8" s="32"/>
      <c r="H8" s="33"/>
      <c r="I8" s="32"/>
      <c r="J8" s="33">
        <f>IF(OR(G8="",H8="已完成"),0,MAX(0,项目驾驶舱!$B$3-G8))</f>
        <v>0</v>
      </c>
      <c r="K8" s="33"/>
      <c r="L8" s="34"/>
    </row>
    <row r="9" spans="1:12">
      <c r="A9" s="31"/>
      <c r="B9" s="32"/>
      <c r="C9" s="33"/>
      <c r="D9" s="33"/>
      <c r="E9" s="33"/>
      <c r="F9" s="33"/>
      <c r="G9" s="32"/>
      <c r="H9" s="33"/>
      <c r="I9" s="32"/>
      <c r="J9" s="33">
        <f>IF(OR(G9="",H9="已完成"),0,MAX(0,项目驾驶舱!$B$3-G9))</f>
        <v>0</v>
      </c>
      <c r="K9" s="33"/>
      <c r="L9" s="34"/>
    </row>
    <row r="10" spans="1:12">
      <c r="A10" s="31"/>
      <c r="B10" s="32"/>
      <c r="C10" s="33"/>
      <c r="D10" s="33"/>
      <c r="E10" s="33"/>
      <c r="F10" s="33"/>
      <c r="G10" s="32"/>
      <c r="H10" s="33"/>
      <c r="I10" s="32"/>
      <c r="J10" s="33">
        <f>IF(OR(G10="",H10="已完成"),0,MAX(0,项目驾驶舱!$B$3-G10))</f>
        <v>0</v>
      </c>
      <c r="K10" s="33"/>
      <c r="L10" s="34"/>
    </row>
    <row r="11" spans="1:12">
      <c r="A11" s="31"/>
      <c r="B11" s="32"/>
      <c r="C11" s="33"/>
      <c r="D11" s="33"/>
      <c r="E11" s="33"/>
      <c r="F11" s="33"/>
      <c r="G11" s="32"/>
      <c r="H11" s="33"/>
      <c r="I11" s="32"/>
      <c r="J11" s="33">
        <f>IF(OR(G11="",H11="已完成"),0,MAX(0,项目驾驶舱!$B$3-G11))</f>
        <v>0</v>
      </c>
      <c r="K11" s="33"/>
      <c r="L11" s="34"/>
    </row>
    <row r="12" spans="1:12">
      <c r="A12" s="31"/>
      <c r="B12" s="32"/>
      <c r="C12" s="33"/>
      <c r="D12" s="33"/>
      <c r="E12" s="33"/>
      <c r="F12" s="33"/>
      <c r="G12" s="32"/>
      <c r="H12" s="33"/>
      <c r="I12" s="32"/>
      <c r="J12" s="33">
        <f>IF(OR(G12="",H12="已完成"),0,MAX(0,项目驾驶舱!$B$3-G12))</f>
        <v>0</v>
      </c>
      <c r="K12" s="33"/>
      <c r="L12" s="34"/>
    </row>
    <row r="13" spans="1:12">
      <c r="A13" s="31"/>
      <c r="B13" s="32"/>
      <c r="C13" s="33"/>
      <c r="D13" s="33"/>
      <c r="E13" s="33"/>
      <c r="F13" s="33"/>
      <c r="G13" s="32"/>
      <c r="H13" s="33"/>
      <c r="I13" s="32"/>
      <c r="J13" s="33">
        <f>IF(OR(G13="",H13="已完成"),0,MAX(0,项目驾驶舱!$B$3-G13))</f>
        <v>0</v>
      </c>
      <c r="K13" s="33"/>
      <c r="L13" s="34"/>
    </row>
    <row r="14" spans="1:12">
      <c r="A14" s="31"/>
      <c r="B14" s="32"/>
      <c r="C14" s="33"/>
      <c r="D14" s="33"/>
      <c r="E14" s="33"/>
      <c r="F14" s="33"/>
      <c r="G14" s="32"/>
      <c r="H14" s="33"/>
      <c r="I14" s="32"/>
      <c r="J14" s="33">
        <f>IF(OR(G14="",H14="已完成"),0,MAX(0,项目驾驶舱!$B$3-G14))</f>
        <v>0</v>
      </c>
      <c r="K14" s="33"/>
      <c r="L14" s="34"/>
    </row>
    <row r="15" spans="1:12">
      <c r="A15" s="31"/>
      <c r="B15" s="32"/>
      <c r="C15" s="33"/>
      <c r="D15" s="33"/>
      <c r="E15" s="33"/>
      <c r="F15" s="33"/>
      <c r="G15" s="32"/>
      <c r="H15" s="33"/>
      <c r="I15" s="32"/>
      <c r="J15" s="33">
        <f>IF(OR(G15="",H15="已完成"),0,MAX(0,项目驾驶舱!$B$3-G15))</f>
        <v>0</v>
      </c>
      <c r="K15" s="33"/>
      <c r="L15" s="34"/>
    </row>
    <row r="16" spans="1:12">
      <c r="A16" s="31"/>
      <c r="B16" s="32"/>
      <c r="C16" s="33"/>
      <c r="D16" s="33"/>
      <c r="E16" s="33"/>
      <c r="F16" s="33"/>
      <c r="G16" s="32"/>
      <c r="H16" s="33"/>
      <c r="I16" s="32"/>
      <c r="J16" s="33">
        <f>IF(OR(G16="",H16="已完成"),0,MAX(0,项目驾驶舱!$B$3-G16))</f>
        <v>0</v>
      </c>
      <c r="K16" s="33"/>
      <c r="L16" s="34"/>
    </row>
    <row r="17" spans="1:12">
      <c r="A17" s="31"/>
      <c r="B17" s="32"/>
      <c r="C17" s="33"/>
      <c r="D17" s="33"/>
      <c r="E17" s="33"/>
      <c r="F17" s="33"/>
      <c r="G17" s="32"/>
      <c r="H17" s="33"/>
      <c r="I17" s="32"/>
      <c r="J17" s="33">
        <f>IF(OR(G17="",H17="已完成"),0,MAX(0,项目驾驶舱!$B$3-G17))</f>
        <v>0</v>
      </c>
      <c r="K17" s="33"/>
      <c r="L17" s="34"/>
    </row>
    <row r="18" spans="1:12">
      <c r="A18" s="31"/>
      <c r="B18" s="32"/>
      <c r="C18" s="33"/>
      <c r="D18" s="33"/>
      <c r="E18" s="33"/>
      <c r="F18" s="33"/>
      <c r="G18" s="32"/>
      <c r="H18" s="33"/>
      <c r="I18" s="32"/>
      <c r="J18" s="33">
        <f>IF(OR(G18="",H18="已完成"),0,MAX(0,项目驾驶舱!$B$3-G18))</f>
        <v>0</v>
      </c>
      <c r="K18" s="33"/>
      <c r="L18" s="34"/>
    </row>
    <row r="19" spans="1:12">
      <c r="A19" s="31"/>
      <c r="B19" s="32"/>
      <c r="C19" s="33"/>
      <c r="D19" s="33"/>
      <c r="E19" s="33"/>
      <c r="F19" s="33"/>
      <c r="G19" s="32"/>
      <c r="H19" s="33"/>
      <c r="I19" s="32"/>
      <c r="J19" s="33">
        <f>IF(OR(G19="",H19="已完成"),0,MAX(0,项目驾驶舱!$B$3-G19))</f>
        <v>0</v>
      </c>
      <c r="K19" s="33"/>
      <c r="L19" s="34"/>
    </row>
    <row r="20" spans="1:12">
      <c r="A20" s="31"/>
      <c r="B20" s="32"/>
      <c r="C20" s="33"/>
      <c r="D20" s="33"/>
      <c r="E20" s="33"/>
      <c r="F20" s="33"/>
      <c r="G20" s="32"/>
      <c r="H20" s="33"/>
      <c r="I20" s="32"/>
      <c r="J20" s="33">
        <f>IF(OR(G20="",H20="已完成"),0,MAX(0,项目驾驶舱!$B$3-G20))</f>
        <v>0</v>
      </c>
      <c r="K20" s="33"/>
      <c r="L20" s="34"/>
    </row>
    <row r="21" spans="1:12">
      <c r="A21" s="31"/>
      <c r="B21" s="32"/>
      <c r="C21" s="33"/>
      <c r="D21" s="33"/>
      <c r="E21" s="33"/>
      <c r="F21" s="33"/>
      <c r="G21" s="32"/>
      <c r="H21" s="33"/>
      <c r="I21" s="32"/>
      <c r="J21" s="33">
        <f>IF(OR(G21="",H21="已完成"),0,MAX(0,项目驾驶舱!$B$3-G21))</f>
        <v>0</v>
      </c>
      <c r="K21" s="33"/>
      <c r="L21" s="34"/>
    </row>
    <row r="22" spans="1:12">
      <c r="A22" s="31"/>
      <c r="B22" s="32"/>
      <c r="C22" s="33"/>
      <c r="D22" s="33"/>
      <c r="E22" s="33"/>
      <c r="F22" s="33"/>
      <c r="G22" s="32"/>
      <c r="H22" s="33"/>
      <c r="I22" s="32"/>
      <c r="J22" s="33">
        <f>IF(OR(G22="",H22="已完成"),0,MAX(0,项目驾驶舱!$B$3-G22))</f>
        <v>0</v>
      </c>
      <c r="K22" s="33"/>
      <c r="L22" s="34"/>
    </row>
    <row r="23" spans="1:12">
      <c r="A23" s="31"/>
      <c r="B23" s="32"/>
      <c r="C23" s="33"/>
      <c r="D23" s="33"/>
      <c r="E23" s="33"/>
      <c r="F23" s="33"/>
      <c r="G23" s="32"/>
      <c r="H23" s="33"/>
      <c r="I23" s="32"/>
      <c r="J23" s="33">
        <f>IF(OR(G23="",H23="已完成"),0,MAX(0,项目驾驶舱!$B$3-G23))</f>
        <v>0</v>
      </c>
      <c r="K23" s="33"/>
      <c r="L23" s="34"/>
    </row>
    <row r="24" spans="1:12">
      <c r="A24" s="31"/>
      <c r="B24" s="32"/>
      <c r="C24" s="33"/>
      <c r="D24" s="33"/>
      <c r="E24" s="33"/>
      <c r="F24" s="33"/>
      <c r="G24" s="32"/>
      <c r="H24" s="33"/>
      <c r="I24" s="32"/>
      <c r="J24" s="33">
        <f>IF(OR(G24="",H24="已完成"),0,MAX(0,项目驾驶舱!$B$3-G24))</f>
        <v>0</v>
      </c>
      <c r="K24" s="33"/>
      <c r="L24" s="34"/>
    </row>
    <row r="25" spans="1:12">
      <c r="A25" s="31"/>
      <c r="B25" s="32"/>
      <c r="C25" s="33"/>
      <c r="D25" s="33"/>
      <c r="E25" s="33"/>
      <c r="F25" s="33"/>
      <c r="G25" s="32"/>
      <c r="H25" s="33"/>
      <c r="I25" s="32"/>
      <c r="J25" s="33">
        <f>IF(OR(G25="",H25="已完成"),0,MAX(0,项目驾驶舱!$B$3-G25))</f>
        <v>0</v>
      </c>
      <c r="K25" s="33"/>
      <c r="L25" s="34"/>
    </row>
    <row r="26" spans="1:12">
      <c r="A26" s="31"/>
      <c r="B26" s="32"/>
      <c r="C26" s="33"/>
      <c r="D26" s="33"/>
      <c r="E26" s="33"/>
      <c r="F26" s="33"/>
      <c r="G26" s="32"/>
      <c r="H26" s="33"/>
      <c r="I26" s="32"/>
      <c r="J26" s="33">
        <f>IF(OR(G26="",H26="已完成"),0,MAX(0,项目驾驶舱!$B$3-G26))</f>
        <v>0</v>
      </c>
      <c r="K26" s="33"/>
      <c r="L26" s="34"/>
    </row>
    <row r="27" spans="1:12">
      <c r="A27" s="31"/>
      <c r="B27" s="32"/>
      <c r="C27" s="33"/>
      <c r="D27" s="33"/>
      <c r="E27" s="33"/>
      <c r="F27" s="33"/>
      <c r="G27" s="32"/>
      <c r="H27" s="33"/>
      <c r="I27" s="32"/>
      <c r="J27" s="33">
        <f>IF(OR(G27="",H27="已完成"),0,MAX(0,项目驾驶舱!$B$3-G27))</f>
        <v>0</v>
      </c>
      <c r="K27" s="33"/>
      <c r="L27" s="34"/>
    </row>
    <row r="28" spans="1:12">
      <c r="A28" s="31"/>
      <c r="B28" s="32"/>
      <c r="C28" s="33"/>
      <c r="D28" s="33"/>
      <c r="E28" s="33"/>
      <c r="F28" s="33"/>
      <c r="G28" s="32"/>
      <c r="H28" s="33"/>
      <c r="I28" s="32"/>
      <c r="J28" s="33">
        <f>IF(OR(G28="",H28="已完成"),0,MAX(0,项目驾驶舱!$B$3-G28))</f>
        <v>0</v>
      </c>
      <c r="K28" s="33"/>
      <c r="L28" s="34"/>
    </row>
    <row r="29" spans="1:12">
      <c r="A29" s="31"/>
      <c r="B29" s="32"/>
      <c r="C29" s="33"/>
      <c r="D29" s="33"/>
      <c r="E29" s="33"/>
      <c r="F29" s="33"/>
      <c r="G29" s="32"/>
      <c r="H29" s="33"/>
      <c r="I29" s="32"/>
      <c r="J29" s="33">
        <f>IF(OR(G29="",H29="已完成"),0,MAX(0,项目驾驶舱!$B$3-G29))</f>
        <v>0</v>
      </c>
      <c r="K29" s="33"/>
      <c r="L29" s="34"/>
    </row>
    <row r="30" spans="1:12">
      <c r="A30" s="31"/>
      <c r="B30" s="32"/>
      <c r="C30" s="33"/>
      <c r="D30" s="33"/>
      <c r="E30" s="33"/>
      <c r="F30" s="33"/>
      <c r="G30" s="32"/>
      <c r="H30" s="33"/>
      <c r="I30" s="32"/>
      <c r="J30" s="33">
        <f>IF(OR(G30="",H30="已完成"),0,MAX(0,项目驾驶舱!$B$3-G30))</f>
        <v>0</v>
      </c>
      <c r="K30" s="33"/>
      <c r="L30" s="34"/>
    </row>
    <row r="31" spans="1:12">
      <c r="A31" s="31"/>
      <c r="B31" s="32"/>
      <c r="C31" s="33"/>
      <c r="D31" s="33"/>
      <c r="E31" s="33"/>
      <c r="F31" s="33"/>
      <c r="G31" s="32"/>
      <c r="H31" s="33"/>
      <c r="I31" s="32"/>
      <c r="J31" s="33">
        <f>IF(OR(G31="",H31="已完成"),0,MAX(0,项目驾驶舱!$B$3-G31))</f>
        <v>0</v>
      </c>
      <c r="K31" s="33"/>
      <c r="L31" s="34"/>
    </row>
    <row r="32" spans="1:12">
      <c r="A32" s="31"/>
      <c r="B32" s="32"/>
      <c r="C32" s="33"/>
      <c r="D32" s="33"/>
      <c r="E32" s="33"/>
      <c r="F32" s="33"/>
      <c r="G32" s="32"/>
      <c r="H32" s="33"/>
      <c r="I32" s="32"/>
      <c r="J32" s="33">
        <f>IF(OR(G32="",H32="已完成"),0,MAX(0,项目驾驶舱!$B$3-G32))</f>
        <v>0</v>
      </c>
      <c r="K32" s="33"/>
      <c r="L32" s="34"/>
    </row>
    <row r="33" spans="1:12">
      <c r="A33" s="31"/>
      <c r="B33" s="32"/>
      <c r="C33" s="33"/>
      <c r="D33" s="33"/>
      <c r="E33" s="33"/>
      <c r="F33" s="33"/>
      <c r="G33" s="32"/>
      <c r="H33" s="33"/>
      <c r="I33" s="32"/>
      <c r="J33" s="33">
        <f>IF(OR(G33="",H33="已完成"),0,MAX(0,项目驾驶舱!$B$3-G33))</f>
        <v>0</v>
      </c>
      <c r="K33" s="33"/>
      <c r="L33" s="34"/>
    </row>
    <row r="34" spans="1:12">
      <c r="A34" s="31"/>
      <c r="B34" s="32"/>
      <c r="C34" s="33"/>
      <c r="D34" s="33"/>
      <c r="E34" s="33"/>
      <c r="F34" s="33"/>
      <c r="G34" s="32"/>
      <c r="H34" s="33"/>
      <c r="I34" s="32"/>
      <c r="J34" s="33">
        <f>IF(OR(G34="",H34="已完成"),0,MAX(0,项目驾驶舱!$B$3-G34))</f>
        <v>0</v>
      </c>
      <c r="K34" s="33"/>
      <c r="L34" s="34"/>
    </row>
    <row r="35" spans="1:12">
      <c r="A35" s="31"/>
      <c r="B35" s="32"/>
      <c r="C35" s="33"/>
      <c r="D35" s="33"/>
      <c r="E35" s="33"/>
      <c r="F35" s="33"/>
      <c r="G35" s="32"/>
      <c r="H35" s="33"/>
      <c r="I35" s="32"/>
      <c r="J35" s="33">
        <f>IF(OR(G35="",H35="已完成"),0,MAX(0,项目驾驶舱!$B$3-G35))</f>
        <v>0</v>
      </c>
      <c r="K35" s="33"/>
      <c r="L35" s="34"/>
    </row>
    <row r="36" spans="1:12">
      <c r="A36" s="31"/>
      <c r="B36" s="32"/>
      <c r="C36" s="33"/>
      <c r="D36" s="33"/>
      <c r="E36" s="33"/>
      <c r="F36" s="33"/>
      <c r="G36" s="32"/>
      <c r="H36" s="33"/>
      <c r="I36" s="32"/>
      <c r="J36" s="33">
        <f>IF(OR(G36="",H36="已完成"),0,MAX(0,项目驾驶舱!$B$3-G36))</f>
        <v>0</v>
      </c>
      <c r="K36" s="33"/>
      <c r="L36" s="34"/>
    </row>
    <row r="37" spans="1:12">
      <c r="A37" s="31"/>
      <c r="B37" s="32"/>
      <c r="C37" s="33"/>
      <c r="D37" s="33"/>
      <c r="E37" s="33"/>
      <c r="F37" s="33"/>
      <c r="G37" s="32"/>
      <c r="H37" s="33"/>
      <c r="I37" s="32"/>
      <c r="J37" s="33">
        <f>IF(OR(G37="",H37="已完成"),0,MAX(0,项目驾驶舱!$B$3-G37))</f>
        <v>0</v>
      </c>
      <c r="K37" s="33"/>
      <c r="L37" s="34"/>
    </row>
    <row r="38" spans="1:12">
      <c r="A38" s="31"/>
      <c r="B38" s="32"/>
      <c r="C38" s="33"/>
      <c r="D38" s="33"/>
      <c r="E38" s="33"/>
      <c r="F38" s="33"/>
      <c r="G38" s="32"/>
      <c r="H38" s="33"/>
      <c r="I38" s="32"/>
      <c r="J38" s="33">
        <f>IF(OR(G38="",H38="已完成"),0,MAX(0,项目驾驶舱!$B$3-G38))</f>
        <v>0</v>
      </c>
      <c r="K38" s="33"/>
      <c r="L38" s="34"/>
    </row>
    <row r="39" spans="1:12">
      <c r="A39" s="31"/>
      <c r="B39" s="32"/>
      <c r="C39" s="33"/>
      <c r="D39" s="33"/>
      <c r="E39" s="33"/>
      <c r="F39" s="33"/>
      <c r="G39" s="32"/>
      <c r="H39" s="33"/>
      <c r="I39" s="32"/>
      <c r="J39" s="33">
        <f>IF(OR(G39="",H39="已完成"),0,MAX(0,项目驾驶舱!$B$3-G39))</f>
        <v>0</v>
      </c>
      <c r="K39" s="33"/>
      <c r="L39" s="34"/>
    </row>
    <row r="40" spans="1:12">
      <c r="A40" s="31"/>
      <c r="B40" s="32"/>
      <c r="C40" s="33"/>
      <c r="D40" s="33"/>
      <c r="E40" s="33"/>
      <c r="F40" s="33"/>
      <c r="G40" s="32"/>
      <c r="H40" s="33"/>
      <c r="I40" s="32"/>
      <c r="J40" s="33">
        <f>IF(OR(G40="",H40="已完成"),0,MAX(0,项目驾驶舱!$B$3-G40))</f>
        <v>0</v>
      </c>
      <c r="K40" s="33"/>
      <c r="L40" s="34"/>
    </row>
    <row r="41" spans="1:12">
      <c r="A41" s="31"/>
      <c r="B41" s="32"/>
      <c r="C41" s="33"/>
      <c r="D41" s="33"/>
      <c r="E41" s="33"/>
      <c r="F41" s="33"/>
      <c r="G41" s="32"/>
      <c r="H41" s="33"/>
      <c r="I41" s="32"/>
      <c r="J41" s="33">
        <f>IF(OR(G41="",H41="已完成"),0,MAX(0,项目驾驶舱!$B$3-G41))</f>
        <v>0</v>
      </c>
      <c r="K41" s="33"/>
      <c r="L41" s="34"/>
    </row>
    <row r="42" spans="1:12">
      <c r="A42" s="31"/>
      <c r="B42" s="32"/>
      <c r="C42" s="33"/>
      <c r="D42" s="33"/>
      <c r="E42" s="33"/>
      <c r="F42" s="33"/>
      <c r="G42" s="32"/>
      <c r="H42" s="33"/>
      <c r="I42" s="32"/>
      <c r="J42" s="33">
        <f>IF(OR(G42="",H42="已完成"),0,MAX(0,项目驾驶舱!$B$3-G42))</f>
        <v>0</v>
      </c>
      <c r="K42" s="33"/>
      <c r="L42" s="34"/>
    </row>
    <row r="43" spans="1:12">
      <c r="A43" s="31"/>
      <c r="B43" s="32"/>
      <c r="C43" s="33"/>
      <c r="D43" s="33"/>
      <c r="E43" s="33"/>
      <c r="F43" s="33"/>
      <c r="G43" s="32"/>
      <c r="H43" s="33"/>
      <c r="I43" s="32"/>
      <c r="J43" s="33">
        <f>IF(OR(G43="",H43="已完成"),0,MAX(0,项目驾驶舱!$B$3-G43))</f>
        <v>0</v>
      </c>
      <c r="K43" s="33"/>
      <c r="L43" s="34"/>
    </row>
    <row r="44" spans="1:12">
      <c r="A44" s="31"/>
      <c r="B44" s="32"/>
      <c r="C44" s="33"/>
      <c r="D44" s="33"/>
      <c r="E44" s="33"/>
      <c r="F44" s="33"/>
      <c r="G44" s="32"/>
      <c r="H44" s="33"/>
      <c r="I44" s="32"/>
      <c r="J44" s="33">
        <f>IF(OR(G44="",H44="已完成"),0,MAX(0,项目驾驶舱!$B$3-G44))</f>
        <v>0</v>
      </c>
      <c r="K44" s="33"/>
      <c r="L44" s="34"/>
    </row>
    <row r="45" spans="1:12">
      <c r="A45" s="31"/>
      <c r="B45" s="32"/>
      <c r="C45" s="33"/>
      <c r="D45" s="33"/>
      <c r="E45" s="33"/>
      <c r="F45" s="33"/>
      <c r="G45" s="32"/>
      <c r="H45" s="33"/>
      <c r="I45" s="32"/>
      <c r="J45" s="33">
        <f>IF(OR(G45="",H45="已完成"),0,MAX(0,项目驾驶舱!$B$3-G45))</f>
        <v>0</v>
      </c>
      <c r="K45" s="33"/>
      <c r="L45" s="34"/>
    </row>
    <row r="46" spans="1:12">
      <c r="A46" s="31"/>
      <c r="B46" s="32"/>
      <c r="C46" s="33"/>
      <c r="D46" s="33"/>
      <c r="E46" s="33"/>
      <c r="F46" s="33"/>
      <c r="G46" s="32"/>
      <c r="H46" s="33"/>
      <c r="I46" s="32"/>
      <c r="J46" s="33">
        <f>IF(OR(G46="",H46="已完成"),0,MAX(0,项目驾驶舱!$B$3-G46))</f>
        <v>0</v>
      </c>
      <c r="K46" s="33"/>
      <c r="L46" s="34"/>
    </row>
    <row r="47" spans="1:12">
      <c r="A47" s="31"/>
      <c r="B47" s="32"/>
      <c r="C47" s="33"/>
      <c r="D47" s="33"/>
      <c r="E47" s="33"/>
      <c r="F47" s="33"/>
      <c r="G47" s="32"/>
      <c r="H47" s="33"/>
      <c r="I47" s="32"/>
      <c r="J47" s="33">
        <f>IF(OR(G47="",H47="已完成"),0,MAX(0,项目驾驶舱!$B$3-G47))</f>
        <v>0</v>
      </c>
      <c r="K47" s="33"/>
      <c r="L47" s="34"/>
    </row>
    <row r="48" spans="1:12">
      <c r="A48" s="31"/>
      <c r="B48" s="32"/>
      <c r="C48" s="33"/>
      <c r="D48" s="33"/>
      <c r="E48" s="33"/>
      <c r="F48" s="33"/>
      <c r="G48" s="32"/>
      <c r="H48" s="33"/>
      <c r="I48" s="32"/>
      <c r="J48" s="33">
        <f>IF(OR(G48="",H48="已完成"),0,MAX(0,项目驾驶舱!$B$3-G48))</f>
        <v>0</v>
      </c>
      <c r="K48" s="33"/>
      <c r="L48" s="34"/>
    </row>
    <row r="49" spans="1:12">
      <c r="A49" s="31"/>
      <c r="B49" s="32"/>
      <c r="C49" s="33"/>
      <c r="D49" s="33"/>
      <c r="E49" s="33"/>
      <c r="F49" s="33"/>
      <c r="G49" s="32"/>
      <c r="H49" s="33"/>
      <c r="I49" s="32"/>
      <c r="J49" s="33">
        <f>IF(OR(G49="",H49="已完成"),0,MAX(0,项目驾驶舱!$B$3-G49))</f>
        <v>0</v>
      </c>
      <c r="K49" s="33"/>
      <c r="L49" s="34"/>
    </row>
    <row r="50" spans="1:12">
      <c r="A50" s="31"/>
      <c r="B50" s="32"/>
      <c r="C50" s="33"/>
      <c r="D50" s="33"/>
      <c r="E50" s="33"/>
      <c r="F50" s="33"/>
      <c r="G50" s="32"/>
      <c r="H50" s="33"/>
      <c r="I50" s="32"/>
      <c r="J50" s="33">
        <f>IF(OR(G50="",H50="已完成"),0,MAX(0,项目驾驶舱!$B$3-G50))</f>
        <v>0</v>
      </c>
      <c r="K50" s="33"/>
      <c r="L50" s="34"/>
    </row>
    <row r="51" spans="1:12">
      <c r="A51" s="31"/>
      <c r="B51" s="32"/>
      <c r="C51" s="33"/>
      <c r="D51" s="33"/>
      <c r="E51" s="33"/>
      <c r="F51" s="33"/>
      <c r="G51" s="32"/>
      <c r="H51" s="33"/>
      <c r="I51" s="32"/>
      <c r="J51" s="33">
        <f>IF(OR(G51="",H51="已完成"),0,MAX(0,项目驾驶舱!$B$3-G51))</f>
        <v>0</v>
      </c>
      <c r="K51" s="33"/>
      <c r="L51" s="34"/>
    </row>
    <row r="52" spans="1:12">
      <c r="A52" s="31"/>
      <c r="B52" s="32"/>
      <c r="C52" s="33"/>
      <c r="D52" s="33"/>
      <c r="E52" s="33"/>
      <c r="F52" s="33"/>
      <c r="G52" s="32"/>
      <c r="H52" s="33"/>
      <c r="I52" s="32"/>
      <c r="J52" s="33">
        <f>IF(OR(G52="",H52="已完成"),0,MAX(0,项目驾驶舱!$B$3-G52))</f>
        <v>0</v>
      </c>
      <c r="K52" s="33"/>
      <c r="L52" s="34"/>
    </row>
    <row r="53" spans="1:12">
      <c r="A53" s="31"/>
      <c r="B53" s="32"/>
      <c r="C53" s="33"/>
      <c r="D53" s="33"/>
      <c r="E53" s="33"/>
      <c r="F53" s="33"/>
      <c r="G53" s="32"/>
      <c r="H53" s="33"/>
      <c r="I53" s="32"/>
      <c r="J53" s="33">
        <f>IF(OR(G53="",H53="已完成"),0,MAX(0,项目驾驶舱!$B$3-G53))</f>
        <v>0</v>
      </c>
      <c r="K53" s="33"/>
      <c r="L53" s="34"/>
    </row>
    <row r="54" spans="1:12">
      <c r="A54" s="31"/>
      <c r="B54" s="32"/>
      <c r="C54" s="33"/>
      <c r="D54" s="33"/>
      <c r="E54" s="33"/>
      <c r="F54" s="33"/>
      <c r="G54" s="32"/>
      <c r="H54" s="33"/>
      <c r="I54" s="32"/>
      <c r="J54" s="33">
        <f>IF(OR(G54="",H54="已完成"),0,MAX(0,项目驾驶舱!$B$3-G54))</f>
        <v>0</v>
      </c>
      <c r="K54" s="33"/>
      <c r="L54" s="34"/>
    </row>
    <row r="55" spans="1:12">
      <c r="A55" s="31"/>
      <c r="B55" s="32"/>
      <c r="C55" s="33"/>
      <c r="D55" s="33"/>
      <c r="E55" s="33"/>
      <c r="F55" s="33"/>
      <c r="G55" s="32"/>
      <c r="H55" s="33"/>
      <c r="I55" s="32"/>
      <c r="J55" s="33">
        <f>IF(OR(G55="",H55="已完成"),0,MAX(0,项目驾驶舱!$B$3-G55))</f>
        <v>0</v>
      </c>
      <c r="K55" s="33"/>
      <c r="L55" s="34"/>
    </row>
    <row r="56" spans="1:12">
      <c r="A56" s="31"/>
      <c r="B56" s="32"/>
      <c r="C56" s="33"/>
      <c r="D56" s="33"/>
      <c r="E56" s="33"/>
      <c r="F56" s="33"/>
      <c r="G56" s="32"/>
      <c r="H56" s="33"/>
      <c r="I56" s="32"/>
      <c r="J56" s="33">
        <f>IF(OR(G56="",H56="已完成"),0,MAX(0,项目驾驶舱!$B$3-G56))</f>
        <v>0</v>
      </c>
      <c r="K56" s="33"/>
      <c r="L56" s="34"/>
    </row>
    <row r="57" spans="1:12">
      <c r="A57" s="31"/>
      <c r="B57" s="32"/>
      <c r="C57" s="33"/>
      <c r="D57" s="33"/>
      <c r="E57" s="33"/>
      <c r="F57" s="33"/>
      <c r="G57" s="32"/>
      <c r="H57" s="33"/>
      <c r="I57" s="32"/>
      <c r="J57" s="33">
        <f>IF(OR(G57="",H57="已完成"),0,MAX(0,项目驾驶舱!$B$3-G57))</f>
        <v>0</v>
      </c>
      <c r="K57" s="33"/>
      <c r="L57" s="34"/>
    </row>
    <row r="58" spans="1:12">
      <c r="A58" s="31"/>
      <c r="B58" s="32"/>
      <c r="C58" s="33"/>
      <c r="D58" s="33"/>
      <c r="E58" s="33"/>
      <c r="F58" s="33"/>
      <c r="G58" s="32"/>
      <c r="H58" s="33"/>
      <c r="I58" s="32"/>
      <c r="J58" s="33">
        <f>IF(OR(G58="",H58="已完成"),0,MAX(0,项目驾驶舱!$B$3-G58))</f>
        <v>0</v>
      </c>
      <c r="K58" s="33"/>
      <c r="L58" s="34"/>
    </row>
    <row r="59" spans="1:12">
      <c r="A59" s="31"/>
      <c r="B59" s="32"/>
      <c r="C59" s="33"/>
      <c r="D59" s="33"/>
      <c r="E59" s="33"/>
      <c r="F59" s="33"/>
      <c r="G59" s="32"/>
      <c r="H59" s="33"/>
      <c r="I59" s="32"/>
      <c r="J59" s="33">
        <f>IF(OR(G59="",H59="已完成"),0,MAX(0,项目驾驶舱!$B$3-G59))</f>
        <v>0</v>
      </c>
      <c r="K59" s="33"/>
      <c r="L59" s="34"/>
    </row>
    <row r="60" spans="1:12">
      <c r="A60" s="31"/>
      <c r="B60" s="32"/>
      <c r="C60" s="33"/>
      <c r="D60" s="33"/>
      <c r="E60" s="33"/>
      <c r="F60" s="33"/>
      <c r="G60" s="32"/>
      <c r="H60" s="33"/>
      <c r="I60" s="32"/>
      <c r="J60" s="33">
        <f>IF(OR(G60="",H60="已完成"),0,MAX(0,项目驾驶舱!$B$3-G60))</f>
        <v>0</v>
      </c>
      <c r="K60" s="33"/>
      <c r="L60" s="34"/>
    </row>
    <row r="61" spans="1:12">
      <c r="A61" s="31"/>
      <c r="B61" s="32"/>
      <c r="C61" s="33"/>
      <c r="D61" s="33"/>
      <c r="E61" s="33"/>
      <c r="F61" s="33"/>
      <c r="G61" s="32"/>
      <c r="H61" s="33"/>
      <c r="I61" s="32"/>
      <c r="J61" s="33">
        <f>IF(OR(G61="",H61="已完成"),0,MAX(0,项目驾驶舱!$B$3-G61))</f>
        <v>0</v>
      </c>
      <c r="K61" s="33"/>
      <c r="L61" s="34"/>
    </row>
    <row r="62" spans="1:12">
      <c r="A62" s="31"/>
      <c r="B62" s="32"/>
      <c r="C62" s="33"/>
      <c r="D62" s="33"/>
      <c r="E62" s="33"/>
      <c r="F62" s="33"/>
      <c r="G62" s="32"/>
      <c r="H62" s="33"/>
      <c r="I62" s="32"/>
      <c r="J62" s="33">
        <f>IF(OR(G62="",H62="已完成"),0,MAX(0,项目驾驶舱!$B$3-G62))</f>
        <v>0</v>
      </c>
      <c r="K62" s="33"/>
      <c r="L62" s="34"/>
    </row>
    <row r="63" spans="1:12">
      <c r="A63" s="31"/>
      <c r="B63" s="32"/>
      <c r="C63" s="33"/>
      <c r="D63" s="33"/>
      <c r="E63" s="33"/>
      <c r="F63" s="33"/>
      <c r="G63" s="32"/>
      <c r="H63" s="33"/>
      <c r="I63" s="32"/>
      <c r="J63" s="33">
        <f>IF(OR(G63="",H63="已完成"),0,MAX(0,项目驾驶舱!$B$3-G63))</f>
        <v>0</v>
      </c>
      <c r="K63" s="33"/>
      <c r="L63" s="34"/>
    </row>
    <row r="64" spans="1:12">
      <c r="A64" s="31"/>
      <c r="B64" s="32"/>
      <c r="C64" s="33"/>
      <c r="D64" s="33"/>
      <c r="E64" s="33"/>
      <c r="F64" s="33"/>
      <c r="G64" s="32"/>
      <c r="H64" s="33"/>
      <c r="I64" s="32"/>
      <c r="J64" s="33">
        <f>IF(OR(G64="",H64="已完成"),0,MAX(0,项目驾驶舱!$B$3-G64))</f>
        <v>0</v>
      </c>
      <c r="K64" s="33"/>
      <c r="L64" s="34"/>
    </row>
    <row r="65" spans="1:12">
      <c r="A65" s="31"/>
      <c r="B65" s="32"/>
      <c r="C65" s="33"/>
      <c r="D65" s="33"/>
      <c r="E65" s="33"/>
      <c r="F65" s="33"/>
      <c r="G65" s="32"/>
      <c r="H65" s="33"/>
      <c r="I65" s="32"/>
      <c r="J65" s="33">
        <f>IF(OR(G65="",H65="已完成"),0,MAX(0,项目驾驶舱!$B$3-G65))</f>
        <v>0</v>
      </c>
      <c r="K65" s="33"/>
      <c r="L65" s="34"/>
    </row>
    <row r="66" spans="1:12">
      <c r="A66" s="31"/>
      <c r="B66" s="32"/>
      <c r="C66" s="33"/>
      <c r="D66" s="33"/>
      <c r="E66" s="33"/>
      <c r="F66" s="33"/>
      <c r="G66" s="32"/>
      <c r="H66" s="33"/>
      <c r="I66" s="32"/>
      <c r="J66" s="33">
        <f>IF(OR(G66="",H66="已完成"),0,MAX(0,项目驾驶舱!$B$3-G66))</f>
        <v>0</v>
      </c>
      <c r="K66" s="33"/>
      <c r="L66" s="34"/>
    </row>
    <row r="67" spans="1:12">
      <c r="A67" s="31"/>
      <c r="B67" s="32"/>
      <c r="C67" s="33"/>
      <c r="D67" s="33"/>
      <c r="E67" s="33"/>
      <c r="F67" s="33"/>
      <c r="G67" s="32"/>
      <c r="H67" s="33"/>
      <c r="I67" s="32"/>
      <c r="J67" s="33">
        <f>IF(OR(G67="",H67="已完成"),0,MAX(0,项目驾驶舱!$B$3-G67))</f>
        <v>0</v>
      </c>
      <c r="K67" s="33"/>
      <c r="L67" s="34"/>
    </row>
    <row r="68" spans="1:12">
      <c r="A68" s="31"/>
      <c r="B68" s="32"/>
      <c r="C68" s="33"/>
      <c r="D68" s="33"/>
      <c r="E68" s="33"/>
      <c r="F68" s="33"/>
      <c r="G68" s="32"/>
      <c r="H68" s="33"/>
      <c r="I68" s="32"/>
      <c r="J68" s="33">
        <f>IF(OR(G68="",H68="已完成"),0,MAX(0,项目驾驶舱!$B$3-G68))</f>
        <v>0</v>
      </c>
      <c r="K68" s="33"/>
      <c r="L68" s="34"/>
    </row>
    <row r="69" spans="1:12">
      <c r="A69" s="31"/>
      <c r="B69" s="32"/>
      <c r="C69" s="33"/>
      <c r="D69" s="33"/>
      <c r="E69" s="33"/>
      <c r="F69" s="33"/>
      <c r="G69" s="32"/>
      <c r="H69" s="33"/>
      <c r="I69" s="32"/>
      <c r="J69" s="33">
        <f>IF(OR(G69="",H69="已完成"),0,MAX(0,项目驾驶舱!$B$3-G69))</f>
        <v>0</v>
      </c>
      <c r="K69" s="33"/>
      <c r="L69" s="34"/>
    </row>
    <row r="70" spans="1:12">
      <c r="A70" s="31"/>
      <c r="B70" s="32"/>
      <c r="C70" s="33"/>
      <c r="D70" s="33"/>
      <c r="E70" s="33"/>
      <c r="F70" s="33"/>
      <c r="G70" s="32"/>
      <c r="H70" s="33"/>
      <c r="I70" s="32"/>
      <c r="J70" s="33">
        <f>IF(OR(G70="",H70="已完成"),0,MAX(0,项目驾驶舱!$B$3-G70))</f>
        <v>0</v>
      </c>
      <c r="K70" s="33"/>
      <c r="L70" s="34"/>
    </row>
    <row r="71" spans="1:12">
      <c r="A71" s="31"/>
      <c r="B71" s="32"/>
      <c r="C71" s="33"/>
      <c r="D71" s="33"/>
      <c r="E71" s="33"/>
      <c r="F71" s="33"/>
      <c r="G71" s="32"/>
      <c r="H71" s="33"/>
      <c r="I71" s="32"/>
      <c r="J71" s="33">
        <f>IF(OR(G71="",H71="已完成"),0,MAX(0,项目驾驶舱!$B$3-G71))</f>
        <v>0</v>
      </c>
      <c r="K71" s="33"/>
      <c r="L71" s="34"/>
    </row>
    <row r="72" spans="1:12">
      <c r="A72" s="31"/>
      <c r="B72" s="32"/>
      <c r="C72" s="33"/>
      <c r="D72" s="33"/>
      <c r="E72" s="33"/>
      <c r="F72" s="33"/>
      <c r="G72" s="32"/>
      <c r="H72" s="33"/>
      <c r="I72" s="32"/>
      <c r="J72" s="33">
        <f>IF(OR(G72="",H72="已完成"),0,MAX(0,项目驾驶舱!$B$3-G72))</f>
        <v>0</v>
      </c>
      <c r="K72" s="33"/>
      <c r="L72" s="34"/>
    </row>
    <row r="73" spans="1:12">
      <c r="A73" s="31"/>
      <c r="B73" s="32"/>
      <c r="C73" s="33"/>
      <c r="D73" s="33"/>
      <c r="E73" s="33"/>
      <c r="F73" s="33"/>
      <c r="G73" s="32"/>
      <c r="H73" s="33"/>
      <c r="I73" s="32"/>
      <c r="J73" s="33">
        <f>IF(OR(G73="",H73="已完成"),0,MAX(0,项目驾驶舱!$B$3-G73))</f>
        <v>0</v>
      </c>
      <c r="K73" s="33"/>
      <c r="L73" s="34"/>
    </row>
    <row r="74" spans="1:12">
      <c r="A74" s="31"/>
      <c r="B74" s="32"/>
      <c r="C74" s="33"/>
      <c r="D74" s="33"/>
      <c r="E74" s="33"/>
      <c r="F74" s="33"/>
      <c r="G74" s="32"/>
      <c r="H74" s="33"/>
      <c r="I74" s="32"/>
      <c r="J74" s="33">
        <f>IF(OR(G74="",H74="已完成"),0,MAX(0,项目驾驶舱!$B$3-G74))</f>
        <v>0</v>
      </c>
      <c r="K74" s="33"/>
      <c r="L74" s="34"/>
    </row>
    <row r="75" spans="1:12">
      <c r="A75" s="31"/>
      <c r="B75" s="32"/>
      <c r="C75" s="33"/>
      <c r="D75" s="33"/>
      <c r="E75" s="33"/>
      <c r="F75" s="33"/>
      <c r="G75" s="32"/>
      <c r="H75" s="33"/>
      <c r="I75" s="32"/>
      <c r="J75" s="33">
        <f>IF(OR(G75="",H75="已完成"),0,MAX(0,项目驾驶舱!$B$3-G75))</f>
        <v>0</v>
      </c>
      <c r="K75" s="33"/>
      <c r="L75" s="34"/>
    </row>
    <row r="76" spans="1:12">
      <c r="A76" s="31"/>
      <c r="B76" s="32"/>
      <c r="C76" s="33"/>
      <c r="D76" s="33"/>
      <c r="E76" s="33"/>
      <c r="F76" s="33"/>
      <c r="G76" s="32"/>
      <c r="H76" s="33"/>
      <c r="I76" s="32"/>
      <c r="J76" s="33">
        <f>IF(OR(G76="",H76="已完成"),0,MAX(0,项目驾驶舱!$B$3-G76))</f>
        <v>0</v>
      </c>
      <c r="K76" s="33"/>
      <c r="L76" s="34"/>
    </row>
    <row r="77" spans="1:12">
      <c r="A77" s="31"/>
      <c r="B77" s="32"/>
      <c r="C77" s="33"/>
      <c r="D77" s="33"/>
      <c r="E77" s="33"/>
      <c r="F77" s="33"/>
      <c r="G77" s="32"/>
      <c r="H77" s="33"/>
      <c r="I77" s="32"/>
      <c r="J77" s="33">
        <f>IF(OR(G77="",H77="已完成"),0,MAX(0,项目驾驶舱!$B$3-G77))</f>
        <v>0</v>
      </c>
      <c r="K77" s="33"/>
      <c r="L77" s="34"/>
    </row>
    <row r="78" spans="1:12">
      <c r="A78" s="31"/>
      <c r="B78" s="32"/>
      <c r="C78" s="33"/>
      <c r="D78" s="33"/>
      <c r="E78" s="33"/>
      <c r="F78" s="33"/>
      <c r="G78" s="32"/>
      <c r="H78" s="33"/>
      <c r="I78" s="32"/>
      <c r="J78" s="33">
        <f>IF(OR(G78="",H78="已完成"),0,MAX(0,项目驾驶舱!$B$3-G78))</f>
        <v>0</v>
      </c>
      <c r="K78" s="33"/>
      <c r="L78" s="34"/>
    </row>
    <row r="79" spans="1:12">
      <c r="A79" s="31"/>
      <c r="B79" s="32"/>
      <c r="C79" s="33"/>
      <c r="D79" s="33"/>
      <c r="E79" s="33"/>
      <c r="F79" s="33"/>
      <c r="G79" s="32"/>
      <c r="H79" s="33"/>
      <c r="I79" s="32"/>
      <c r="J79" s="33">
        <f>IF(OR(G79="",H79="已完成"),0,MAX(0,项目驾驶舱!$B$3-G79))</f>
        <v>0</v>
      </c>
      <c r="K79" s="33"/>
      <c r="L79" s="34"/>
    </row>
    <row r="80" spans="1:12">
      <c r="A80" s="31"/>
      <c r="B80" s="32"/>
      <c r="C80" s="33"/>
      <c r="D80" s="33"/>
      <c r="E80" s="33"/>
      <c r="F80" s="33"/>
      <c r="G80" s="32"/>
      <c r="H80" s="33"/>
      <c r="I80" s="32"/>
      <c r="J80" s="33">
        <f>IF(OR(G80="",H80="已完成"),0,MAX(0,项目驾驶舱!$B$3-G80))</f>
        <v>0</v>
      </c>
      <c r="K80" s="33"/>
      <c r="L80" s="34"/>
    </row>
    <row r="81" spans="1:12">
      <c r="A81" s="31"/>
      <c r="B81" s="32"/>
      <c r="C81" s="33"/>
      <c r="D81" s="33"/>
      <c r="E81" s="33"/>
      <c r="F81" s="33"/>
      <c r="G81" s="32"/>
      <c r="H81" s="33"/>
      <c r="I81" s="32"/>
      <c r="J81" s="33">
        <f>IF(OR(G81="",H81="已完成"),0,MAX(0,项目驾驶舱!$B$3-G81))</f>
        <v>0</v>
      </c>
      <c r="K81" s="33"/>
      <c r="L81" s="34"/>
    </row>
    <row r="82" spans="1:12">
      <c r="A82" s="31"/>
      <c r="B82" s="32"/>
      <c r="C82" s="33"/>
      <c r="D82" s="33"/>
      <c r="E82" s="33"/>
      <c r="F82" s="33"/>
      <c r="G82" s="32"/>
      <c r="H82" s="33"/>
      <c r="I82" s="32"/>
      <c r="J82" s="33">
        <f>IF(OR(G82="",H82="已完成"),0,MAX(0,项目驾驶舱!$B$3-G82))</f>
        <v>0</v>
      </c>
      <c r="K82" s="33"/>
      <c r="L82" s="34"/>
    </row>
    <row r="83" spans="1:12">
      <c r="A83" s="31"/>
      <c r="B83" s="32"/>
      <c r="C83" s="33"/>
      <c r="D83" s="33"/>
      <c r="E83" s="33"/>
      <c r="F83" s="33"/>
      <c r="G83" s="32"/>
      <c r="H83" s="33"/>
      <c r="I83" s="32"/>
      <c r="J83" s="33">
        <f>IF(OR(G83="",H83="已完成"),0,MAX(0,项目驾驶舱!$B$3-G83))</f>
        <v>0</v>
      </c>
      <c r="K83" s="33"/>
      <c r="L83" s="34"/>
    </row>
    <row r="84" spans="1:12">
      <c r="A84" s="31"/>
      <c r="B84" s="32"/>
      <c r="C84" s="33"/>
      <c r="D84" s="33"/>
      <c r="E84" s="33"/>
      <c r="F84" s="33"/>
      <c r="G84" s="32"/>
      <c r="H84" s="33"/>
      <c r="I84" s="32"/>
      <c r="J84" s="33">
        <f>IF(OR(G84="",H84="已完成"),0,MAX(0,项目驾驶舱!$B$3-G84))</f>
        <v>0</v>
      </c>
      <c r="K84" s="33"/>
      <c r="L84" s="34"/>
    </row>
    <row r="85" spans="1:12">
      <c r="A85" s="31"/>
      <c r="B85" s="32"/>
      <c r="C85" s="33"/>
      <c r="D85" s="33"/>
      <c r="E85" s="33"/>
      <c r="F85" s="33"/>
      <c r="G85" s="32"/>
      <c r="H85" s="33"/>
      <c r="I85" s="32"/>
      <c r="J85" s="33">
        <f>IF(OR(G85="",H85="已完成"),0,MAX(0,项目驾驶舱!$B$3-G85))</f>
        <v>0</v>
      </c>
      <c r="K85" s="33"/>
      <c r="L85" s="34"/>
    </row>
    <row r="86" spans="1:12">
      <c r="A86" s="31"/>
      <c r="B86" s="32"/>
      <c r="C86" s="33"/>
      <c r="D86" s="33"/>
      <c r="E86" s="33"/>
      <c r="F86" s="33"/>
      <c r="G86" s="32"/>
      <c r="H86" s="33"/>
      <c r="I86" s="32"/>
      <c r="J86" s="33">
        <f>IF(OR(G86="",H86="已完成"),0,MAX(0,项目驾驶舱!$B$3-G86))</f>
        <v>0</v>
      </c>
      <c r="K86" s="33"/>
      <c r="L86" s="34"/>
    </row>
    <row r="87" spans="1:12">
      <c r="A87" s="31"/>
      <c r="B87" s="32"/>
      <c r="C87" s="33"/>
      <c r="D87" s="33"/>
      <c r="E87" s="33"/>
      <c r="F87" s="33"/>
      <c r="G87" s="32"/>
      <c r="H87" s="33"/>
      <c r="I87" s="32"/>
      <c r="J87" s="33">
        <f>IF(OR(G87="",H87="已完成"),0,MAX(0,项目驾驶舱!$B$3-G87))</f>
        <v>0</v>
      </c>
      <c r="K87" s="33"/>
      <c r="L87" s="34"/>
    </row>
    <row r="88" spans="1:12">
      <c r="A88" s="31"/>
      <c r="B88" s="32"/>
      <c r="C88" s="33"/>
      <c r="D88" s="33"/>
      <c r="E88" s="33"/>
      <c r="F88" s="33"/>
      <c r="G88" s="32"/>
      <c r="H88" s="33"/>
      <c r="I88" s="32"/>
      <c r="J88" s="33">
        <f>IF(OR(G88="",H88="已完成"),0,MAX(0,项目驾驶舱!$B$3-G88))</f>
        <v>0</v>
      </c>
      <c r="K88" s="33"/>
      <c r="L88" s="34"/>
    </row>
    <row r="89" spans="1:12">
      <c r="A89" s="31"/>
      <c r="B89" s="32"/>
      <c r="C89" s="33"/>
      <c r="D89" s="33"/>
      <c r="E89" s="33"/>
      <c r="F89" s="33"/>
      <c r="G89" s="32"/>
      <c r="H89" s="33"/>
      <c r="I89" s="32"/>
      <c r="J89" s="33">
        <f>IF(OR(G89="",H89="已完成"),0,MAX(0,项目驾驶舱!$B$3-G89))</f>
        <v>0</v>
      </c>
      <c r="K89" s="33"/>
      <c r="L89" s="34"/>
    </row>
    <row r="90" spans="1:12">
      <c r="A90" s="31"/>
      <c r="B90" s="32"/>
      <c r="C90" s="33"/>
      <c r="D90" s="33"/>
      <c r="E90" s="33"/>
      <c r="F90" s="33"/>
      <c r="G90" s="32"/>
      <c r="H90" s="33"/>
      <c r="I90" s="32"/>
      <c r="J90" s="33">
        <f>IF(OR(G90="",H90="已完成"),0,MAX(0,项目驾驶舱!$B$3-G90))</f>
        <v>0</v>
      </c>
      <c r="K90" s="33"/>
      <c r="L90" s="34"/>
    </row>
    <row r="91" spans="1:12">
      <c r="A91" s="31"/>
      <c r="B91" s="32"/>
      <c r="C91" s="33"/>
      <c r="D91" s="33"/>
      <c r="E91" s="33"/>
      <c r="F91" s="33"/>
      <c r="G91" s="32"/>
      <c r="H91" s="33"/>
      <c r="I91" s="32"/>
      <c r="J91" s="33">
        <f>IF(OR(G91="",H91="已完成"),0,MAX(0,项目驾驶舱!$B$3-G91))</f>
        <v>0</v>
      </c>
      <c r="K91" s="33"/>
      <c r="L91" s="34"/>
    </row>
    <row r="92" spans="1:12">
      <c r="A92" s="31"/>
      <c r="B92" s="32"/>
      <c r="C92" s="33"/>
      <c r="D92" s="33"/>
      <c r="E92" s="33"/>
      <c r="F92" s="33"/>
      <c r="G92" s="32"/>
      <c r="H92" s="33"/>
      <c r="I92" s="32"/>
      <c r="J92" s="33">
        <f>IF(OR(G92="",H92="已完成"),0,MAX(0,项目驾驶舱!$B$3-G92))</f>
        <v>0</v>
      </c>
      <c r="K92" s="33"/>
      <c r="L92" s="34"/>
    </row>
    <row r="93" spans="1:12">
      <c r="A93" s="31"/>
      <c r="B93" s="32"/>
      <c r="C93" s="33"/>
      <c r="D93" s="33"/>
      <c r="E93" s="33"/>
      <c r="F93" s="33"/>
      <c r="G93" s="32"/>
      <c r="H93" s="33"/>
      <c r="I93" s="32"/>
      <c r="J93" s="33">
        <f>IF(OR(G93="",H93="已完成"),0,MAX(0,项目驾驶舱!$B$3-G93))</f>
        <v>0</v>
      </c>
      <c r="K93" s="33"/>
      <c r="L93" s="34"/>
    </row>
    <row r="94" spans="1:12">
      <c r="A94" s="31"/>
      <c r="B94" s="32"/>
      <c r="C94" s="33"/>
      <c r="D94" s="33"/>
      <c r="E94" s="33"/>
      <c r="F94" s="33"/>
      <c r="G94" s="32"/>
      <c r="H94" s="33"/>
      <c r="I94" s="32"/>
      <c r="J94" s="33">
        <f>IF(OR(G94="",H94="已完成"),0,MAX(0,项目驾驶舱!$B$3-G94))</f>
        <v>0</v>
      </c>
      <c r="K94" s="33"/>
      <c r="L94" s="34"/>
    </row>
    <row r="95" spans="1:12">
      <c r="A95" s="31"/>
      <c r="B95" s="32"/>
      <c r="C95" s="33"/>
      <c r="D95" s="33"/>
      <c r="E95" s="33"/>
      <c r="F95" s="33"/>
      <c r="G95" s="32"/>
      <c r="H95" s="33"/>
      <c r="I95" s="32"/>
      <c r="J95" s="33">
        <f>IF(OR(G95="",H95="已完成"),0,MAX(0,项目驾驶舱!$B$3-G95))</f>
        <v>0</v>
      </c>
      <c r="K95" s="33"/>
      <c r="L95" s="34"/>
    </row>
    <row r="96" spans="1:12">
      <c r="A96" s="31"/>
      <c r="B96" s="32"/>
      <c r="C96" s="33"/>
      <c r="D96" s="33"/>
      <c r="E96" s="33"/>
      <c r="F96" s="33"/>
      <c r="G96" s="32"/>
      <c r="H96" s="33"/>
      <c r="I96" s="32"/>
      <c r="J96" s="33">
        <f>IF(OR(G96="",H96="已完成"),0,MAX(0,项目驾驶舱!$B$3-G96))</f>
        <v>0</v>
      </c>
      <c r="K96" s="33"/>
      <c r="L96" s="34"/>
    </row>
    <row r="97" spans="1:12">
      <c r="A97" s="31"/>
      <c r="B97" s="32"/>
      <c r="C97" s="33"/>
      <c r="D97" s="33"/>
      <c r="E97" s="33"/>
      <c r="F97" s="33"/>
      <c r="G97" s="32"/>
      <c r="H97" s="33"/>
      <c r="I97" s="32"/>
      <c r="J97" s="33">
        <f>IF(OR(G97="",H97="已完成"),0,MAX(0,项目驾驶舱!$B$3-G97))</f>
        <v>0</v>
      </c>
      <c r="K97" s="33"/>
      <c r="L97" s="34"/>
    </row>
    <row r="98" spans="1:12">
      <c r="A98" s="31"/>
      <c r="B98" s="32"/>
      <c r="C98" s="33"/>
      <c r="D98" s="33"/>
      <c r="E98" s="33"/>
      <c r="F98" s="33"/>
      <c r="G98" s="32"/>
      <c r="H98" s="33"/>
      <c r="I98" s="32"/>
      <c r="J98" s="33">
        <f>IF(OR(G98="",H98="已完成"),0,MAX(0,项目驾驶舱!$B$3-G98))</f>
        <v>0</v>
      </c>
      <c r="K98" s="33"/>
      <c r="L98" s="34"/>
    </row>
    <row r="99" spans="1:12">
      <c r="A99" s="31"/>
      <c r="B99" s="32"/>
      <c r="C99" s="33"/>
      <c r="D99" s="33"/>
      <c r="E99" s="33"/>
      <c r="F99" s="33"/>
      <c r="G99" s="32"/>
      <c r="H99" s="33"/>
      <c r="I99" s="32"/>
      <c r="J99" s="33">
        <f>IF(OR(G99="",H99="已完成"),0,MAX(0,项目驾驶舱!$B$3-G99))</f>
        <v>0</v>
      </c>
      <c r="K99" s="33"/>
      <c r="L99" s="34"/>
    </row>
    <row r="100" spans="1:12">
      <c r="A100" s="31"/>
      <c r="B100" s="32"/>
      <c r="C100" s="33"/>
      <c r="D100" s="33"/>
      <c r="E100" s="33"/>
      <c r="F100" s="33"/>
      <c r="G100" s="32"/>
      <c r="H100" s="33"/>
      <c r="I100" s="32"/>
      <c r="J100" s="33">
        <f>IF(OR(G100="",H100="已完成"),0,MAX(0,项目驾驶舱!$B$3-G100))</f>
        <v>0</v>
      </c>
      <c r="K100" s="33"/>
      <c r="L100" s="34"/>
    </row>
    <row r="101" spans="1:12">
      <c r="A101" s="31"/>
      <c r="B101" s="32"/>
      <c r="C101" s="33"/>
      <c r="D101" s="33"/>
      <c r="E101" s="33"/>
      <c r="F101" s="33"/>
      <c r="G101" s="32"/>
      <c r="H101" s="33"/>
      <c r="I101" s="32"/>
      <c r="J101" s="33">
        <f>IF(OR(G101="",H101="已完成"),0,MAX(0,项目驾驶舱!$B$3-G101))</f>
        <v>0</v>
      </c>
      <c r="K101" s="33"/>
      <c r="L101" s="34"/>
    </row>
    <row r="102" spans="1:12">
      <c r="A102" s="31"/>
      <c r="B102" s="32"/>
      <c r="C102" s="33"/>
      <c r="D102" s="33"/>
      <c r="E102" s="33"/>
      <c r="F102" s="33"/>
      <c r="G102" s="32"/>
      <c r="H102" s="33"/>
      <c r="I102" s="32"/>
      <c r="J102" s="33">
        <f>IF(OR(G102="",H102="已完成"),0,MAX(0,项目驾驶舱!$B$3-G102))</f>
        <v>0</v>
      </c>
      <c r="K102" s="33"/>
      <c r="L102" s="34"/>
    </row>
    <row r="103" spans="1:12">
      <c r="A103" s="35"/>
      <c r="B103" s="36"/>
      <c r="C103" s="37"/>
      <c r="D103" s="37"/>
      <c r="E103" s="37"/>
      <c r="F103" s="37"/>
      <c r="G103" s="36"/>
      <c r="H103" s="37"/>
      <c r="I103" s="36"/>
      <c r="J103" s="37">
        <f>IF(OR(G103="",H103="已完成"),0,MAX(0,项目驾驶舱!$B$3-G103))</f>
        <v>0</v>
      </c>
      <c r="K103" s="37"/>
      <c r="L103" s="38"/>
    </row>
  </sheetData>
  <mergeCells count="1">
    <mergeCell ref="A1:L1"/>
  </mergeCells>
  <conditionalFormatting sqref="H4:H103">
    <cfRule type="containsText" dxfId="0" priority="1" operator="between" text="已完成">
      <formula>NOT(ISERROR(SEARCH("已完成",H4)))</formula>
    </cfRule>
    <cfRule type="containsText" dxfId="1" priority="2" operator="between" text="进行中">
      <formula>NOT(ISERROR(SEARCH("进行中",H4)))</formula>
    </cfRule>
    <cfRule type="containsText" dxfId="2" priority="3" operator="between" text="未开始">
      <formula>NOT(ISERROR(SEARCH("未开始",H4)))</formula>
    </cfRule>
    <cfRule type="containsText" dxfId="3" priority="4" operator="between" text="暂停">
      <formula>NOT(ISERROR(SEARCH("暂停",H4)))</formula>
    </cfRule>
  </conditionalFormatting>
  <dataValidations count="2">
    <dataValidation type="list" sqref="H4:H103">
      <formula1>"未开始,进行中,已完成,取消"</formula1>
    </dataValidation>
    <dataValidation type="list" sqref="K4:K103">
      <formula1>"低,中,高"</formula1>
    </dataValidation>
  </dataValidation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7"/>
  <sheetViews>
    <sheetView showGridLines="0" workbookViewId="0">
      <selection activeCell="A1" sqref="A1:H1"/>
    </sheetView>
  </sheetViews>
  <sheetFormatPr defaultColWidth="9" defaultRowHeight="16.8" outlineLevelCol="7"/>
  <cols>
    <col min="1" max="1" width="18" style="1" customWidth="1"/>
    <col min="2" max="2" width="100" style="1" customWidth="1"/>
  </cols>
  <sheetData>
    <row r="1" ht="34" customHeight="1" spans="1:2">
      <c r="A1" s="23" t="s">
        <v>660</v>
      </c>
    </row>
    <row r="3" ht="48" customHeight="1" spans="1:2">
      <c r="A3" s="24" t="s">
        <v>661</v>
      </c>
      <c r="B3" s="25" t="s">
        <v>662</v>
      </c>
    </row>
    <row r="4" ht="48" customHeight="1" spans="1:2">
      <c r="A4" s="24" t="s">
        <v>663</v>
      </c>
      <c r="B4" s="25" t="s">
        <v>664</v>
      </c>
    </row>
    <row r="5" ht="48" customHeight="1" spans="1:2">
      <c r="A5" s="24" t="s">
        <v>665</v>
      </c>
      <c r="B5" s="25" t="s">
        <v>666</v>
      </c>
    </row>
    <row r="6" ht="48" customHeight="1" spans="1:2">
      <c r="A6" s="24" t="s">
        <v>667</v>
      </c>
      <c r="B6" s="25" t="s">
        <v>668</v>
      </c>
    </row>
    <row r="7" ht="48" customHeight="1" spans="1:2">
      <c r="A7" s="24" t="s">
        <v>1</v>
      </c>
      <c r="B7" s="25" t="s">
        <v>669</v>
      </c>
    </row>
    <row r="8" ht="48" customHeight="1" spans="1:2">
      <c r="A8" s="24" t="s">
        <v>670</v>
      </c>
      <c r="B8" s="25" t="s">
        <v>671</v>
      </c>
    </row>
    <row r="9" ht="48" customHeight="1" spans="1:2">
      <c r="A9" s="24" t="s">
        <v>672</v>
      </c>
      <c r="B9" s="25" t="s">
        <v>673</v>
      </c>
    </row>
    <row r="10" ht="48" customHeight="1" spans="1:2">
      <c r="A10" s="24" t="s">
        <v>674</v>
      </c>
      <c r="B10" s="25" t="s">
        <v>675</v>
      </c>
    </row>
    <row r="11" ht="48" customHeight="1" spans="1:2">
      <c r="A11" s="24" t="s">
        <v>385</v>
      </c>
      <c r="B11" s="25" t="s">
        <v>676</v>
      </c>
    </row>
    <row r="12" ht="48" customHeight="1" spans="1:2">
      <c r="A12" s="24" t="s">
        <v>677</v>
      </c>
      <c r="B12" s="25" t="s">
        <v>678</v>
      </c>
    </row>
    <row r="13" ht="48" customHeight="1" spans="1:2">
      <c r="A13" s="24" t="s">
        <v>679</v>
      </c>
      <c r="B13" s="25" t="s">
        <v>680</v>
      </c>
    </row>
    <row r="14" ht="48" customHeight="1" spans="1:2">
      <c r="A14" s="24" t="s">
        <v>681</v>
      </c>
      <c r="B14" s="25" t="s">
        <v>682</v>
      </c>
    </row>
    <row r="15" ht="48" customHeight="1" spans="1:2">
      <c r="A15" s="24" t="s">
        <v>512</v>
      </c>
      <c r="B15" s="25" t="s">
        <v>683</v>
      </c>
    </row>
    <row r="16" ht="48" customHeight="1" spans="1:2">
      <c r="A16" s="24" t="s">
        <v>684</v>
      </c>
      <c r="B16" s="25" t="s">
        <v>685</v>
      </c>
    </row>
    <row r="17" ht="48" customHeight="1" spans="1:2">
      <c r="A17" s="24" t="s">
        <v>686</v>
      </c>
      <c r="B17" s="25" t="s">
        <v>687</v>
      </c>
    </row>
  </sheetData>
  <mergeCells count="1">
    <mergeCell ref="A1:H1"/>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70C0"/>
    <pageSetUpPr fitToPage="1"/>
  </sheetPr>
  <dimension ref="A1:L18"/>
  <sheetViews>
    <sheetView showGridLines="0" zoomScale="85" zoomScaleNormal="85" workbookViewId="0">
      <pane ySplit="4" topLeftCell="A5" activePane="bottomLeft" state="frozen"/>
      <selection/>
      <selection pane="bottomLeft" activeCell="A1" sqref="A1:L1"/>
    </sheetView>
  </sheetViews>
  <sheetFormatPr defaultColWidth="9" defaultRowHeight="16.8"/>
  <cols>
    <col min="1" max="1" width="15" style="1" customWidth="1"/>
    <col min="2" max="2" width="12" style="1" customWidth="1"/>
    <col min="3" max="3" width="24" style="1" customWidth="1"/>
    <col min="4" max="4" width="26" style="1" customWidth="1"/>
    <col min="5" max="5" width="32" style="1" customWidth="1"/>
    <col min="6" max="6" width="16" style="1" customWidth="1"/>
    <col min="7" max="7" width="3" style="1" customWidth="1"/>
    <col min="8" max="8" width="14" style="1" customWidth="1"/>
    <col min="9" max="12" width="12" style="1" customWidth="1"/>
  </cols>
  <sheetData>
    <row r="1" ht="28" customHeight="1" spans="1:12">
      <c r="A1" s="2" t="s">
        <v>688</v>
      </c>
    </row>
    <row r="2" ht="22" customHeight="1" spans="1:12">
      <c r="A2" s="3" t="s">
        <v>689</v>
      </c>
    </row>
    <row r="3" spans="1:12">
      <c r="A3" s="4"/>
      <c r="B3" s="4"/>
      <c r="C3" s="4"/>
      <c r="D3" s="4"/>
      <c r="E3" s="4"/>
      <c r="F3" s="4"/>
      <c r="G3" s="4"/>
      <c r="H3" s="4"/>
      <c r="I3" s="4"/>
      <c r="J3" s="4"/>
      <c r="K3" s="4"/>
      <c r="L3" s="4"/>
    </row>
    <row r="4" spans="1:12">
      <c r="A4" t="s">
        <v>690</v>
      </c>
      <c r="B4" s="18">
        <f>项目驾驶舱!B3</f>
        <v>46268</v>
      </c>
      <c r="D4" t="s">
        <v>691</v>
      </c>
      <c r="E4" s="19" t="s">
        <v>692</v>
      </c>
      <c r="G4" t="s">
        <v>693</v>
      </c>
      <c r="H4" s="19" t="s">
        <v>694</v>
      </c>
    </row>
    <row r="6" spans="1:12">
      <c r="A6" s="20" t="s">
        <v>695</v>
      </c>
      <c r="D6" s="20" t="s">
        <v>696</v>
      </c>
      <c r="G6" s="20" t="s">
        <v>697</v>
      </c>
      <c r="J6" s="20" t="s">
        <v>698</v>
      </c>
    </row>
    <row r="7" ht="26" spans="1:12">
      <c r="A7" s="21">
        <f>COUNTIF(项目总控台账!$A$4:$A$148,"&lt;&gt;")</f>
        <v>145</v>
      </c>
      <c r="D7" s="21">
        <f>COUNTIF(项目总控台账!$G$4:$G$148,"已完成")</f>
        <v>73</v>
      </c>
      <c r="G7" s="21">
        <f>COUNTIF(项目总控台账!$AC$4:$AC$148,"已延期")+COUNTIF(项目总控台账!$AC$4:$AC$148,"延期")</f>
        <v>24</v>
      </c>
      <c r="J7" s="21">
        <f>COUNTIFS(项目总控台账!$J$4:$J$148,"&gt;="&amp;项目驾驶舱!$B$3,项目总控台账!$J$4:$J$148,"&lt;="&amp;项目驾驶舱!$B$3+14,项目总控台账!$G$4:$G$148,"&lt;&gt;已完成")</f>
        <v>0</v>
      </c>
    </row>
    <row r="9" spans="1:12">
      <c r="A9" s="20" t="s">
        <v>699</v>
      </c>
      <c r="D9" s="20" t="s">
        <v>700</v>
      </c>
      <c r="G9" s="20" t="s">
        <v>701</v>
      </c>
      <c r="J9" s="20" t="s">
        <v>702</v>
      </c>
    </row>
    <row r="10" ht="26" spans="1:12">
      <c r="A10" s="21">
        <f>COUNTIFS(风险问题台账!$D$4:$D$102,"高",风险问题台账!$K$4:$K$102,"&lt;&gt;已关闭")</f>
        <v>5</v>
      </c>
      <c r="D10" s="21">
        <f>COUNTIF(风险问题台账!$M$4:$M$102,"是")</f>
        <v>0</v>
      </c>
      <c r="G10" s="21">
        <f>COUNTIFS(会议行动项!$J$4:$J$102,"&gt;0",会议行动项!$H$4:$H$102,"&lt;&gt;已完成")</f>
        <v>0</v>
      </c>
      <c r="J10" s="21">
        <f>COUNTIF(数据质量检查!$H$5:$H$149,"需整改")</f>
        <v>12</v>
      </c>
    </row>
    <row r="13" ht="17.6" spans="1:12">
      <c r="A13" s="15" t="s">
        <v>703</v>
      </c>
      <c r="H13" s="15" t="s">
        <v>704</v>
      </c>
    </row>
    <row r="14" ht="28" customHeight="1" spans="1:12">
      <c r="A14" s="5" t="s">
        <v>705</v>
      </c>
      <c r="B14" s="5" t="s">
        <v>21</v>
      </c>
      <c r="C14" s="5" t="s">
        <v>706</v>
      </c>
      <c r="D14" s="5" t="s">
        <v>707</v>
      </c>
      <c r="E14" s="5" t="s">
        <v>708</v>
      </c>
      <c r="F14" s="5" t="s">
        <v>709</v>
      </c>
      <c r="H14" s="22" t="s">
        <v>21</v>
      </c>
      <c r="I14" s="22" t="s">
        <v>710</v>
      </c>
    </row>
    <row r="15" spans="1:12">
      <c r="A15" s="6" t="s">
        <v>711</v>
      </c>
      <c r="B15" s="6" t="str">
        <f>IF(COUNTIF(项目总控台账!$AC$4:$AC$148,"*延期*")&gt;=5,"红",IF(OR(COUNTIF(项目总控台账!$AC$4:$AC$148,"*延期*")&gt;0,COUNTIF(项目总控台账!$G$4:$G$148,"暂停")&gt;0),"黄","绿"))</f>
        <v>红</v>
      </c>
      <c r="C15" s="6" t="str">
        <f>COUNTIF(项目总控台账!$AC$4:$AC$148,"*延期*")&amp;"项任务延期；"&amp;COUNTIF(项目总控台账!$G$4:$G$148,"暂停")&amp;"项任务暂停"</f>
        <v>24项任务延期；6项任务暂停</v>
      </c>
      <c r="D15" s="6" t="s">
        <v>712</v>
      </c>
      <c r="E15" s="6" t="s">
        <v>713</v>
      </c>
      <c r="F15" s="6" t="s">
        <v>464</v>
      </c>
      <c r="H15" t="s">
        <v>714</v>
      </c>
      <c r="I15">
        <f>COUNTIF($B$15:$B$18,H15)</f>
        <v>1</v>
      </c>
    </row>
    <row r="16" spans="1:12">
      <c r="A16" s="6" t="s">
        <v>561</v>
      </c>
      <c r="B16" s="6" t="str">
        <f>IF(COUNTIFS(风险问题台账!$D$4:$D$102,"高",风险问题台账!$K$4:$K$102,"&lt;&gt;已关闭")&gt;=3,"红",IF(COUNTIFS(风险问题台账!$D$4:$D$102,"高",风险问题台账!$K$4:$K$102,"&lt;&gt;已关闭")&gt;0,"黄","绿"))</f>
        <v>红</v>
      </c>
      <c r="C16" s="6" t="str">
        <f>COUNTIFS(风险问题台账!$D$4:$D$102,"高",风险问题台账!$K$4:$K$102,"&lt;&gt;已关闭")&amp;"项高风险未关闭"</f>
        <v>5项高风险未关闭</v>
      </c>
      <c r="D16" s="6" t="s">
        <v>715</v>
      </c>
      <c r="E16" s="6" t="s">
        <v>716</v>
      </c>
      <c r="F16" s="6" t="s">
        <v>717</v>
      </c>
      <c r="H16" t="s">
        <v>718</v>
      </c>
      <c r="I16">
        <f>COUNTIF($B$15:$B$18,H16)</f>
        <v>0</v>
      </c>
    </row>
    <row r="17" spans="1:9">
      <c r="A17" s="6" t="s">
        <v>719</v>
      </c>
      <c r="B17" s="6" t="str">
        <f>IF(COUNTIFS(会议行动项!$J$4:$J$102,"&gt;7",会议行动项!$H$4:$H$102,"&lt;&gt;已完成")&gt;0,"红",IF(COUNTIFS(会议行动项!$J$4:$J$102,"&gt;0",会议行动项!$H$4:$H$102,"&lt;&gt;已完成")&gt;0,"黄","绿"))</f>
        <v>绿</v>
      </c>
      <c r="C17" s="6" t="str">
        <f>COUNTIFS(会议行动项!$J$4:$J$102,"&gt;0",会议行动项!$H$4:$H$102,"&lt;&gt;已完成")&amp;"项行动逾期"</f>
        <v>0项行动逾期</v>
      </c>
      <c r="D17" s="6" t="s">
        <v>720</v>
      </c>
      <c r="E17" s="6" t="s">
        <v>721</v>
      </c>
      <c r="F17" s="6" t="s">
        <v>722</v>
      </c>
      <c r="H17" t="s">
        <v>723</v>
      </c>
      <c r="I17">
        <f>COUNTIF($B$15:$B$18,H17)</f>
        <v>3</v>
      </c>
    </row>
    <row r="18" spans="1:9">
      <c r="A18" s="6" t="s">
        <v>724</v>
      </c>
      <c r="B18" s="6" t="str">
        <f>IF(COUNTIF(数据质量检查!$H$5:$H$149,"需整改")&gt;=10,"红",IF(COUNTIF(数据质量检查!$H$5:$H$149,"需整改")&gt;0,"黄","绿"))</f>
        <v>红</v>
      </c>
      <c r="C18" s="6" t="str">
        <f>COUNTIF(数据质量检查!$H$5:$H$149,"需整改")&amp;"条数据需整改"</f>
        <v>12条数据需整改</v>
      </c>
      <c r="D18" s="6" t="s">
        <v>725</v>
      </c>
      <c r="E18" s="6" t="s">
        <v>726</v>
      </c>
      <c r="F18" s="6" t="s">
        <v>727</v>
      </c>
      <c r="H18" t="s">
        <v>728</v>
      </c>
      <c r="I18">
        <f>COUNTIF($B$15:$B$18,H18)</f>
        <v>0</v>
      </c>
    </row>
  </sheetData>
  <mergeCells count="19">
    <mergeCell ref="A1:L1"/>
    <mergeCell ref="A2:L2"/>
    <mergeCell ref="H4:L4"/>
    <mergeCell ref="A6:B6"/>
    <mergeCell ref="D6:E6"/>
    <mergeCell ref="G6:H6"/>
    <mergeCell ref="J6:K6"/>
    <mergeCell ref="A7:B7"/>
    <mergeCell ref="D7:E7"/>
    <mergeCell ref="G7:H7"/>
    <mergeCell ref="J7:K7"/>
    <mergeCell ref="A9:B9"/>
    <mergeCell ref="D9:E9"/>
    <mergeCell ref="G9:H9"/>
    <mergeCell ref="J9:K9"/>
    <mergeCell ref="A10:B10"/>
    <mergeCell ref="D10:E10"/>
    <mergeCell ref="G10:H10"/>
    <mergeCell ref="J10:K10"/>
  </mergeCells>
  <conditionalFormatting sqref="B15:B18">
    <cfRule type="expression" dxfId="6" priority="1">
      <formula>$B5="红"</formula>
    </cfRule>
    <cfRule type="expression" dxfId="7" priority="2">
      <formula>$B5="黄"</formula>
    </cfRule>
    <cfRule type="expression" dxfId="9" priority="3">
      <formula>$B5="绿"</formula>
    </cfRule>
    <cfRule type="expression" dxfId="10" priority="4">
      <formula>$B5="灰"</formula>
    </cfRule>
  </conditionalFormatting>
  <pageMargins left="0.75" right="0.75" top="1" bottom="1" header="0.5" footer="0.5"/>
  <pageSetup paperSize="1" fitToHeight="0" orientation="landscape"/>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C000"/>
    <pageSetUpPr fitToPage="1"/>
  </sheetPr>
  <dimension ref="A1:J149"/>
  <sheetViews>
    <sheetView showGridLines="0" zoomScale="85" zoomScaleNormal="85" workbookViewId="0">
      <pane ySplit="4" topLeftCell="A5" activePane="bottomLeft" state="frozen"/>
      <selection/>
      <selection pane="bottomLeft" activeCell="A1" sqref="A1:J1"/>
    </sheetView>
  </sheetViews>
  <sheetFormatPr defaultColWidth="9" defaultRowHeight="16.8"/>
  <cols>
    <col min="1" max="1" width="16" style="1" customWidth="1"/>
    <col min="2" max="2" width="12" style="1" customWidth="1"/>
    <col min="3" max="3" width="28" style="1" customWidth="1"/>
    <col min="4" max="4" width="16" style="1" customWidth="1"/>
    <col min="5" max="6" width="13" style="1" customWidth="1"/>
    <col min="7" max="7" width="38" style="1" customWidth="1"/>
    <col min="8" max="8" width="12" style="1" customWidth="1"/>
    <col min="9" max="9" width="32" style="1" customWidth="1"/>
    <col min="10" max="10" width="10" style="1" customWidth="1"/>
  </cols>
  <sheetData>
    <row r="1" ht="28" customHeight="1" spans="1:10">
      <c r="A1" s="2" t="s">
        <v>729</v>
      </c>
    </row>
    <row r="2" ht="22" customHeight="1" spans="1:10">
      <c r="A2" s="3" t="s">
        <v>730</v>
      </c>
    </row>
    <row r="3" spans="1:10">
      <c r="A3" s="4"/>
      <c r="B3" s="4"/>
      <c r="C3" s="4"/>
      <c r="D3" s="4"/>
      <c r="E3" s="4"/>
      <c r="F3" s="4"/>
      <c r="G3" s="4"/>
      <c r="H3" s="4"/>
      <c r="I3" s="4"/>
      <c r="J3" s="4"/>
    </row>
    <row r="4" ht="28" customHeight="1" spans="1:10">
      <c r="A4" s="5" t="s">
        <v>731</v>
      </c>
      <c r="B4" s="5" t="s">
        <v>732</v>
      </c>
      <c r="C4" s="5" t="s">
        <v>438</v>
      </c>
      <c r="D4" s="5" t="s">
        <v>446</v>
      </c>
      <c r="E4" s="5" t="s">
        <v>38</v>
      </c>
      <c r="F4" s="5" t="s">
        <v>39</v>
      </c>
      <c r="G4" s="5" t="s">
        <v>733</v>
      </c>
      <c r="H4" s="5" t="s">
        <v>734</v>
      </c>
      <c r="I4" s="5" t="s">
        <v>708</v>
      </c>
      <c r="J4" s="5" t="s">
        <v>735</v>
      </c>
    </row>
    <row r="5" spans="1:10">
      <c r="A5" s="6" t="s">
        <v>736</v>
      </c>
      <c r="B5" s="6" t="str">
        <f>项目总控台账!A4</f>
        <v>T001</v>
      </c>
      <c r="C5" s="6" t="str">
        <f>IF(AND(项目总控台账!E4&lt;&gt;"",项目总控台账!E4&lt;&gt;"/"),项目总控台账!E4,IF(AND(项目总控台账!D4&lt;&gt;"",项目总控台账!D4&lt;&gt;"/"),项目总控台账!D4,项目总控台账!C4))</f>
        <v>新增车辆信息</v>
      </c>
      <c r="D5" s="6" t="str">
        <f>项目总控台账!H4</f>
        <v>郑士旺</v>
      </c>
      <c r="E5" s="17">
        <f>项目总控台账!I4</f>
        <v>46202</v>
      </c>
      <c r="F5" s="17">
        <f>项目总控台账!J4</f>
        <v>46234</v>
      </c>
      <c r="G5" s="6" t="str">
        <f>IF(B5="","",IF(OR(C5="",C5="/"),"缺少任务名称；","")&amp;IF(OR(D5="",D5="/"),"缺少有效主责人；","")&amp;IF(OR(E5="",E5&lt;DATE(2000,1,1)),"缺少有效计划开始；","")&amp;IF(OR(F5="",F5&lt;DATE(2000,1,1)),"缺少有效计划完成；","")&amp;IF(项目总控台账!G4="","缺少总体状态；","")&amp;IF(AND(ISNUMBER(E5),ISNUMBER(F5),E5&gt;=DATE(2000,1,1),F5&gt;=DATE(2000,1,1),E5&gt;F5),"开始晚于完成；","")&amp;IF(AND(项目总控台账!G4="已完成",项目总控台账!AB4&lt;1),"已完成但进度不足100%；",""))</f>
        <v/>
      </c>
      <c r="H5" s="6" t="str">
        <f t="shared" ref="H5:H68" si="0">IF(B5="","",IF(G5="","通过","需整改"))</f>
        <v>通过</v>
      </c>
      <c r="I5" s="6" t="str">
        <f t="shared" ref="I5:I68" si="1">IF(H5="需整改","回到项目总控台账第"&amp;J5&amp;"行补齐或修正","无需处理")</f>
        <v>无需处理</v>
      </c>
      <c r="J5" s="6">
        <v>4</v>
      </c>
    </row>
    <row r="6" spans="1:10">
      <c r="A6" s="6" t="s">
        <v>736</v>
      </c>
      <c r="B6" s="6" t="str">
        <f>项目总控台账!A5</f>
        <v>T002</v>
      </c>
      <c r="C6" s="6" t="str">
        <f>IF(AND(项目总控台账!E5&lt;&gt;"",项目总控台账!E5&lt;&gt;"/"),项目总控台账!E5,IF(AND(项目总控台账!D5&lt;&gt;"",项目总控台账!D5&lt;&gt;"/"),项目总控台账!D5,项目总控台账!C5))</f>
        <v>修改车辆信息</v>
      </c>
      <c r="D6" s="6" t="str">
        <f>项目总控台账!H5</f>
        <v>郑士旺</v>
      </c>
      <c r="E6" s="17">
        <f>项目总控台账!I5</f>
        <v>46202</v>
      </c>
      <c r="F6" s="17">
        <f>项目总控台账!J5</f>
        <v>46234</v>
      </c>
      <c r="G6" s="6" t="str">
        <f>IF(B6="","",IF(OR(C6="",C6="/"),"缺少任务名称；","")&amp;IF(OR(D6="",D6="/"),"缺少有效主责人；","")&amp;IF(OR(E6="",E6&lt;DATE(2000,1,1)),"缺少有效计划开始；","")&amp;IF(OR(F6="",F6&lt;DATE(2000,1,1)),"缺少有效计划完成；","")&amp;IF(项目总控台账!G5="","缺少总体状态；","")&amp;IF(AND(ISNUMBER(E6),ISNUMBER(F6),E6&gt;=DATE(2000,1,1),F6&gt;=DATE(2000,1,1),E6&gt;F6),"开始晚于完成；","")&amp;IF(AND(项目总控台账!G5="已完成",项目总控台账!AB5&lt;1),"已完成但进度不足100%；",""))</f>
        <v/>
      </c>
      <c r="H6" s="6" t="str">
        <f t="shared" si="0"/>
        <v>通过</v>
      </c>
      <c r="I6" s="6" t="str">
        <f t="shared" si="1"/>
        <v>无需处理</v>
      </c>
      <c r="J6" s="6">
        <v>5</v>
      </c>
    </row>
    <row r="7" spans="1:10">
      <c r="A7" s="6" t="s">
        <v>736</v>
      </c>
      <c r="B7" s="6" t="str">
        <f>项目总控台账!A6</f>
        <v>T003</v>
      </c>
      <c r="C7" s="6" t="str">
        <f>IF(AND(项目总控台账!E6&lt;&gt;"",项目总控台账!E6&lt;&gt;"/"),项目总控台账!E6,IF(AND(项目总控台账!D6&lt;&gt;"",项目总控台账!D6&lt;&gt;"/"),项目总控台账!D6,项目总控台账!C6))</f>
        <v>删除车辆信息</v>
      </c>
      <c r="D7" s="6" t="str">
        <f>项目总控台账!H6</f>
        <v>郑士旺</v>
      </c>
      <c r="E7" s="17">
        <f>项目总控台账!I6</f>
        <v>46202</v>
      </c>
      <c r="F7" s="17">
        <f>项目总控台账!J6</f>
        <v>46234</v>
      </c>
      <c r="G7" s="6" t="str">
        <f>IF(B7="","",IF(OR(C7="",C7="/"),"缺少任务名称；","")&amp;IF(OR(D7="",D7="/"),"缺少有效主责人；","")&amp;IF(OR(E7="",E7&lt;DATE(2000,1,1)),"缺少有效计划开始；","")&amp;IF(OR(F7="",F7&lt;DATE(2000,1,1)),"缺少有效计划完成；","")&amp;IF(项目总控台账!G6="","缺少总体状态；","")&amp;IF(AND(ISNUMBER(E7),ISNUMBER(F7),E7&gt;=DATE(2000,1,1),F7&gt;=DATE(2000,1,1),E7&gt;F7),"开始晚于完成；","")&amp;IF(AND(项目总控台账!G6="已完成",项目总控台账!AB6&lt;1),"已完成但进度不足100%；",""))</f>
        <v/>
      </c>
      <c r="H7" s="6" t="str">
        <f t="shared" si="0"/>
        <v>通过</v>
      </c>
      <c r="I7" s="6" t="str">
        <f t="shared" si="1"/>
        <v>无需处理</v>
      </c>
      <c r="J7" s="6">
        <v>6</v>
      </c>
    </row>
    <row r="8" spans="1:10">
      <c r="A8" s="6" t="s">
        <v>736</v>
      </c>
      <c r="B8" s="6" t="str">
        <f>项目总控台账!A7</f>
        <v>T004</v>
      </c>
      <c r="C8" s="6" t="str">
        <f>IF(AND(项目总控台账!E7&lt;&gt;"",项目总控台账!E7&lt;&gt;"/"),项目总控台账!E7,IF(AND(项目总控台账!D7&lt;&gt;"",项目总控台账!D7&lt;&gt;"/"),项目总控台账!D7,项目总控台账!C7))</f>
        <v>查询展示车辆信息</v>
      </c>
      <c r="D8" s="6" t="str">
        <f>项目总控台账!H7</f>
        <v>郑士旺</v>
      </c>
      <c r="E8" s="17">
        <f>项目总控台账!I7</f>
        <v>46202</v>
      </c>
      <c r="F8" s="17">
        <f>项目总控台账!J7</f>
        <v>46234</v>
      </c>
      <c r="G8" s="6" t="str">
        <f>IF(B8="","",IF(OR(C8="",C8="/"),"缺少任务名称；","")&amp;IF(OR(D8="",D8="/"),"缺少有效主责人；","")&amp;IF(OR(E8="",E8&lt;DATE(2000,1,1)),"缺少有效计划开始；","")&amp;IF(OR(F8="",F8&lt;DATE(2000,1,1)),"缺少有效计划完成；","")&amp;IF(项目总控台账!G7="","缺少总体状态；","")&amp;IF(AND(ISNUMBER(E8),ISNUMBER(F8),E8&gt;=DATE(2000,1,1),F8&gt;=DATE(2000,1,1),E8&gt;F8),"开始晚于完成；","")&amp;IF(AND(项目总控台账!G7="已完成",项目总控台账!AB7&lt;1),"已完成但进度不足100%；",""))</f>
        <v/>
      </c>
      <c r="H8" s="6" t="str">
        <f t="shared" si="0"/>
        <v>通过</v>
      </c>
      <c r="I8" s="6" t="str">
        <f t="shared" si="1"/>
        <v>无需处理</v>
      </c>
      <c r="J8" s="6">
        <v>7</v>
      </c>
    </row>
    <row r="9" spans="1:10">
      <c r="A9" s="6" t="s">
        <v>736</v>
      </c>
      <c r="B9" s="6" t="str">
        <f>项目总控台账!A8</f>
        <v>T005</v>
      </c>
      <c r="C9" s="6" t="str">
        <f>IF(AND(项目总控台账!E8&lt;&gt;"",项目总控台账!E8&lt;&gt;"/"),项目总控台账!E8,IF(AND(项目总控台账!D8&lt;&gt;"",项目总控台账!D8&lt;&gt;"/"),项目总控台账!D8,项目总控台账!C8))</f>
        <v>船舶唯一性校验</v>
      </c>
      <c r="D9" s="6" t="str">
        <f>项目总控台账!H8</f>
        <v>郑士旺</v>
      </c>
      <c r="E9" s="17">
        <f>项目总控台账!I8</f>
        <v>46230</v>
      </c>
      <c r="F9" s="17">
        <f>项目总控台账!J8</f>
        <v>46353</v>
      </c>
      <c r="G9" s="6" t="str">
        <f>IF(B9="","",IF(OR(C9="",C9="/"),"缺少任务名称；","")&amp;IF(OR(D9="",D9="/"),"缺少有效主责人；","")&amp;IF(OR(E9="",E9&lt;DATE(2000,1,1)),"缺少有效计划开始；","")&amp;IF(OR(F9="",F9&lt;DATE(2000,1,1)),"缺少有效计划完成；","")&amp;IF(项目总控台账!G8="","缺少总体状态；","")&amp;IF(AND(ISNUMBER(E9),ISNUMBER(F9),E9&gt;=DATE(2000,1,1),F9&gt;=DATE(2000,1,1),E9&gt;F9),"开始晚于完成；","")&amp;IF(AND(项目总控台账!G8="已完成",项目总控台账!AB8&lt;1),"已完成但进度不足100%；",""))</f>
        <v/>
      </c>
      <c r="H9" s="6" t="str">
        <f t="shared" si="0"/>
        <v>通过</v>
      </c>
      <c r="I9" s="6" t="str">
        <f t="shared" si="1"/>
        <v>无需处理</v>
      </c>
      <c r="J9" s="6">
        <v>8</v>
      </c>
    </row>
    <row r="10" spans="1:10">
      <c r="A10" s="6" t="s">
        <v>736</v>
      </c>
      <c r="B10" s="6" t="str">
        <f>项目总控台账!A9</f>
        <v>T006</v>
      </c>
      <c r="C10" s="6" t="str">
        <f>IF(AND(项目总控台账!E9&lt;&gt;"",项目总控台账!E9&lt;&gt;"/"),项目总控台账!E9,IF(AND(项目总控台账!D9&lt;&gt;"",项目总控台账!D9&lt;&gt;"/"),项目总控台账!D9,项目总控台账!C9))</f>
        <v>优化收费标准（装卸费）新增</v>
      </c>
      <c r="D10" s="6" t="str">
        <f>项目总控台账!H9</f>
        <v>郑士旺</v>
      </c>
      <c r="E10" s="17">
        <f>项目总控台账!I9</f>
        <v>46202</v>
      </c>
      <c r="F10" s="17">
        <f>项目总控台账!J9</f>
        <v>46224</v>
      </c>
      <c r="G10" s="6" t="str">
        <f>IF(B10="","",IF(OR(C10="",C10="/"),"缺少任务名称；","")&amp;IF(OR(D10="",D10="/"),"缺少有效主责人；","")&amp;IF(OR(E10="",E10&lt;DATE(2000,1,1)),"缺少有效计划开始；","")&amp;IF(OR(F10="",F10&lt;DATE(2000,1,1)),"缺少有效计划完成；","")&amp;IF(项目总控台账!G9="","缺少总体状态；","")&amp;IF(AND(ISNUMBER(E10),ISNUMBER(F10),E10&gt;=DATE(2000,1,1),F10&gt;=DATE(2000,1,1),E10&gt;F10),"开始晚于完成；","")&amp;IF(AND(项目总控台账!G9="已完成",项目总控台账!AB9&lt;1),"已完成但进度不足100%；",""))</f>
        <v/>
      </c>
      <c r="H10" s="6" t="str">
        <f t="shared" si="0"/>
        <v>通过</v>
      </c>
      <c r="I10" s="6" t="str">
        <f t="shared" si="1"/>
        <v>无需处理</v>
      </c>
      <c r="J10" s="6">
        <v>9</v>
      </c>
    </row>
    <row r="11" spans="1:10">
      <c r="A11" s="6" t="s">
        <v>736</v>
      </c>
      <c r="B11" s="6" t="str">
        <f>项目总控台账!A10</f>
        <v>T007</v>
      </c>
      <c r="C11" s="6" t="str">
        <f>IF(AND(项目总控台账!E10&lt;&gt;"",项目总控台账!E10&lt;&gt;"/"),项目总控台账!E10,IF(AND(项目总控台账!D10&lt;&gt;"",项目总控台账!D10&lt;&gt;"/"),项目总控台账!D10,项目总控台账!C10))</f>
        <v>优化收费标准（装卸费）编辑</v>
      </c>
      <c r="D11" s="6" t="str">
        <f>项目总控台账!H10</f>
        <v>郑士旺</v>
      </c>
      <c r="E11" s="17">
        <f>项目总控台账!I10</f>
        <v>46202</v>
      </c>
      <c r="F11" s="17">
        <f>项目总控台账!J10</f>
        <v>46224</v>
      </c>
      <c r="G11" s="6" t="str">
        <f>IF(B11="","",IF(OR(C11="",C11="/"),"缺少任务名称；","")&amp;IF(OR(D11="",D11="/"),"缺少有效主责人；","")&amp;IF(OR(E11="",E11&lt;DATE(2000,1,1)),"缺少有效计划开始；","")&amp;IF(OR(F11="",F11&lt;DATE(2000,1,1)),"缺少有效计划完成；","")&amp;IF(项目总控台账!G10="","缺少总体状态；","")&amp;IF(AND(ISNUMBER(E11),ISNUMBER(F11),E11&gt;=DATE(2000,1,1),F11&gt;=DATE(2000,1,1),E11&gt;F11),"开始晚于完成；","")&amp;IF(AND(项目总控台账!G10="已完成",项目总控台账!AB10&lt;1),"已完成但进度不足100%；",""))</f>
        <v/>
      </c>
      <c r="H11" s="6" t="str">
        <f t="shared" si="0"/>
        <v>通过</v>
      </c>
      <c r="I11" s="6" t="str">
        <f t="shared" si="1"/>
        <v>无需处理</v>
      </c>
      <c r="J11" s="6">
        <v>10</v>
      </c>
    </row>
    <row r="12" spans="1:10">
      <c r="A12" s="6" t="s">
        <v>736</v>
      </c>
      <c r="B12" s="6" t="str">
        <f>项目总控台账!A11</f>
        <v>T008</v>
      </c>
      <c r="C12" s="6" t="str">
        <f>IF(AND(项目总控台账!E11&lt;&gt;"",项目总控台账!E11&lt;&gt;"/"),项目总控台账!E11,IF(AND(项目总控台账!D11&lt;&gt;"",项目总控台账!D11&lt;&gt;"/"),项目总控台账!D11,项目总控台账!C11))</f>
        <v>优化收费标准（装卸费）详情</v>
      </c>
      <c r="D12" s="6" t="str">
        <f>项目总控台账!H11</f>
        <v>郑士旺</v>
      </c>
      <c r="E12" s="17">
        <f>项目总控台账!I11</f>
        <v>46202</v>
      </c>
      <c r="F12" s="17">
        <f>项目总控台账!J11</f>
        <v>46224</v>
      </c>
      <c r="G12" s="6" t="str">
        <f>IF(B12="","",IF(OR(C12="",C12="/"),"缺少任务名称；","")&amp;IF(OR(D12="",D12="/"),"缺少有效主责人；","")&amp;IF(OR(E12="",E12&lt;DATE(2000,1,1)),"缺少有效计划开始；","")&amp;IF(OR(F12="",F12&lt;DATE(2000,1,1)),"缺少有效计划完成；","")&amp;IF(项目总控台账!G11="","缺少总体状态；","")&amp;IF(AND(ISNUMBER(E12),ISNUMBER(F12),E12&gt;=DATE(2000,1,1),F12&gt;=DATE(2000,1,1),E12&gt;F12),"开始晚于完成；","")&amp;IF(AND(项目总控台账!G11="已完成",项目总控台账!AB11&lt;1),"已完成但进度不足100%；",""))</f>
        <v/>
      </c>
      <c r="H12" s="6" t="str">
        <f t="shared" si="0"/>
        <v>通过</v>
      </c>
      <c r="I12" s="6" t="str">
        <f t="shared" si="1"/>
        <v>无需处理</v>
      </c>
      <c r="J12" s="6">
        <v>11</v>
      </c>
    </row>
    <row r="13" spans="1:10">
      <c r="A13" s="6" t="s">
        <v>736</v>
      </c>
      <c r="B13" s="6" t="str">
        <f>项目总控台账!A12</f>
        <v>T009</v>
      </c>
      <c r="C13" s="6" t="str">
        <f>IF(AND(项目总控台账!E12&lt;&gt;"",项目总控台账!E12&lt;&gt;"/"),项目总控台账!E12,IF(AND(项目总控台账!D12&lt;&gt;"",项目总控台账!D12&lt;&gt;"/"),项目总控台账!D12,项目总控台账!C12))</f>
        <v>优化采样方式新增</v>
      </c>
      <c r="D13" s="6" t="str">
        <f>项目总控台账!H12</f>
        <v>郑士旺</v>
      </c>
      <c r="E13" s="17">
        <f>项目总控台账!I12</f>
        <v>46202</v>
      </c>
      <c r="F13" s="17">
        <f>项目总控台账!J12</f>
        <v>46224</v>
      </c>
      <c r="G13" s="6" t="str">
        <f>IF(B13="","",IF(OR(C13="",C13="/"),"缺少任务名称；","")&amp;IF(OR(D13="",D13="/"),"缺少有效主责人；","")&amp;IF(OR(E13="",E13&lt;DATE(2000,1,1)),"缺少有效计划开始；","")&amp;IF(OR(F13="",F13&lt;DATE(2000,1,1)),"缺少有效计划完成；","")&amp;IF(项目总控台账!G12="","缺少总体状态；","")&amp;IF(AND(ISNUMBER(E13),ISNUMBER(F13),E13&gt;=DATE(2000,1,1),F13&gt;=DATE(2000,1,1),E13&gt;F13),"开始晚于完成；","")&amp;IF(AND(项目总控台账!G12="已完成",项目总控台账!AB12&lt;1),"已完成但进度不足100%；",""))</f>
        <v/>
      </c>
      <c r="H13" s="6" t="str">
        <f t="shared" si="0"/>
        <v>通过</v>
      </c>
      <c r="I13" s="6" t="str">
        <f t="shared" si="1"/>
        <v>无需处理</v>
      </c>
      <c r="J13" s="6">
        <v>12</v>
      </c>
    </row>
    <row r="14" spans="1:10">
      <c r="A14" s="6" t="s">
        <v>736</v>
      </c>
      <c r="B14" s="6" t="str">
        <f>项目总控台账!A13</f>
        <v>T010</v>
      </c>
      <c r="C14" s="6" t="str">
        <f>IF(AND(项目总控台账!E13&lt;&gt;"",项目总控台账!E13&lt;&gt;"/"),项目总控台账!E13,IF(AND(项目总控台账!D13&lt;&gt;"",项目总控台账!D13&lt;&gt;"/"),项目总控台账!D13,项目总控台账!C13))</f>
        <v>优化采样方式编辑</v>
      </c>
      <c r="D14" s="6" t="str">
        <f>项目总控台账!H13</f>
        <v>郑士旺</v>
      </c>
      <c r="E14" s="17">
        <f>项目总控台账!I13</f>
        <v>46202</v>
      </c>
      <c r="F14" s="17">
        <f>项目总控台账!J13</f>
        <v>46224</v>
      </c>
      <c r="G14" s="6" t="str">
        <f>IF(B14="","",IF(OR(C14="",C14="/"),"缺少任务名称；","")&amp;IF(OR(D14="",D14="/"),"缺少有效主责人；","")&amp;IF(OR(E14="",E14&lt;DATE(2000,1,1)),"缺少有效计划开始；","")&amp;IF(OR(F14="",F14&lt;DATE(2000,1,1)),"缺少有效计划完成；","")&amp;IF(项目总控台账!G13="","缺少总体状态；","")&amp;IF(AND(ISNUMBER(E14),ISNUMBER(F14),E14&gt;=DATE(2000,1,1),F14&gt;=DATE(2000,1,1),E14&gt;F14),"开始晚于完成；","")&amp;IF(AND(项目总控台账!G13="已完成",项目总控台账!AB13&lt;1),"已完成但进度不足100%；",""))</f>
        <v/>
      </c>
      <c r="H14" s="6" t="str">
        <f t="shared" si="0"/>
        <v>通过</v>
      </c>
      <c r="I14" s="6" t="str">
        <f t="shared" si="1"/>
        <v>无需处理</v>
      </c>
      <c r="J14" s="6">
        <v>13</v>
      </c>
    </row>
    <row r="15" spans="1:10">
      <c r="A15" s="6" t="s">
        <v>736</v>
      </c>
      <c r="B15" s="6" t="str">
        <f>项目总控台账!A14</f>
        <v>T011</v>
      </c>
      <c r="C15" s="6" t="str">
        <f>IF(AND(项目总控台账!E14&lt;&gt;"",项目总控台账!E14&lt;&gt;"/"),项目总控台账!E14,IF(AND(项目总控台账!D14&lt;&gt;"",项目总控台账!D14&lt;&gt;"/"),项目总控台账!D14,项目总控台账!C14))</f>
        <v>获取报单数据及展示</v>
      </c>
      <c r="D15" s="6" t="str">
        <f>项目总控台账!H14</f>
        <v>郑士旺</v>
      </c>
      <c r="E15" s="17">
        <f>项目总控台账!I14</f>
        <v>46202</v>
      </c>
      <c r="F15" s="17">
        <f>项目总控台账!J14</f>
        <v>46224</v>
      </c>
      <c r="G15" s="6" t="str">
        <f>IF(B15="","",IF(OR(C15="",C15="/"),"缺少任务名称；","")&amp;IF(OR(D15="",D15="/"),"缺少有效主责人；","")&amp;IF(OR(E15="",E15&lt;DATE(2000,1,1)),"缺少有效计划开始；","")&amp;IF(OR(F15="",F15&lt;DATE(2000,1,1)),"缺少有效计划完成；","")&amp;IF(项目总控台账!G14="","缺少总体状态；","")&amp;IF(AND(ISNUMBER(E15),ISNUMBER(F15),E15&gt;=DATE(2000,1,1),F15&gt;=DATE(2000,1,1),E15&gt;F15),"开始晚于完成；","")&amp;IF(AND(项目总控台账!G14="已完成",项目总控台账!AB14&lt;1),"已完成但进度不足100%；",""))</f>
        <v/>
      </c>
      <c r="H15" s="6" t="str">
        <f t="shared" si="0"/>
        <v>通过</v>
      </c>
      <c r="I15" s="6" t="str">
        <f t="shared" si="1"/>
        <v>无需处理</v>
      </c>
      <c r="J15" s="6">
        <v>14</v>
      </c>
    </row>
    <row r="16" spans="1:10">
      <c r="A16" s="6" t="s">
        <v>736</v>
      </c>
      <c r="B16" s="6" t="str">
        <f>项目总控台账!A15</f>
        <v>T012</v>
      </c>
      <c r="C16" s="6" t="str">
        <f>IF(AND(项目总控台账!E15&lt;&gt;"",项目总控台账!E15&lt;&gt;"/"),项目总控台账!E15,IF(AND(项目总控台账!D15&lt;&gt;"",项目总控台账!D15&lt;&gt;"/"),项目总控台账!D15,项目总控台账!C15))</f>
        <v>应单入口</v>
      </c>
      <c r="D16" s="6" t="str">
        <f>项目总控台账!H15</f>
        <v>郑士旺</v>
      </c>
      <c r="E16" s="17">
        <f>项目总控台账!I15</f>
        <v>46202</v>
      </c>
      <c r="F16" s="17">
        <f>项目总控台账!J15</f>
        <v>46224</v>
      </c>
      <c r="G16" s="6" t="str">
        <f>IF(B16="","",IF(OR(C16="",C16="/"),"缺少任务名称；","")&amp;IF(OR(D16="",D16="/"),"缺少有效主责人；","")&amp;IF(OR(E16="",E16&lt;DATE(2000,1,1)),"缺少有效计划开始；","")&amp;IF(OR(F16="",F16&lt;DATE(2000,1,1)),"缺少有效计划完成；","")&amp;IF(项目总控台账!G15="","缺少总体状态；","")&amp;IF(AND(ISNUMBER(E16),ISNUMBER(F16),E16&gt;=DATE(2000,1,1),F16&gt;=DATE(2000,1,1),E16&gt;F16),"开始晚于完成；","")&amp;IF(AND(项目总控台账!G15="已完成",项目总控台账!AB15&lt;1),"已完成但进度不足100%；",""))</f>
        <v/>
      </c>
      <c r="H16" s="6" t="str">
        <f t="shared" si="0"/>
        <v>通过</v>
      </c>
      <c r="I16" s="6" t="str">
        <f t="shared" si="1"/>
        <v>无需处理</v>
      </c>
      <c r="J16" s="6">
        <v>15</v>
      </c>
    </row>
    <row r="17" spans="1:10">
      <c r="A17" s="6" t="s">
        <v>736</v>
      </c>
      <c r="B17" s="6" t="str">
        <f>项目总控台账!A16</f>
        <v>T013</v>
      </c>
      <c r="C17" s="6" t="str">
        <f>IF(AND(项目总控台账!E16&lt;&gt;"",项目总控台账!E16&lt;&gt;"/"),项目总控台账!E16,IF(AND(项目总控台账!D16&lt;&gt;"",项目总控台账!D16&lt;&gt;"/"),项目总控台账!D16,项目总控台账!C16))</f>
        <v>新增结算条款</v>
      </c>
      <c r="D17" s="6" t="str">
        <f>项目总控台账!H16</f>
        <v>郑士旺</v>
      </c>
      <c r="E17" s="17">
        <f>项目总控台账!I16</f>
        <v>46223</v>
      </c>
      <c r="F17" s="17">
        <f>项目总控台账!J16</f>
        <v>46318</v>
      </c>
      <c r="G17" s="6" t="str">
        <f>IF(B17="","",IF(OR(C17="",C17="/"),"缺少任务名称；","")&amp;IF(OR(D17="",D17="/"),"缺少有效主责人；","")&amp;IF(OR(E17="",E17&lt;DATE(2000,1,1)),"缺少有效计划开始；","")&amp;IF(OR(F17="",F17&lt;DATE(2000,1,1)),"缺少有效计划完成；","")&amp;IF(项目总控台账!G16="","缺少总体状态；","")&amp;IF(AND(ISNUMBER(E17),ISNUMBER(F17),E17&gt;=DATE(2000,1,1),F17&gt;=DATE(2000,1,1),E17&gt;F17),"开始晚于完成；","")&amp;IF(AND(项目总控台账!G16="已完成",项目总控台账!AB16&lt;1),"已完成但进度不足100%；",""))</f>
        <v/>
      </c>
      <c r="H17" s="6" t="str">
        <f t="shared" si="0"/>
        <v>通过</v>
      </c>
      <c r="I17" s="6" t="str">
        <f t="shared" si="1"/>
        <v>无需处理</v>
      </c>
      <c r="J17" s="6">
        <v>16</v>
      </c>
    </row>
    <row r="18" spans="1:10">
      <c r="A18" s="6" t="s">
        <v>736</v>
      </c>
      <c r="B18" s="6" t="str">
        <f>项目总控台账!A17</f>
        <v>T014</v>
      </c>
      <c r="C18" s="6" t="str">
        <f>IF(AND(项目总控台账!E17&lt;&gt;"",项目总控台账!E17&lt;&gt;"/"),项目总控台账!E17,IF(AND(项目总控台账!D17&lt;&gt;"",项目总控台账!D17&lt;&gt;"/"),项目总控台账!D17,项目总控台账!C17))</f>
        <v>结算条款审批</v>
      </c>
      <c r="D18" s="6" t="str">
        <f>项目总控台账!H17</f>
        <v>郑士旺</v>
      </c>
      <c r="E18" s="17">
        <f>项目总控台账!I17</f>
        <v>46223</v>
      </c>
      <c r="F18" s="17">
        <f>项目总控台账!J17</f>
        <v>46318</v>
      </c>
      <c r="G18" s="6" t="str">
        <f>IF(B18="","",IF(OR(C18="",C18="/"),"缺少任务名称；","")&amp;IF(OR(D18="",D18="/"),"缺少有效主责人；","")&amp;IF(OR(E18="",E18&lt;DATE(2000,1,1)),"缺少有效计划开始；","")&amp;IF(OR(F18="",F18&lt;DATE(2000,1,1)),"缺少有效计划完成；","")&amp;IF(项目总控台账!G17="","缺少总体状态；","")&amp;IF(AND(ISNUMBER(E18),ISNUMBER(F18),E18&gt;=DATE(2000,1,1),F18&gt;=DATE(2000,1,1),E18&gt;F18),"开始晚于完成；","")&amp;IF(AND(项目总控台账!G17="已完成",项目总控台账!AB17&lt;1),"已完成但进度不足100%；",""))</f>
        <v/>
      </c>
      <c r="H18" s="6" t="str">
        <f t="shared" si="0"/>
        <v>通过</v>
      </c>
      <c r="I18" s="6" t="str">
        <f t="shared" si="1"/>
        <v>无需处理</v>
      </c>
      <c r="J18" s="6">
        <v>17</v>
      </c>
    </row>
    <row r="19" spans="1:10">
      <c r="A19" s="6" t="s">
        <v>736</v>
      </c>
      <c r="B19" s="6" t="str">
        <f>项目总控台账!A18</f>
        <v>T015</v>
      </c>
      <c r="C19" s="6" t="str">
        <f>IF(AND(项目总控台账!E18&lt;&gt;"",项目总控台账!E18&lt;&gt;"/"),项目总控台账!E18,IF(AND(项目总控台账!D18&lt;&gt;"",项目总控台账!D18&lt;&gt;"/"),项目总控台账!D18,项目总控台账!C18))</f>
        <v>修改结算条款</v>
      </c>
      <c r="D19" s="6" t="str">
        <f>项目总控台账!H18</f>
        <v>郑士旺</v>
      </c>
      <c r="E19" s="17">
        <f>项目总控台账!I18</f>
        <v>46223</v>
      </c>
      <c r="F19" s="17">
        <f>项目总控台账!J18</f>
        <v>46318</v>
      </c>
      <c r="G19" s="6" t="str">
        <f>IF(B19="","",IF(OR(C19="",C19="/"),"缺少任务名称；","")&amp;IF(OR(D19="",D19="/"),"缺少有效主责人；","")&amp;IF(OR(E19="",E19&lt;DATE(2000,1,1)),"缺少有效计划开始；","")&amp;IF(OR(F19="",F19&lt;DATE(2000,1,1)),"缺少有效计划完成；","")&amp;IF(项目总控台账!G18="","缺少总体状态；","")&amp;IF(AND(ISNUMBER(E19),ISNUMBER(F19),E19&gt;=DATE(2000,1,1),F19&gt;=DATE(2000,1,1),E19&gt;F19),"开始晚于完成；","")&amp;IF(AND(项目总控台账!G18="已完成",项目总控台账!AB18&lt;1),"已完成但进度不足100%；",""))</f>
        <v/>
      </c>
      <c r="H19" s="6" t="str">
        <f t="shared" si="0"/>
        <v>通过</v>
      </c>
      <c r="I19" s="6" t="str">
        <f t="shared" si="1"/>
        <v>无需处理</v>
      </c>
      <c r="J19" s="6">
        <v>18</v>
      </c>
    </row>
    <row r="20" spans="1:10">
      <c r="A20" s="6" t="s">
        <v>736</v>
      </c>
      <c r="B20" s="6" t="str">
        <f>项目总控台账!A19</f>
        <v>T016</v>
      </c>
      <c r="C20" s="6" t="str">
        <f>IF(AND(项目总控台账!E19&lt;&gt;"",项目总控台账!E19&lt;&gt;"/"),项目总控台账!E19,IF(AND(项目总控台账!D19&lt;&gt;"",项目总控台账!D19&lt;&gt;"/"),项目总控台账!D19,项目总控台账!C19))</f>
        <v>删除结算条款</v>
      </c>
      <c r="D20" s="6" t="str">
        <f>项目总控台账!H19</f>
        <v>郑士旺</v>
      </c>
      <c r="E20" s="17">
        <f>项目总控台账!I19</f>
        <v>46223</v>
      </c>
      <c r="F20" s="17">
        <f>项目总控台账!J19</f>
        <v>46318</v>
      </c>
      <c r="G20" s="6" t="str">
        <f>IF(B20="","",IF(OR(C20="",C20="/"),"缺少任务名称；","")&amp;IF(OR(D20="",D20="/"),"缺少有效主责人；","")&amp;IF(OR(E20="",E20&lt;DATE(2000,1,1)),"缺少有效计划开始；","")&amp;IF(OR(F20="",F20&lt;DATE(2000,1,1)),"缺少有效计划完成；","")&amp;IF(项目总控台账!G19="","缺少总体状态；","")&amp;IF(AND(ISNUMBER(E20),ISNUMBER(F20),E20&gt;=DATE(2000,1,1),F20&gt;=DATE(2000,1,1),E20&gt;F20),"开始晚于完成；","")&amp;IF(AND(项目总控台账!G19="已完成",项目总控台账!AB19&lt;1),"已完成但进度不足100%；",""))</f>
        <v/>
      </c>
      <c r="H20" s="6" t="str">
        <f t="shared" si="0"/>
        <v>通过</v>
      </c>
      <c r="I20" s="6" t="str">
        <f t="shared" si="1"/>
        <v>无需处理</v>
      </c>
      <c r="J20" s="6">
        <v>19</v>
      </c>
    </row>
    <row r="21" spans="1:10">
      <c r="A21" s="6" t="s">
        <v>736</v>
      </c>
      <c r="B21" s="6" t="str">
        <f>项目总控台账!A20</f>
        <v>T017</v>
      </c>
      <c r="C21" s="6" t="str">
        <f>IF(AND(项目总控台账!E20&lt;&gt;"",项目总控台账!E20&lt;&gt;"/"),项目总控台账!E20,IF(AND(项目总控台账!D20&lt;&gt;"",项目总控台账!D20&lt;&gt;"/"),项目总控台账!D20,项目总控台账!C20))</f>
        <v>查询展示结算条款</v>
      </c>
      <c r="D21" s="6" t="str">
        <f>项目总控台账!H20</f>
        <v>郑士旺</v>
      </c>
      <c r="E21" s="17">
        <f>项目总控台账!I20</f>
        <v>46223</v>
      </c>
      <c r="F21" s="17">
        <f>项目总控台账!J20</f>
        <v>46318</v>
      </c>
      <c r="G21" s="6" t="str">
        <f>IF(B21="","",IF(OR(C21="",C21="/"),"缺少任务名称；","")&amp;IF(OR(D21="",D21="/"),"缺少有效主责人；","")&amp;IF(OR(E21="",E21&lt;DATE(2000,1,1)),"缺少有效计划开始；","")&amp;IF(OR(F21="",F21&lt;DATE(2000,1,1)),"缺少有效计划完成；","")&amp;IF(项目总控台账!G20="","缺少总体状态；","")&amp;IF(AND(ISNUMBER(E21),ISNUMBER(F21),E21&gt;=DATE(2000,1,1),F21&gt;=DATE(2000,1,1),E21&gt;F21),"开始晚于完成；","")&amp;IF(AND(项目总控台账!G20="已完成",项目总控台账!AB20&lt;1),"已完成但进度不足100%；",""))</f>
        <v/>
      </c>
      <c r="H21" s="6" t="str">
        <f t="shared" si="0"/>
        <v>通过</v>
      </c>
      <c r="I21" s="6" t="str">
        <f t="shared" si="1"/>
        <v>无需处理</v>
      </c>
      <c r="J21" s="6">
        <v>20</v>
      </c>
    </row>
    <row r="22" spans="1:10">
      <c r="A22" s="6" t="s">
        <v>736</v>
      </c>
      <c r="B22" s="6" t="str">
        <f>项目总控台账!A21</f>
        <v>T018</v>
      </c>
      <c r="C22" s="6" t="str">
        <f>IF(AND(项目总控台账!E21&lt;&gt;"",项目总控台账!E21&lt;&gt;"/"),项目总控台账!E21,IF(AND(项目总控台账!D21&lt;&gt;"",项目总控台账!D21&lt;&gt;"/"),项目总控台账!D21,项目总控台账!C21))</f>
        <v>结算条款推送法务系统</v>
      </c>
      <c r="D22" s="6" t="str">
        <f>项目总控台账!H21</f>
        <v>郑士旺</v>
      </c>
      <c r="E22" s="17">
        <f>项目总控台账!I21</f>
        <v>46223</v>
      </c>
      <c r="F22" s="17">
        <f>项目总控台账!J21</f>
        <v>46318</v>
      </c>
      <c r="G22" s="6" t="str">
        <f>IF(B22="","",IF(OR(C22="",C22="/"),"缺少任务名称；","")&amp;IF(OR(D22="",D22="/"),"缺少有效主责人；","")&amp;IF(OR(E22="",E22&lt;DATE(2000,1,1)),"缺少有效计划开始；","")&amp;IF(OR(F22="",F22&lt;DATE(2000,1,1)),"缺少有效计划完成；","")&amp;IF(项目总控台账!G21="","缺少总体状态；","")&amp;IF(AND(ISNUMBER(E22),ISNUMBER(F22),E22&gt;=DATE(2000,1,1),F22&gt;=DATE(2000,1,1),E22&gt;F22),"开始晚于完成；","")&amp;IF(AND(项目总控台账!G21="已完成",项目总控台账!AB21&lt;1),"已完成但进度不足100%；",""))</f>
        <v/>
      </c>
      <c r="H22" s="6" t="str">
        <f t="shared" si="0"/>
        <v>通过</v>
      </c>
      <c r="I22" s="6" t="str">
        <f t="shared" si="1"/>
        <v>无需处理</v>
      </c>
      <c r="J22" s="6">
        <v>21</v>
      </c>
    </row>
    <row r="23" spans="1:10">
      <c r="A23" s="6" t="s">
        <v>736</v>
      </c>
      <c r="B23" s="6" t="str">
        <f>项目总控台账!A22</f>
        <v>T019</v>
      </c>
      <c r="C23" s="6" t="str">
        <f>IF(AND(项目总控台账!E22&lt;&gt;"",项目总控台账!E22&lt;&gt;"/"),项目总控台账!E22,IF(AND(项目总控台账!D22&lt;&gt;"",项目总控台账!D22&lt;&gt;"/"),项目总控台账!D22,项目总控台账!C22))</f>
        <v>对接卸船计划</v>
      </c>
      <c r="D23" s="6" t="str">
        <f>项目总控台账!H22</f>
        <v>郑士旺</v>
      </c>
      <c r="E23" s="17">
        <f>项目总控台账!I22</f>
        <v>46230</v>
      </c>
      <c r="F23" s="17">
        <f>项目总控台账!J22</f>
        <v>46353</v>
      </c>
      <c r="G23" s="6" t="str">
        <f>IF(B23="","",IF(OR(C23="",C23="/"),"缺少任务名称；","")&amp;IF(OR(D23="",D23="/"),"缺少有效主责人；","")&amp;IF(OR(E23="",E23&lt;DATE(2000,1,1)),"缺少有效计划开始；","")&amp;IF(OR(F23="",F23&lt;DATE(2000,1,1)),"缺少有效计划完成；","")&amp;IF(项目总控台账!G22="","缺少总体状态；","")&amp;IF(AND(ISNUMBER(E23),ISNUMBER(F23),E23&gt;=DATE(2000,1,1),F23&gt;=DATE(2000,1,1),E23&gt;F23),"开始晚于完成；","")&amp;IF(AND(项目总控台账!G22="已完成",项目总控台账!AB22&lt;1),"已完成但进度不足100%；",""))</f>
        <v/>
      </c>
      <c r="H23" s="6" t="str">
        <f t="shared" si="0"/>
        <v>通过</v>
      </c>
      <c r="I23" s="6" t="str">
        <f t="shared" si="1"/>
        <v>无需处理</v>
      </c>
      <c r="J23" s="6">
        <v>22</v>
      </c>
    </row>
    <row r="24" spans="1:10">
      <c r="A24" s="6" t="s">
        <v>736</v>
      </c>
      <c r="B24" s="6" t="str">
        <f>项目总控台账!A23</f>
        <v>T020</v>
      </c>
      <c r="C24" s="6" t="str">
        <f>IF(AND(项目总控台账!E23&lt;&gt;"",项目总控台账!E23&lt;&gt;"/"),项目总控台账!E23,IF(AND(项目总控台账!D23&lt;&gt;"",项目总控台账!D23&lt;&gt;"/"),项目总控台账!D23,项目总控台账!C23))</f>
        <v>查询卸车计划</v>
      </c>
      <c r="D24" s="6" t="str">
        <f>项目总控台账!H23</f>
        <v>郑士旺</v>
      </c>
      <c r="E24" s="17">
        <f>项目总控台账!I23</f>
        <v>46230</v>
      </c>
      <c r="F24" s="17">
        <f>项目总控台账!J23</f>
        <v>46353</v>
      </c>
      <c r="G24" s="6" t="str">
        <f>IF(B24="","",IF(OR(C24="",C24="/"),"缺少任务名称；","")&amp;IF(OR(D24="",D24="/"),"缺少有效主责人；","")&amp;IF(OR(E24="",E24&lt;DATE(2000,1,1)),"缺少有效计划开始；","")&amp;IF(OR(F24="",F24&lt;DATE(2000,1,1)),"缺少有效计划完成；","")&amp;IF(项目总控台账!G23="","缺少总体状态；","")&amp;IF(AND(ISNUMBER(E24),ISNUMBER(F24),E24&gt;=DATE(2000,1,1),F24&gt;=DATE(2000,1,1),E24&gt;F24),"开始晚于完成；","")&amp;IF(AND(项目总控台账!G23="已完成",项目总控台账!AB23&lt;1),"已完成但进度不足100%；",""))</f>
        <v/>
      </c>
      <c r="H24" s="6" t="str">
        <f t="shared" si="0"/>
        <v>通过</v>
      </c>
      <c r="I24" s="6" t="str">
        <f t="shared" si="1"/>
        <v>无需处理</v>
      </c>
      <c r="J24" s="6">
        <v>23</v>
      </c>
    </row>
    <row r="25" spans="1:10">
      <c r="A25" s="6" t="s">
        <v>736</v>
      </c>
      <c r="B25" s="6" t="str">
        <f>项目总控台账!A24</f>
        <v>T021</v>
      </c>
      <c r="C25" s="6" t="str">
        <f>IF(AND(项目总控台账!E24&lt;&gt;"",项目总控台账!E24&lt;&gt;"/"),项目总控台账!E24,IF(AND(项目总控台账!D24&lt;&gt;"",项目总控台账!D24&lt;&gt;"/"),项目总控台账!D24,项目总控台账!C24))</f>
        <v>外部客户确认</v>
      </c>
      <c r="D25" s="6" t="str">
        <f>项目总控台账!H24</f>
        <v>郑士旺</v>
      </c>
      <c r="E25" s="17">
        <f>项目总控台账!I24</f>
        <v>46230</v>
      </c>
      <c r="F25" s="17">
        <f>项目总控台账!J24</f>
        <v>46353</v>
      </c>
      <c r="G25" s="6" t="str">
        <f>IF(B25="","",IF(OR(C25="",C25="/"),"缺少任务名称；","")&amp;IF(OR(D25="",D25="/"),"缺少有效主责人；","")&amp;IF(OR(E25="",E25&lt;DATE(2000,1,1)),"缺少有效计划开始；","")&amp;IF(OR(F25="",F25&lt;DATE(2000,1,1)),"缺少有效计划完成；","")&amp;IF(项目总控台账!G24="","缺少总体状态；","")&amp;IF(AND(ISNUMBER(E25),ISNUMBER(F25),E25&gt;=DATE(2000,1,1),F25&gt;=DATE(2000,1,1),E25&gt;F25),"开始晚于完成；","")&amp;IF(AND(项目总控台账!G24="已完成",项目总控台账!AB24&lt;1),"已完成但进度不足100%；",""))</f>
        <v/>
      </c>
      <c r="H25" s="6" t="str">
        <f t="shared" si="0"/>
        <v>通过</v>
      </c>
      <c r="I25" s="6" t="str">
        <f t="shared" si="1"/>
        <v>无需处理</v>
      </c>
      <c r="J25" s="6">
        <v>24</v>
      </c>
    </row>
    <row r="26" spans="1:10">
      <c r="A26" s="6" t="s">
        <v>736</v>
      </c>
      <c r="B26" s="6" t="str">
        <f>项目总控台账!A25</f>
        <v>T022</v>
      </c>
      <c r="C26" s="6" t="str">
        <f>IF(AND(项目总控台账!E25&lt;&gt;"",项目总控台账!E25&lt;&gt;"/"),项目总控台账!E25,IF(AND(项目总控台账!D25&lt;&gt;"",项目总控台账!D25&lt;&gt;"/"),项目总控台账!D25,项目总控台账!C25))</f>
        <v>对接卸船作业信息</v>
      </c>
      <c r="D26" s="6" t="str">
        <f>项目总控台账!H25</f>
        <v>郑士旺</v>
      </c>
      <c r="E26" s="17">
        <f>项目总控台账!I25</f>
        <v>46230</v>
      </c>
      <c r="F26" s="17">
        <f>项目总控台账!J25</f>
        <v>46353</v>
      </c>
      <c r="G26" s="6" t="str">
        <f>IF(B26="","",IF(OR(C26="",C26="/"),"缺少任务名称；","")&amp;IF(OR(D26="",D26="/"),"缺少有效主责人；","")&amp;IF(OR(E26="",E26&lt;DATE(2000,1,1)),"缺少有效计划开始；","")&amp;IF(OR(F26="",F26&lt;DATE(2000,1,1)),"缺少有效计划完成；","")&amp;IF(项目总控台账!G25="","缺少总体状态；","")&amp;IF(AND(ISNUMBER(E26),ISNUMBER(F26),E26&gt;=DATE(2000,1,1),F26&gt;=DATE(2000,1,1),E26&gt;F26),"开始晚于完成；","")&amp;IF(AND(项目总控台账!G25="已完成",项目总控台账!AB25&lt;1),"已完成但进度不足100%；",""))</f>
        <v/>
      </c>
      <c r="H26" s="6" t="str">
        <f t="shared" si="0"/>
        <v>通过</v>
      </c>
      <c r="I26" s="6" t="str">
        <f t="shared" si="1"/>
        <v>无需处理</v>
      </c>
      <c r="J26" s="6">
        <v>25</v>
      </c>
    </row>
    <row r="27" spans="1:10">
      <c r="A27" s="6" t="s">
        <v>736</v>
      </c>
      <c r="B27" s="6" t="str">
        <f>项目总控台账!A26</f>
        <v>T023</v>
      </c>
      <c r="C27" s="6" t="str">
        <f>IF(AND(项目总控台账!E26&lt;&gt;"",项目总控台账!E26&lt;&gt;"/"),项目总控台账!E26,IF(AND(项目总控台账!D26&lt;&gt;"",项目总控台账!D26&lt;&gt;"/"),项目总控台账!D26,项目总控台账!C26))</f>
        <v>查询卸船作业信息</v>
      </c>
      <c r="D27" s="6" t="str">
        <f>项目总控台账!H26</f>
        <v>郑士旺</v>
      </c>
      <c r="E27" s="17">
        <f>项目总控台账!I26</f>
        <v>46230</v>
      </c>
      <c r="F27" s="17">
        <f>项目总控台账!J26</f>
        <v>46353</v>
      </c>
      <c r="G27" s="6" t="str">
        <f>IF(B27="","",IF(OR(C27="",C27="/"),"缺少任务名称；","")&amp;IF(OR(D27="",D27="/"),"缺少有效主责人；","")&amp;IF(OR(E27="",E27&lt;DATE(2000,1,1)),"缺少有效计划开始；","")&amp;IF(OR(F27="",F27&lt;DATE(2000,1,1)),"缺少有效计划完成；","")&amp;IF(项目总控台账!G26="","缺少总体状态；","")&amp;IF(AND(ISNUMBER(E27),ISNUMBER(F27),E27&gt;=DATE(2000,1,1),F27&gt;=DATE(2000,1,1),E27&gt;F27),"开始晚于完成；","")&amp;IF(AND(项目总控台账!G26="已完成",项目总控台账!AB26&lt;1),"已完成但进度不足100%；",""))</f>
        <v/>
      </c>
      <c r="H27" s="6" t="str">
        <f t="shared" si="0"/>
        <v>通过</v>
      </c>
      <c r="I27" s="6" t="str">
        <f t="shared" si="1"/>
        <v>无需处理</v>
      </c>
      <c r="J27" s="6">
        <v>26</v>
      </c>
    </row>
    <row r="28" spans="1:10">
      <c r="A28" s="6" t="s">
        <v>736</v>
      </c>
      <c r="B28" s="6" t="str">
        <f>项目总控台账!A27</f>
        <v>T024</v>
      </c>
      <c r="C28" s="6" t="str">
        <f>IF(AND(项目总控台账!E27&lt;&gt;"",项目总控台账!E27&lt;&gt;"/"),项目总控台账!E27,IF(AND(项目总控台账!D27&lt;&gt;"",项目总控台账!D27&lt;&gt;"/"),项目总控台账!D27,项目总控台账!C27))</f>
        <v>卸船查询列表</v>
      </c>
      <c r="D28" s="6" t="str">
        <f>项目总控台账!H27</f>
        <v>郑士旺</v>
      </c>
      <c r="E28" s="17">
        <f>项目总控台账!I27</f>
        <v>46230</v>
      </c>
      <c r="F28" s="17">
        <f>项目总控台账!J27</f>
        <v>46353</v>
      </c>
      <c r="G28" s="6" t="str">
        <f>IF(B28="","",IF(OR(C28="",C28="/"),"缺少任务名称；","")&amp;IF(OR(D28="",D28="/"),"缺少有效主责人；","")&amp;IF(OR(E28="",E28&lt;DATE(2000,1,1)),"缺少有效计划开始；","")&amp;IF(OR(F28="",F28&lt;DATE(2000,1,1)),"缺少有效计划完成；","")&amp;IF(项目总控台账!G27="","缺少总体状态；","")&amp;IF(AND(ISNUMBER(E28),ISNUMBER(F28),E28&gt;=DATE(2000,1,1),F28&gt;=DATE(2000,1,1),E28&gt;F28),"开始晚于完成；","")&amp;IF(AND(项目总控台账!G27="已完成",项目总控台账!AB27&lt;1),"已完成但进度不足100%；",""))</f>
        <v/>
      </c>
      <c r="H28" s="6" t="str">
        <f t="shared" si="0"/>
        <v>通过</v>
      </c>
      <c r="I28" s="6" t="str">
        <f t="shared" si="1"/>
        <v>无需处理</v>
      </c>
      <c r="J28" s="6">
        <v>27</v>
      </c>
    </row>
    <row r="29" spans="1:10">
      <c r="A29" s="6" t="s">
        <v>736</v>
      </c>
      <c r="B29" s="6" t="str">
        <f>项目总控台账!A28</f>
        <v>T025</v>
      </c>
      <c r="C29" s="6" t="str">
        <f>IF(AND(项目总控台账!E28&lt;&gt;"",项目总控台账!E28&lt;&gt;"/"),项目总控台账!E28,IF(AND(项目总控台账!D28&lt;&gt;"",项目总控台账!D28&lt;&gt;"/"),项目总控台账!D28,项目总控台账!C28))</f>
        <v>卸船查询详情</v>
      </c>
      <c r="D29" s="6" t="str">
        <f>项目总控台账!H28</f>
        <v>郑士旺</v>
      </c>
      <c r="E29" s="17">
        <f>项目总控台账!I28</f>
        <v>46230</v>
      </c>
      <c r="F29" s="17">
        <f>项目总控台账!J28</f>
        <v>46261</v>
      </c>
      <c r="G29" s="6" t="str">
        <f>IF(B29="","",IF(OR(C29="",C29="/"),"缺少任务名称；","")&amp;IF(OR(D29="",D29="/"),"缺少有效主责人；","")&amp;IF(OR(E29="",E29&lt;DATE(2000,1,1)),"缺少有效计划开始；","")&amp;IF(OR(F29="",F29&lt;DATE(2000,1,1)),"缺少有效计划完成；","")&amp;IF(项目总控台账!G28="","缺少总体状态；","")&amp;IF(AND(ISNUMBER(E29),ISNUMBER(F29),E29&gt;=DATE(2000,1,1),F29&gt;=DATE(2000,1,1),E29&gt;F29),"开始晚于完成；","")&amp;IF(AND(项目总控台账!G28="已完成",项目总控台账!AB28&lt;1),"已完成但进度不足100%；",""))</f>
        <v/>
      </c>
      <c r="H29" s="6" t="str">
        <f t="shared" si="0"/>
        <v>通过</v>
      </c>
      <c r="I29" s="6" t="str">
        <f t="shared" si="1"/>
        <v>无需处理</v>
      </c>
      <c r="J29" s="6">
        <v>28</v>
      </c>
    </row>
    <row r="30" spans="1:10">
      <c r="A30" s="6" t="s">
        <v>736</v>
      </c>
      <c r="B30" s="6" t="str">
        <f>项目总控台账!A29</f>
        <v>T026</v>
      </c>
      <c r="C30" s="6" t="str">
        <f>IF(AND(项目总控台账!E29&lt;&gt;"",项目总控台账!E29&lt;&gt;"/"),项目总控台账!E29,IF(AND(项目总控台账!D29&lt;&gt;"",项目总控台账!D29&lt;&gt;"/"),项目总控台账!D29,项目总控台账!C29))</f>
        <v>创建卸船作业委托信息</v>
      </c>
      <c r="D30" s="6" t="str">
        <f>项目总控台账!H29</f>
        <v>郑士旺</v>
      </c>
      <c r="E30" s="17">
        <f>项目总控台账!I29</f>
        <v>46230</v>
      </c>
      <c r="F30" s="17">
        <f>项目总控台账!J29</f>
        <v>46261</v>
      </c>
      <c r="G30" s="6" t="str">
        <f>IF(B30="","",IF(OR(C30="",C30="/"),"缺少任务名称；","")&amp;IF(OR(D30="",D30="/"),"缺少有效主责人；","")&amp;IF(OR(E30="",E30&lt;DATE(2000,1,1)),"缺少有效计划开始；","")&amp;IF(OR(F30="",F30&lt;DATE(2000,1,1)),"缺少有效计划完成；","")&amp;IF(项目总控台账!G29="","缺少总体状态；","")&amp;IF(AND(ISNUMBER(E30),ISNUMBER(F30),E30&gt;=DATE(2000,1,1),F30&gt;=DATE(2000,1,1),E30&gt;F30),"开始晚于完成；","")&amp;IF(AND(项目总控台账!G29="已完成",项目总控台账!AB29&lt;1),"已完成但进度不足100%；",""))</f>
        <v/>
      </c>
      <c r="H30" s="6" t="str">
        <f t="shared" si="0"/>
        <v>通过</v>
      </c>
      <c r="I30" s="6" t="str">
        <f t="shared" si="1"/>
        <v>无需处理</v>
      </c>
      <c r="J30" s="6">
        <v>29</v>
      </c>
    </row>
    <row r="31" spans="1:10">
      <c r="A31" s="6" t="s">
        <v>736</v>
      </c>
      <c r="B31" s="6" t="str">
        <f>项目总控台账!A30</f>
        <v>T027</v>
      </c>
      <c r="C31" s="6" t="str">
        <f>IF(AND(项目总控台账!E30&lt;&gt;"",项目总控台账!E30&lt;&gt;"/"),项目总控台账!E30,IF(AND(项目总控台账!D30&lt;&gt;"",项目总控台账!D30&lt;&gt;"/"),项目总控台账!D30,项目总控台账!C30))</f>
        <v>修改卸船作业委托信息</v>
      </c>
      <c r="D31" s="6" t="str">
        <f>项目总控台账!H30</f>
        <v>郑士旺</v>
      </c>
      <c r="E31" s="17">
        <f>项目总控台账!I30</f>
        <v>46230</v>
      </c>
      <c r="F31" s="17">
        <f>项目总控台账!J30</f>
        <v>46261</v>
      </c>
      <c r="G31" s="6" t="str">
        <f>IF(B31="","",IF(OR(C31="",C31="/"),"缺少任务名称；","")&amp;IF(OR(D31="",D31="/"),"缺少有效主责人；","")&amp;IF(OR(E31="",E31&lt;DATE(2000,1,1)),"缺少有效计划开始；","")&amp;IF(OR(F31="",F31&lt;DATE(2000,1,1)),"缺少有效计划完成；","")&amp;IF(项目总控台账!G30="","缺少总体状态；","")&amp;IF(AND(ISNUMBER(E31),ISNUMBER(F31),E31&gt;=DATE(2000,1,1),F31&gt;=DATE(2000,1,1),E31&gt;F31),"开始晚于完成；","")&amp;IF(AND(项目总控台账!G30="已完成",项目总控台账!AB30&lt;1),"已完成但进度不足100%；",""))</f>
        <v/>
      </c>
      <c r="H31" s="6" t="str">
        <f t="shared" si="0"/>
        <v>通过</v>
      </c>
      <c r="I31" s="6" t="str">
        <f t="shared" si="1"/>
        <v>无需处理</v>
      </c>
      <c r="J31" s="6">
        <v>30</v>
      </c>
    </row>
    <row r="32" spans="1:10">
      <c r="A32" s="6" t="s">
        <v>736</v>
      </c>
      <c r="B32" s="6" t="str">
        <f>项目总控台账!A31</f>
        <v>T028</v>
      </c>
      <c r="C32" s="6" t="str">
        <f>IF(AND(项目总控台账!E31&lt;&gt;"",项目总控台账!E31&lt;&gt;"/"),项目总控台账!E31,IF(AND(项目总控台账!D31&lt;&gt;"",项目总控台账!D31&lt;&gt;"/"),项目总控台账!D31,项目总控台账!C31))</f>
        <v>作废卸船作业委托信息</v>
      </c>
      <c r="D32" s="6" t="str">
        <f>项目总控台账!H31</f>
        <v>郑士旺</v>
      </c>
      <c r="E32" s="17">
        <f>项目总控台账!I31</f>
        <v>46230</v>
      </c>
      <c r="F32" s="17">
        <f>项目总控台账!J31</f>
        <v>46261</v>
      </c>
      <c r="G32" s="6" t="str">
        <f>IF(B32="","",IF(OR(C32="",C32="/"),"缺少任务名称；","")&amp;IF(OR(D32="",D32="/"),"缺少有效主责人；","")&amp;IF(OR(E32="",E32&lt;DATE(2000,1,1)),"缺少有效计划开始；","")&amp;IF(OR(F32="",F32&lt;DATE(2000,1,1)),"缺少有效计划完成；","")&amp;IF(项目总控台账!G31="","缺少总体状态；","")&amp;IF(AND(ISNUMBER(E32),ISNUMBER(F32),E32&gt;=DATE(2000,1,1),F32&gt;=DATE(2000,1,1),E32&gt;F32),"开始晚于完成；","")&amp;IF(AND(项目总控台账!G31="已完成",项目总控台账!AB31&lt;1),"已完成但进度不足100%；",""))</f>
        <v/>
      </c>
      <c r="H32" s="6" t="str">
        <f t="shared" si="0"/>
        <v>通过</v>
      </c>
      <c r="I32" s="6" t="str">
        <f t="shared" si="1"/>
        <v>无需处理</v>
      </c>
      <c r="J32" s="6">
        <v>31</v>
      </c>
    </row>
    <row r="33" spans="1:10">
      <c r="A33" s="6" t="s">
        <v>736</v>
      </c>
      <c r="B33" s="6" t="str">
        <f>项目总控台账!A32</f>
        <v>T029</v>
      </c>
      <c r="C33" s="6" t="str">
        <f>IF(AND(项目总控台账!E32&lt;&gt;"",项目总控台账!E32&lt;&gt;"/"),项目总控台账!E32,IF(AND(项目总控台账!D32&lt;&gt;"",项目总控台账!D32&lt;&gt;"/"),项目总控台账!D32,项目总控台账!C32))</f>
        <v>推送卸船作业委托信息</v>
      </c>
      <c r="D33" s="6" t="str">
        <f>项目总控台账!H32</f>
        <v>郑士旺</v>
      </c>
      <c r="E33" s="17">
        <f>项目总控台账!I32</f>
        <v>46230</v>
      </c>
      <c r="F33" s="17">
        <f>项目总控台账!J32</f>
        <v>46261</v>
      </c>
      <c r="G33" s="6" t="str">
        <f>IF(B33="","",IF(OR(C33="",C33="/"),"缺少任务名称；","")&amp;IF(OR(D33="",D33="/"),"缺少有效主责人；","")&amp;IF(OR(E33="",E33&lt;DATE(2000,1,1)),"缺少有效计划开始；","")&amp;IF(OR(F33="",F33&lt;DATE(2000,1,1)),"缺少有效计划完成；","")&amp;IF(项目总控台账!G32="","缺少总体状态；","")&amp;IF(AND(ISNUMBER(E33),ISNUMBER(F33),E33&gt;=DATE(2000,1,1),F33&gt;=DATE(2000,1,1),E33&gt;F33),"开始晚于完成；","")&amp;IF(AND(项目总控台账!G32="已完成",项目总控台账!AB32&lt;1),"已完成但进度不足100%；",""))</f>
        <v/>
      </c>
      <c r="H33" s="6" t="str">
        <f t="shared" si="0"/>
        <v>通过</v>
      </c>
      <c r="I33" s="6" t="str">
        <f t="shared" si="1"/>
        <v>无需处理</v>
      </c>
      <c r="J33" s="6">
        <v>32</v>
      </c>
    </row>
    <row r="34" spans="1:10">
      <c r="A34" s="6" t="s">
        <v>736</v>
      </c>
      <c r="B34" s="6" t="str">
        <f>项目总控台账!A33</f>
        <v>T030</v>
      </c>
      <c r="C34" s="6" t="str">
        <f>IF(AND(项目总控台账!E33&lt;&gt;"",项目总控台账!E33&lt;&gt;"/"),项目总控台账!E33,IF(AND(项目总控台账!D33&lt;&gt;"",项目总控台账!D33&lt;&gt;"/"),项目总控台账!D33,项目总控台账!C33))</f>
        <v>查询卸船作业委托信息</v>
      </c>
      <c r="D34" s="6" t="str">
        <f>项目总控台账!H33</f>
        <v>郑士旺</v>
      </c>
      <c r="E34" s="17">
        <f>项目总控台账!I33</f>
        <v>46230</v>
      </c>
      <c r="F34" s="17">
        <f>项目总控台账!J33</f>
        <v>46261</v>
      </c>
      <c r="G34" s="6" t="str">
        <f>IF(B34="","",IF(OR(C34="",C34="/"),"缺少任务名称；","")&amp;IF(OR(D34="",D34="/"),"缺少有效主责人；","")&amp;IF(OR(E34="",E34&lt;DATE(2000,1,1)),"缺少有效计划开始；","")&amp;IF(OR(F34="",F34&lt;DATE(2000,1,1)),"缺少有效计划完成；","")&amp;IF(项目总控台账!G33="","缺少总体状态；","")&amp;IF(AND(ISNUMBER(E34),ISNUMBER(F34),E34&gt;=DATE(2000,1,1),F34&gt;=DATE(2000,1,1),E34&gt;F34),"开始晚于完成；","")&amp;IF(AND(项目总控台账!G33="已完成",项目总控台账!AB33&lt;1),"已完成但进度不足100%；",""))</f>
        <v/>
      </c>
      <c r="H34" s="6" t="str">
        <f t="shared" si="0"/>
        <v>通过</v>
      </c>
      <c r="I34" s="6" t="str">
        <f t="shared" si="1"/>
        <v>无需处理</v>
      </c>
      <c r="J34" s="6">
        <v>33</v>
      </c>
    </row>
    <row r="35" spans="1:10">
      <c r="A35" s="6" t="s">
        <v>736</v>
      </c>
      <c r="B35" s="6" t="str">
        <f>项目总控台账!A34</f>
        <v>T031</v>
      </c>
      <c r="C35" s="6" t="str">
        <f>IF(AND(项目总控台账!E34&lt;&gt;"",项目总控台账!E34&lt;&gt;"/"),项目总控台账!E34,IF(AND(项目总控台账!D34&lt;&gt;"",项目总控台账!D34&lt;&gt;"/"),项目总控台账!D34,项目总控台账!C34))</f>
        <v>创建外轮转内贸业务信息</v>
      </c>
      <c r="D35" s="6" t="str">
        <f>项目总控台账!H34</f>
        <v>郑士旺</v>
      </c>
      <c r="E35" s="17">
        <f>项目总控台账!I34</f>
        <v>46230</v>
      </c>
      <c r="F35" s="17">
        <f>项目总控台账!J34</f>
        <v>46353</v>
      </c>
      <c r="G35" s="6" t="str">
        <f>IF(B35="","",IF(OR(C35="",C35="/"),"缺少任务名称；","")&amp;IF(OR(D35="",D35="/"),"缺少有效主责人；","")&amp;IF(OR(E35="",E35&lt;DATE(2000,1,1)),"缺少有效计划开始；","")&amp;IF(OR(F35="",F35&lt;DATE(2000,1,1)),"缺少有效计划完成；","")&amp;IF(项目总控台账!G34="","缺少总体状态；","")&amp;IF(AND(ISNUMBER(E35),ISNUMBER(F35),E35&gt;=DATE(2000,1,1),F35&gt;=DATE(2000,1,1),E35&gt;F35),"开始晚于完成；","")&amp;IF(AND(项目总控台账!G34="已完成",项目总控台账!AB34&lt;1),"已完成但进度不足100%；",""))</f>
        <v/>
      </c>
      <c r="H35" s="6" t="str">
        <f t="shared" si="0"/>
        <v>通过</v>
      </c>
      <c r="I35" s="6" t="str">
        <f t="shared" si="1"/>
        <v>无需处理</v>
      </c>
      <c r="J35" s="6">
        <v>34</v>
      </c>
    </row>
    <row r="36" spans="1:10">
      <c r="A36" s="6" t="s">
        <v>736</v>
      </c>
      <c r="B36" s="6" t="str">
        <f>项目总控台账!A35</f>
        <v>T032</v>
      </c>
      <c r="C36" s="6" t="str">
        <f>IF(AND(项目总控台账!E35&lt;&gt;"",项目总控台账!E35&lt;&gt;"/"),项目总控台账!E35,IF(AND(项目总控台账!D35&lt;&gt;"",项目总控台账!D35&lt;&gt;"/"),项目总控台账!D35,项目总控台账!C35))</f>
        <v>作废外轮转内贸业务信息</v>
      </c>
      <c r="D36" s="6" t="str">
        <f>项目总控台账!H35</f>
        <v>郑士旺</v>
      </c>
      <c r="E36" s="17">
        <f>项目总控台账!I35</f>
        <v>46230</v>
      </c>
      <c r="F36" s="17">
        <f>项目总控台账!J35</f>
        <v>46353</v>
      </c>
      <c r="G36" s="6" t="str">
        <f>IF(B36="","",IF(OR(C36="",C36="/"),"缺少任务名称；","")&amp;IF(OR(D36="",D36="/"),"缺少有效主责人；","")&amp;IF(OR(E36="",E36&lt;DATE(2000,1,1)),"缺少有效计划开始；","")&amp;IF(OR(F36="",F36&lt;DATE(2000,1,1)),"缺少有效计划完成；","")&amp;IF(项目总控台账!G35="","缺少总体状态；","")&amp;IF(AND(ISNUMBER(E36),ISNUMBER(F36),E36&gt;=DATE(2000,1,1),F36&gt;=DATE(2000,1,1),E36&gt;F36),"开始晚于完成；","")&amp;IF(AND(项目总控台账!G35="已完成",项目总控台账!AB35&lt;1),"已完成但进度不足100%；",""))</f>
        <v/>
      </c>
      <c r="H36" s="6" t="str">
        <f t="shared" si="0"/>
        <v>通过</v>
      </c>
      <c r="I36" s="6" t="str">
        <f t="shared" si="1"/>
        <v>无需处理</v>
      </c>
      <c r="J36" s="6">
        <v>35</v>
      </c>
    </row>
    <row r="37" spans="1:10">
      <c r="A37" s="6" t="s">
        <v>736</v>
      </c>
      <c r="B37" s="6" t="str">
        <f>项目总控台账!A36</f>
        <v>T033</v>
      </c>
      <c r="C37" s="6" t="str">
        <f>IF(AND(项目总控台账!E36&lt;&gt;"",项目总控台账!E36&lt;&gt;"/"),项目总控台账!E36,IF(AND(项目总控台账!D36&lt;&gt;"",项目总控台账!D36&lt;&gt;"/"),项目总控台账!D36,项目总控台账!C36))</f>
        <v>查询外轮转内贸业务信息</v>
      </c>
      <c r="D37" s="6" t="str">
        <f>项目总控台账!H36</f>
        <v>郑士旺</v>
      </c>
      <c r="E37" s="17">
        <f>项目总控台账!I36</f>
        <v>46230</v>
      </c>
      <c r="F37" s="17">
        <f>项目总控台账!J36</f>
        <v>46353</v>
      </c>
      <c r="G37" s="6" t="str">
        <f>IF(B37="","",IF(OR(C37="",C37="/"),"缺少任务名称；","")&amp;IF(OR(D37="",D37="/"),"缺少有效主责人；","")&amp;IF(OR(E37="",E37&lt;DATE(2000,1,1)),"缺少有效计划开始；","")&amp;IF(OR(F37="",F37&lt;DATE(2000,1,1)),"缺少有效计划完成；","")&amp;IF(项目总控台账!G36="","缺少总体状态；","")&amp;IF(AND(ISNUMBER(E37),ISNUMBER(F37),E37&gt;=DATE(2000,1,1),F37&gt;=DATE(2000,1,1),E37&gt;F37),"开始晚于完成；","")&amp;IF(AND(项目总控台账!G36="已完成",项目总控台账!AB36&lt;1),"已完成但进度不足100%；",""))</f>
        <v/>
      </c>
      <c r="H37" s="6" t="str">
        <f t="shared" si="0"/>
        <v>通过</v>
      </c>
      <c r="I37" s="6" t="str">
        <f t="shared" si="1"/>
        <v>无需处理</v>
      </c>
      <c r="J37" s="6">
        <v>36</v>
      </c>
    </row>
    <row r="38" spans="1:10">
      <c r="A38" s="6" t="s">
        <v>736</v>
      </c>
      <c r="B38" s="6" t="str">
        <f>项目总控台账!A37</f>
        <v>T034</v>
      </c>
      <c r="C38" s="6" t="str">
        <f>IF(AND(项目总控台账!E37&lt;&gt;"",项目总控台账!E37&lt;&gt;"/"),项目总控台账!E37,IF(AND(项目总控台账!D37&lt;&gt;"",项目总控台账!D37&lt;&gt;"/"),项目总控台账!D37,项目总控台账!C37))</f>
        <v>新增船舶靠泊通知单</v>
      </c>
      <c r="D38" s="6" t="str">
        <f>项目总控台账!H37</f>
        <v>郑士旺</v>
      </c>
      <c r="E38" s="17">
        <f>项目总控台账!I37</f>
        <v>46230</v>
      </c>
      <c r="F38" s="17">
        <f>项目总控台账!J37</f>
        <v>46353</v>
      </c>
      <c r="G38" s="6" t="str">
        <f>IF(B38="","",IF(OR(C38="",C38="/"),"缺少任务名称；","")&amp;IF(OR(D38="",D38="/"),"缺少有效主责人；","")&amp;IF(OR(E38="",E38&lt;DATE(2000,1,1)),"缺少有效计划开始；","")&amp;IF(OR(F38="",F38&lt;DATE(2000,1,1)),"缺少有效计划完成；","")&amp;IF(项目总控台账!G37="","缺少总体状态；","")&amp;IF(AND(ISNUMBER(E38),ISNUMBER(F38),E38&gt;=DATE(2000,1,1),F38&gt;=DATE(2000,1,1),E38&gt;F38),"开始晚于完成；","")&amp;IF(AND(项目总控台账!G37="已完成",项目总控台账!AB37&lt;1),"已完成但进度不足100%；",""))</f>
        <v/>
      </c>
      <c r="H38" s="6" t="str">
        <f t="shared" si="0"/>
        <v>通过</v>
      </c>
      <c r="I38" s="6" t="str">
        <f t="shared" si="1"/>
        <v>无需处理</v>
      </c>
      <c r="J38" s="6">
        <v>37</v>
      </c>
    </row>
    <row r="39" spans="1:10">
      <c r="A39" s="6" t="s">
        <v>736</v>
      </c>
      <c r="B39" s="6" t="str">
        <f>项目总控台账!A38</f>
        <v>T035</v>
      </c>
      <c r="C39" s="6" t="str">
        <f>IF(AND(项目总控台账!E38&lt;&gt;"",项目总控台账!E38&lt;&gt;"/"),项目总控台账!E38,IF(AND(项目总控台账!D38&lt;&gt;"",项目总控台账!D38&lt;&gt;"/"),项目总控台账!D38,项目总控台账!C38))</f>
        <v>审批船舶靠泊通知单</v>
      </c>
      <c r="D39" s="6" t="str">
        <f>项目总控台账!H38</f>
        <v>郑士旺</v>
      </c>
      <c r="E39" s="17">
        <f>项目总控台账!I38</f>
        <v>46230</v>
      </c>
      <c r="F39" s="17">
        <f>项目总控台账!J38</f>
        <v>46353</v>
      </c>
      <c r="G39" s="6" t="str">
        <f>IF(B39="","",IF(OR(C39="",C39="/"),"缺少任务名称；","")&amp;IF(OR(D39="",D39="/"),"缺少有效主责人；","")&amp;IF(OR(E39="",E39&lt;DATE(2000,1,1)),"缺少有效计划开始；","")&amp;IF(OR(F39="",F39&lt;DATE(2000,1,1)),"缺少有效计划完成；","")&amp;IF(项目总控台账!G38="","缺少总体状态；","")&amp;IF(AND(ISNUMBER(E39),ISNUMBER(F39),E39&gt;=DATE(2000,1,1),F39&gt;=DATE(2000,1,1),E39&gt;F39),"开始晚于完成；","")&amp;IF(AND(项目总控台账!G38="已完成",项目总控台账!AB38&lt;1),"已完成但进度不足100%；",""))</f>
        <v/>
      </c>
      <c r="H39" s="6" t="str">
        <f t="shared" si="0"/>
        <v>通过</v>
      </c>
      <c r="I39" s="6" t="str">
        <f t="shared" si="1"/>
        <v>无需处理</v>
      </c>
      <c r="J39" s="6">
        <v>38</v>
      </c>
    </row>
    <row r="40" spans="1:10">
      <c r="A40" s="6" t="s">
        <v>736</v>
      </c>
      <c r="B40" s="6" t="str">
        <f>项目总控台账!A39</f>
        <v>T036</v>
      </c>
      <c r="C40" s="6" t="str">
        <f>IF(AND(项目总控台账!E39&lt;&gt;"",项目总控台账!E39&lt;&gt;"/"),项目总控台账!E39,IF(AND(项目总控台账!D39&lt;&gt;"",项目总控台账!D39&lt;&gt;"/"),项目总控台账!D39,项目总控台账!C39))</f>
        <v>查询船舶靠泊通知单</v>
      </c>
      <c r="D40" s="6" t="str">
        <f>项目总控台账!H39</f>
        <v>郑士旺</v>
      </c>
      <c r="E40" s="17">
        <f>项目总控台账!I39</f>
        <v>46230</v>
      </c>
      <c r="F40" s="17">
        <f>项目总控台账!J39</f>
        <v>46353</v>
      </c>
      <c r="G40" s="6" t="str">
        <f>IF(B40="","",IF(OR(C40="",C40="/"),"缺少任务名称；","")&amp;IF(OR(D40="",D40="/"),"缺少有效主责人；","")&amp;IF(OR(E40="",E40&lt;DATE(2000,1,1)),"缺少有效计划开始；","")&amp;IF(OR(F40="",F40&lt;DATE(2000,1,1)),"缺少有效计划完成；","")&amp;IF(项目总控台账!G39="","缺少总体状态；","")&amp;IF(AND(ISNUMBER(E40),ISNUMBER(F40),E40&gt;=DATE(2000,1,1),F40&gt;=DATE(2000,1,1),E40&gt;F40),"开始晚于完成；","")&amp;IF(AND(项目总控台账!G39="已完成",项目总控台账!AB39&lt;1),"已完成但进度不足100%；",""))</f>
        <v/>
      </c>
      <c r="H40" s="6" t="str">
        <f t="shared" si="0"/>
        <v>通过</v>
      </c>
      <c r="I40" s="6" t="str">
        <f t="shared" si="1"/>
        <v>无需处理</v>
      </c>
      <c r="J40" s="6">
        <v>39</v>
      </c>
    </row>
    <row r="41" spans="1:10">
      <c r="A41" s="6" t="s">
        <v>736</v>
      </c>
      <c r="B41" s="6" t="str">
        <f>项目总控台账!A40</f>
        <v>T037</v>
      </c>
      <c r="C41" s="6" t="str">
        <f>IF(AND(项目总控台账!E40&lt;&gt;"",项目总控台账!E40&lt;&gt;"/"),项目总控台账!E40,IF(AND(项目总控台账!D40&lt;&gt;"",项目总控台账!D40&lt;&gt;"/"),项目总控台账!D40,项目总控台账!C40))</f>
        <v>创建卸车流程</v>
      </c>
      <c r="D41" s="6" t="str">
        <f>项目总控台账!H40</f>
        <v>郑士旺</v>
      </c>
      <c r="E41" s="17">
        <f>项目总控台账!I40</f>
        <v>46209</v>
      </c>
      <c r="F41" s="17">
        <f>项目总控台账!J40</f>
        <v>46261</v>
      </c>
      <c r="G41" s="6" t="str">
        <f>IF(B41="","",IF(OR(C41="",C41="/"),"缺少任务名称；","")&amp;IF(OR(D41="",D41="/"),"缺少有效主责人；","")&amp;IF(OR(E41="",E41&lt;DATE(2000,1,1)),"缺少有效计划开始；","")&amp;IF(OR(F41="",F41&lt;DATE(2000,1,1)),"缺少有效计划完成；","")&amp;IF(项目总控台账!G40="","缺少总体状态；","")&amp;IF(AND(ISNUMBER(E41),ISNUMBER(F41),E41&gt;=DATE(2000,1,1),F41&gt;=DATE(2000,1,1),E41&gt;F41),"开始晚于完成；","")&amp;IF(AND(项目总控台账!G40="已完成",项目总控台账!AB40&lt;1),"已完成但进度不足100%；",""))</f>
        <v/>
      </c>
      <c r="H41" s="6" t="str">
        <f t="shared" si="0"/>
        <v>通过</v>
      </c>
      <c r="I41" s="6" t="str">
        <f t="shared" si="1"/>
        <v>无需处理</v>
      </c>
      <c r="J41" s="6">
        <v>40</v>
      </c>
    </row>
    <row r="42" spans="1:10">
      <c r="A42" s="6" t="s">
        <v>736</v>
      </c>
      <c r="B42" s="6" t="str">
        <f>项目总控台账!A41</f>
        <v>T038</v>
      </c>
      <c r="C42" s="6" t="str">
        <f>IF(AND(项目总控台账!E41&lt;&gt;"",项目总控台账!E41&lt;&gt;"/"),项目总控台账!E41,IF(AND(项目总控台账!D41&lt;&gt;"",项目总控台账!D41&lt;&gt;"/"),项目总控台账!D41,项目总控台账!C41))</f>
        <v>查询卸车流程</v>
      </c>
      <c r="D42" s="6" t="str">
        <f>项目总控台账!H41</f>
        <v>郑士旺</v>
      </c>
      <c r="E42" s="17">
        <f>项目总控台账!I41</f>
        <v>46209</v>
      </c>
      <c r="F42" s="17">
        <f>项目总控台账!J41</f>
        <v>46261</v>
      </c>
      <c r="G42" s="6" t="str">
        <f>IF(B42="","",IF(OR(C42="",C42="/"),"缺少任务名称；","")&amp;IF(OR(D42="",D42="/"),"缺少有效主责人；","")&amp;IF(OR(E42="",E42&lt;DATE(2000,1,1)),"缺少有效计划开始；","")&amp;IF(OR(F42="",F42&lt;DATE(2000,1,1)),"缺少有效计划完成；","")&amp;IF(项目总控台账!G41="","缺少总体状态；","")&amp;IF(AND(ISNUMBER(E42),ISNUMBER(F42),E42&gt;=DATE(2000,1,1),F42&gt;=DATE(2000,1,1),E42&gt;F42),"开始晚于完成；","")&amp;IF(AND(项目总控台账!G41="已完成",项目总控台账!AB41&lt;1),"已完成但进度不足100%；",""))</f>
        <v/>
      </c>
      <c r="H42" s="6" t="str">
        <f t="shared" si="0"/>
        <v>通过</v>
      </c>
      <c r="I42" s="6" t="str">
        <f t="shared" si="1"/>
        <v>无需处理</v>
      </c>
      <c r="J42" s="6">
        <v>41</v>
      </c>
    </row>
    <row r="43" spans="1:10">
      <c r="A43" s="6" t="s">
        <v>736</v>
      </c>
      <c r="B43" s="6" t="str">
        <f>项目总控台账!A42</f>
        <v>T039</v>
      </c>
      <c r="C43" s="6" t="str">
        <f>IF(AND(项目总控台账!E42&lt;&gt;"",项目总控台账!E42&lt;&gt;"/"),项目总控台账!E42,IF(AND(项目总控台账!D42&lt;&gt;"",项目总控台账!D42&lt;&gt;"/"),项目总控台账!D42,项目总控台账!C42))</f>
        <v>修改卸车流程</v>
      </c>
      <c r="D43" s="6" t="str">
        <f>项目总控台账!H42</f>
        <v>郑士旺</v>
      </c>
      <c r="E43" s="17">
        <f>项目总控台账!I42</f>
        <v>46209</v>
      </c>
      <c r="F43" s="17">
        <f>项目总控台账!J42</f>
        <v>46261</v>
      </c>
      <c r="G43" s="6" t="str">
        <f>IF(B43="","",IF(OR(C43="",C43="/"),"缺少任务名称；","")&amp;IF(OR(D43="",D43="/"),"缺少有效主责人；","")&amp;IF(OR(E43="",E43&lt;DATE(2000,1,1)),"缺少有效计划开始；","")&amp;IF(OR(F43="",F43&lt;DATE(2000,1,1)),"缺少有效计划完成；","")&amp;IF(项目总控台账!G42="","缺少总体状态；","")&amp;IF(AND(ISNUMBER(E43),ISNUMBER(F43),E43&gt;=DATE(2000,1,1),F43&gt;=DATE(2000,1,1),E43&gt;F43),"开始晚于完成；","")&amp;IF(AND(项目总控台账!G42="已完成",项目总控台账!AB42&lt;1),"已完成但进度不足100%；",""))</f>
        <v/>
      </c>
      <c r="H43" s="6" t="str">
        <f t="shared" si="0"/>
        <v>通过</v>
      </c>
      <c r="I43" s="6" t="str">
        <f t="shared" si="1"/>
        <v>无需处理</v>
      </c>
      <c r="J43" s="6">
        <v>42</v>
      </c>
    </row>
    <row r="44" spans="1:10">
      <c r="A44" s="6" t="s">
        <v>736</v>
      </c>
      <c r="B44" s="6" t="str">
        <f>项目总控台账!A43</f>
        <v>T040</v>
      </c>
      <c r="C44" s="6" t="str">
        <f>IF(AND(项目总控台账!E43&lt;&gt;"",项目总控台账!E43&lt;&gt;"/"),项目总控台账!E43,IF(AND(项目总控台账!D43&lt;&gt;"",项目总控台账!D43&lt;&gt;"/"),项目总控台账!D43,项目总控台账!C43))</f>
        <v>创建装船流程</v>
      </c>
      <c r="D44" s="6" t="str">
        <f>项目总控台账!H43</f>
        <v>郑士旺</v>
      </c>
      <c r="E44" s="17">
        <f>项目总控台账!I43</f>
        <v>46209</v>
      </c>
      <c r="F44" s="17">
        <f>项目总控台账!J43</f>
        <v>46261</v>
      </c>
      <c r="G44" s="6" t="str">
        <f>IF(B44="","",IF(OR(C44="",C44="/"),"缺少任务名称；","")&amp;IF(OR(D44="",D44="/"),"缺少有效主责人；","")&amp;IF(OR(E44="",E44&lt;DATE(2000,1,1)),"缺少有效计划开始；","")&amp;IF(OR(F44="",F44&lt;DATE(2000,1,1)),"缺少有效计划完成；","")&amp;IF(项目总控台账!G43="","缺少总体状态；","")&amp;IF(AND(ISNUMBER(E44),ISNUMBER(F44),E44&gt;=DATE(2000,1,1),F44&gt;=DATE(2000,1,1),E44&gt;F44),"开始晚于完成；","")&amp;IF(AND(项目总控台账!G43="已完成",项目总控台账!AB43&lt;1),"已完成但进度不足100%；",""))</f>
        <v/>
      </c>
      <c r="H44" s="6" t="str">
        <f t="shared" si="0"/>
        <v>通过</v>
      </c>
      <c r="I44" s="6" t="str">
        <f t="shared" si="1"/>
        <v>无需处理</v>
      </c>
      <c r="J44" s="6">
        <v>43</v>
      </c>
    </row>
    <row r="45" spans="1:10">
      <c r="A45" s="6" t="s">
        <v>736</v>
      </c>
      <c r="B45" s="6" t="str">
        <f>项目总控台账!A44</f>
        <v>T041</v>
      </c>
      <c r="C45" s="6" t="str">
        <f>IF(AND(项目总控台账!E44&lt;&gt;"",项目总控台账!E44&lt;&gt;"/"),项目总控台账!E44,IF(AND(项目总控台账!D44&lt;&gt;"",项目总控台账!D44&lt;&gt;"/"),项目总控台账!D44,项目总控台账!C44))</f>
        <v>查询装船流程</v>
      </c>
      <c r="D45" s="6" t="str">
        <f>项目总控台账!H44</f>
        <v>郑士旺</v>
      </c>
      <c r="E45" s="17">
        <f>项目总控台账!I44</f>
        <v>46209</v>
      </c>
      <c r="F45" s="17">
        <f>项目总控台账!J44</f>
        <v>46261</v>
      </c>
      <c r="G45" s="6" t="str">
        <f>IF(B45="","",IF(OR(C45="",C45="/"),"缺少任务名称；","")&amp;IF(OR(D45="",D45="/"),"缺少有效主责人；","")&amp;IF(OR(E45="",E45&lt;DATE(2000,1,1)),"缺少有效计划开始；","")&amp;IF(OR(F45="",F45&lt;DATE(2000,1,1)),"缺少有效计划完成；","")&amp;IF(项目总控台账!G44="","缺少总体状态；","")&amp;IF(AND(ISNUMBER(E45),ISNUMBER(F45),E45&gt;=DATE(2000,1,1),F45&gt;=DATE(2000,1,1),E45&gt;F45),"开始晚于完成；","")&amp;IF(AND(项目总控台账!G44="已完成",项目总控台账!AB44&lt;1),"已完成但进度不足100%；",""))</f>
        <v/>
      </c>
      <c r="H45" s="6" t="str">
        <f t="shared" si="0"/>
        <v>通过</v>
      </c>
      <c r="I45" s="6" t="str">
        <f t="shared" si="1"/>
        <v>无需处理</v>
      </c>
      <c r="J45" s="6">
        <v>44</v>
      </c>
    </row>
    <row r="46" spans="1:10">
      <c r="A46" s="6" t="s">
        <v>736</v>
      </c>
      <c r="B46" s="6" t="str">
        <f>项目总控台账!A45</f>
        <v>T042</v>
      </c>
      <c r="C46" s="6" t="str">
        <f>IF(AND(项目总控台账!E45&lt;&gt;"",项目总控台账!E45&lt;&gt;"/"),项目总控台账!E45,IF(AND(项目总控台账!D45&lt;&gt;"",项目总控台账!D45&lt;&gt;"/"),项目总控台账!D45,项目总控台账!C45))</f>
        <v>修改装船流程</v>
      </c>
      <c r="D46" s="6" t="str">
        <f>项目总控台账!H45</f>
        <v>郑士旺</v>
      </c>
      <c r="E46" s="17">
        <f>项目总控台账!I45</f>
        <v>46209</v>
      </c>
      <c r="F46" s="17">
        <f>项目总控台账!J45</f>
        <v>46261</v>
      </c>
      <c r="G46" s="6" t="str">
        <f>IF(B46="","",IF(OR(C46="",C46="/"),"缺少任务名称；","")&amp;IF(OR(D46="",D46="/"),"缺少有效主责人；","")&amp;IF(OR(E46="",E46&lt;DATE(2000,1,1)),"缺少有效计划开始；","")&amp;IF(OR(F46="",F46&lt;DATE(2000,1,1)),"缺少有效计划完成；","")&amp;IF(项目总控台账!G45="","缺少总体状态；","")&amp;IF(AND(ISNUMBER(E46),ISNUMBER(F46),E46&gt;=DATE(2000,1,1),F46&gt;=DATE(2000,1,1),E46&gt;F46),"开始晚于完成；","")&amp;IF(AND(项目总控台账!G45="已完成",项目总控台账!AB45&lt;1),"已完成但进度不足100%；",""))</f>
        <v/>
      </c>
      <c r="H46" s="6" t="str">
        <f t="shared" si="0"/>
        <v>通过</v>
      </c>
      <c r="I46" s="6" t="str">
        <f t="shared" si="1"/>
        <v>无需处理</v>
      </c>
      <c r="J46" s="6">
        <v>45</v>
      </c>
    </row>
    <row r="47" spans="1:10">
      <c r="A47" s="6" t="s">
        <v>736</v>
      </c>
      <c r="B47" s="6" t="str">
        <f>项目总控台账!A46</f>
        <v>T043</v>
      </c>
      <c r="C47" s="6" t="str">
        <f>IF(AND(项目总控台账!E46&lt;&gt;"",项目总控台账!E46&lt;&gt;"/"),项目总控台账!E46,IF(AND(项目总控台账!D46&lt;&gt;"",项目总控台账!D46&lt;&gt;"/"),项目总控台账!D46,项目总控台账!C46))</f>
        <v>创建卸船流程</v>
      </c>
      <c r="D47" s="6" t="str">
        <f>项目总控台账!H46</f>
        <v>郑士旺</v>
      </c>
      <c r="E47" s="17">
        <f>项目总控台账!I46</f>
        <v>46209</v>
      </c>
      <c r="F47" s="17">
        <f>项目总控台账!J46</f>
        <v>46269</v>
      </c>
      <c r="G47" s="6" t="str">
        <f>IF(B47="","",IF(OR(C47="",C47="/"),"缺少任务名称；","")&amp;IF(OR(D47="",D47="/"),"缺少有效主责人；","")&amp;IF(OR(E47="",E47&lt;DATE(2000,1,1)),"缺少有效计划开始；","")&amp;IF(OR(F47="",F47&lt;DATE(2000,1,1)),"缺少有效计划完成；","")&amp;IF(项目总控台账!G46="","缺少总体状态；","")&amp;IF(AND(ISNUMBER(E47),ISNUMBER(F47),E47&gt;=DATE(2000,1,1),F47&gt;=DATE(2000,1,1),E47&gt;F47),"开始晚于完成；","")&amp;IF(AND(项目总控台账!G46="已完成",项目总控台账!AB46&lt;1),"已完成但进度不足100%；",""))</f>
        <v/>
      </c>
      <c r="H47" s="6" t="str">
        <f t="shared" si="0"/>
        <v>通过</v>
      </c>
      <c r="I47" s="6" t="str">
        <f t="shared" si="1"/>
        <v>无需处理</v>
      </c>
      <c r="J47" s="6">
        <v>46</v>
      </c>
    </row>
    <row r="48" spans="1:10">
      <c r="A48" s="6" t="s">
        <v>736</v>
      </c>
      <c r="B48" s="6" t="str">
        <f>项目总控台账!A47</f>
        <v>T044</v>
      </c>
      <c r="C48" s="6" t="str">
        <f>IF(AND(项目总控台账!E47&lt;&gt;"",项目总控台账!E47&lt;&gt;"/"),项目总控台账!E47,IF(AND(项目总控台账!D47&lt;&gt;"",项目总控台账!D47&lt;&gt;"/"),项目总控台账!D47,项目总控台账!C47))</f>
        <v>查询卸船流程</v>
      </c>
      <c r="D48" s="6" t="str">
        <f>项目总控台账!H47</f>
        <v>郑士旺</v>
      </c>
      <c r="E48" s="17">
        <f>项目总控台账!I47</f>
        <v>46209</v>
      </c>
      <c r="F48" s="17">
        <f>项目总控台账!J47</f>
        <v>46269</v>
      </c>
      <c r="G48" s="6" t="str">
        <f>IF(B48="","",IF(OR(C48="",C48="/"),"缺少任务名称；","")&amp;IF(OR(D48="",D48="/"),"缺少有效主责人；","")&amp;IF(OR(E48="",E48&lt;DATE(2000,1,1)),"缺少有效计划开始；","")&amp;IF(OR(F48="",F48&lt;DATE(2000,1,1)),"缺少有效计划完成；","")&amp;IF(项目总控台账!G47="","缺少总体状态；","")&amp;IF(AND(ISNUMBER(E48),ISNUMBER(F48),E48&gt;=DATE(2000,1,1),F48&gt;=DATE(2000,1,1),E48&gt;F48),"开始晚于完成；","")&amp;IF(AND(项目总控台账!G47="已完成",项目总控台账!AB47&lt;1),"已完成但进度不足100%；",""))</f>
        <v/>
      </c>
      <c r="H48" s="6" t="str">
        <f t="shared" si="0"/>
        <v>通过</v>
      </c>
      <c r="I48" s="6" t="str">
        <f t="shared" si="1"/>
        <v>无需处理</v>
      </c>
      <c r="J48" s="6">
        <v>47</v>
      </c>
    </row>
    <row r="49" spans="1:10">
      <c r="A49" s="6" t="s">
        <v>736</v>
      </c>
      <c r="B49" s="6" t="str">
        <f>项目总控台账!A48</f>
        <v>T045</v>
      </c>
      <c r="C49" s="6" t="str">
        <f>IF(AND(项目总控台账!E48&lt;&gt;"",项目总控台账!E48&lt;&gt;"/"),项目总控台账!E48,IF(AND(项目总控台账!D48&lt;&gt;"",项目总控台账!D48&lt;&gt;"/"),项目总控台账!D48,项目总控台账!C48))</f>
        <v>修改卸船流程</v>
      </c>
      <c r="D49" s="6" t="str">
        <f>项目总控台账!H48</f>
        <v>郑士旺</v>
      </c>
      <c r="E49" s="17">
        <f>项目总控台账!I48</f>
        <v>46209</v>
      </c>
      <c r="F49" s="17">
        <f>项目总控台账!J48</f>
        <v>46269</v>
      </c>
      <c r="G49" s="6" t="str">
        <f>IF(B49="","",IF(OR(C49="",C49="/"),"缺少任务名称；","")&amp;IF(OR(D49="",D49="/"),"缺少有效主责人；","")&amp;IF(OR(E49="",E49&lt;DATE(2000,1,1)),"缺少有效计划开始；","")&amp;IF(OR(F49="",F49&lt;DATE(2000,1,1)),"缺少有效计划完成；","")&amp;IF(项目总控台账!G48="","缺少总体状态；","")&amp;IF(AND(ISNUMBER(E49),ISNUMBER(F49),E49&gt;=DATE(2000,1,1),F49&gt;=DATE(2000,1,1),E49&gt;F49),"开始晚于完成；","")&amp;IF(AND(项目总控台账!G48="已完成",项目总控台账!AB48&lt;1),"已完成但进度不足100%；",""))</f>
        <v/>
      </c>
      <c r="H49" s="6" t="str">
        <f t="shared" si="0"/>
        <v>通过</v>
      </c>
      <c r="I49" s="6" t="str">
        <f t="shared" si="1"/>
        <v>无需处理</v>
      </c>
      <c r="J49" s="6">
        <v>48</v>
      </c>
    </row>
    <row r="50" spans="1:10">
      <c r="A50" s="6" t="s">
        <v>736</v>
      </c>
      <c r="B50" s="6" t="str">
        <f>项目总控台账!A49</f>
        <v>T046</v>
      </c>
      <c r="C50" s="6" t="str">
        <f>IF(AND(项目总控台账!E49&lt;&gt;"",项目总控台账!E49&lt;&gt;"/"),项目总控台账!E49,IF(AND(项目总控台账!D49&lt;&gt;"",项目总控台账!D49&lt;&gt;"/"),项目总控台账!D49,项目总控台账!C49))</f>
        <v>新增船舶预到（外贸）</v>
      </c>
      <c r="D50" s="6" t="str">
        <f>项目总控台账!H49</f>
        <v>郑士旺</v>
      </c>
      <c r="E50" s="17">
        <f>项目总控台账!I49</f>
        <v>46230</v>
      </c>
      <c r="F50" s="17">
        <f>项目总控台账!J49</f>
        <v>46353</v>
      </c>
      <c r="G50" s="6" t="str">
        <f>IF(B50="","",IF(OR(C50="",C50="/"),"缺少任务名称；","")&amp;IF(OR(D50="",D50="/"),"缺少有效主责人；","")&amp;IF(OR(E50="",E50&lt;DATE(2000,1,1)),"缺少有效计划开始；","")&amp;IF(OR(F50="",F50&lt;DATE(2000,1,1)),"缺少有效计划完成；","")&amp;IF(项目总控台账!G49="","缺少总体状态；","")&amp;IF(AND(ISNUMBER(E50),ISNUMBER(F50),E50&gt;=DATE(2000,1,1),F50&gt;=DATE(2000,1,1),E50&gt;F50),"开始晚于完成；","")&amp;IF(AND(项目总控台账!G49="已完成",项目总控台账!AB49&lt;1),"已完成但进度不足100%；",""))</f>
        <v/>
      </c>
      <c r="H50" s="6" t="str">
        <f t="shared" si="0"/>
        <v>通过</v>
      </c>
      <c r="I50" s="6" t="str">
        <f t="shared" si="1"/>
        <v>无需处理</v>
      </c>
      <c r="J50" s="6">
        <v>49</v>
      </c>
    </row>
    <row r="51" spans="1:10">
      <c r="A51" s="6" t="s">
        <v>736</v>
      </c>
      <c r="B51" s="6" t="str">
        <f>项目总控台账!A50</f>
        <v>T047</v>
      </c>
      <c r="C51" s="6" t="str">
        <f>IF(AND(项目总控台账!E50&lt;&gt;"",项目总控台账!E50&lt;&gt;"/"),项目总控台账!E50,IF(AND(项目总控台账!D50&lt;&gt;"",项目总控台账!D50&lt;&gt;"/"),项目总控台账!D50,项目总控台账!C50))</f>
        <v>退回船舶预到（外贸）</v>
      </c>
      <c r="D51" s="6" t="str">
        <f>项目总控台账!H50</f>
        <v>郑士旺</v>
      </c>
      <c r="E51" s="17">
        <f>项目总控台账!I50</f>
        <v>46230</v>
      </c>
      <c r="F51" s="17">
        <f>项目总控台账!J50</f>
        <v>46353</v>
      </c>
      <c r="G51" s="6" t="str">
        <f>IF(B51="","",IF(OR(C51="",C51="/"),"缺少任务名称；","")&amp;IF(OR(D51="",D51="/"),"缺少有效主责人；","")&amp;IF(OR(E51="",E51&lt;DATE(2000,1,1)),"缺少有效计划开始；","")&amp;IF(OR(F51="",F51&lt;DATE(2000,1,1)),"缺少有效计划完成；","")&amp;IF(项目总控台账!G50="","缺少总体状态；","")&amp;IF(AND(ISNUMBER(E51),ISNUMBER(F51),E51&gt;=DATE(2000,1,1),F51&gt;=DATE(2000,1,1),E51&gt;F51),"开始晚于完成；","")&amp;IF(AND(项目总控台账!G50="已完成",项目总控台账!AB50&lt;1),"已完成但进度不足100%；",""))</f>
        <v/>
      </c>
      <c r="H51" s="6" t="str">
        <f t="shared" si="0"/>
        <v>通过</v>
      </c>
      <c r="I51" s="6" t="str">
        <f t="shared" si="1"/>
        <v>无需处理</v>
      </c>
      <c r="J51" s="6">
        <v>50</v>
      </c>
    </row>
    <row r="52" spans="1:10">
      <c r="A52" s="6" t="s">
        <v>736</v>
      </c>
      <c r="B52" s="6" t="str">
        <f>项目总控台账!A51</f>
        <v>T048</v>
      </c>
      <c r="C52" s="6" t="str">
        <f>IF(AND(项目总控台账!E51&lt;&gt;"",项目总控台账!E51&lt;&gt;"/"),项目总控台账!E51,IF(AND(项目总控台账!D51&lt;&gt;"",项目总控台账!D51&lt;&gt;"/"),项目总控台账!D51,项目总控台账!C51))</f>
        <v>退回船舶预到（外贸）</v>
      </c>
      <c r="D52" s="6" t="str">
        <f>项目总控台账!H51</f>
        <v>郑士旺</v>
      </c>
      <c r="E52" s="17">
        <f>项目总控台账!I51</f>
        <v>46230</v>
      </c>
      <c r="F52" s="17">
        <f>项目总控台账!J51</f>
        <v>46261</v>
      </c>
      <c r="G52" s="6" t="str">
        <f>IF(B52="","",IF(OR(C52="",C52="/"),"缺少任务名称；","")&amp;IF(OR(D52="",D52="/"),"缺少有效主责人；","")&amp;IF(OR(E52="",E52&lt;DATE(2000,1,1)),"缺少有效计划开始；","")&amp;IF(OR(F52="",F52&lt;DATE(2000,1,1)),"缺少有效计划完成；","")&amp;IF(项目总控台账!G51="","缺少总体状态；","")&amp;IF(AND(ISNUMBER(E52),ISNUMBER(F52),E52&gt;=DATE(2000,1,1),F52&gt;=DATE(2000,1,1),E52&gt;F52),"开始晚于完成；","")&amp;IF(AND(项目总控台账!G51="已完成",项目总控台账!AB51&lt;1),"已完成但进度不足100%；",""))</f>
        <v/>
      </c>
      <c r="H52" s="6" t="str">
        <f t="shared" si="0"/>
        <v>通过</v>
      </c>
      <c r="I52" s="6" t="str">
        <f t="shared" si="1"/>
        <v>无需处理</v>
      </c>
      <c r="J52" s="6">
        <v>51</v>
      </c>
    </row>
    <row r="53" spans="1:10">
      <c r="A53" s="6" t="s">
        <v>736</v>
      </c>
      <c r="B53" s="6" t="str">
        <f>项目总控台账!A52</f>
        <v>T049</v>
      </c>
      <c r="C53" s="6" t="str">
        <f>IF(AND(项目总控台账!E52&lt;&gt;"",项目总控台账!E52&lt;&gt;"/"),项目总控台账!E52,IF(AND(项目总控台账!D52&lt;&gt;"",项目总控台账!D52&lt;&gt;"/"),项目总控台账!D52,项目总控台账!C52))</f>
        <v>申请采样申请（外贸）</v>
      </c>
      <c r="D53" s="6" t="str">
        <f>项目总控台账!H52</f>
        <v>郑士旺</v>
      </c>
      <c r="E53" s="17">
        <f>项目总控台账!I52</f>
        <v>46230</v>
      </c>
      <c r="F53" s="17">
        <f>项目总控台账!J52</f>
        <v>46261</v>
      </c>
      <c r="G53" s="6" t="str">
        <f>IF(B53="","",IF(OR(C53="",C53="/"),"缺少任务名称；","")&amp;IF(OR(D53="",D53="/"),"缺少有效主责人；","")&amp;IF(OR(E53="",E53&lt;DATE(2000,1,1)),"缺少有效计划开始；","")&amp;IF(OR(F53="",F53&lt;DATE(2000,1,1)),"缺少有效计划完成；","")&amp;IF(项目总控台账!G52="","缺少总体状态；","")&amp;IF(AND(ISNUMBER(E53),ISNUMBER(F53),E53&gt;=DATE(2000,1,1),F53&gt;=DATE(2000,1,1),E53&gt;F53),"开始晚于完成；","")&amp;IF(AND(项目总控台账!G52="已完成",项目总控台账!AB52&lt;1),"已完成但进度不足100%；",""))</f>
        <v/>
      </c>
      <c r="H53" s="6" t="str">
        <f t="shared" si="0"/>
        <v>通过</v>
      </c>
      <c r="I53" s="6" t="str">
        <f t="shared" si="1"/>
        <v>无需处理</v>
      </c>
      <c r="J53" s="6">
        <v>52</v>
      </c>
    </row>
    <row r="54" spans="1:10">
      <c r="A54" s="6" t="s">
        <v>736</v>
      </c>
      <c r="B54" s="6" t="str">
        <f>项目总控台账!A53</f>
        <v>T050</v>
      </c>
      <c r="C54" s="6" t="str">
        <f>IF(AND(项目总控台账!E53&lt;&gt;"",项目总控台账!E53&lt;&gt;"/"),项目总控台账!E53,IF(AND(项目总控台账!D53&lt;&gt;"",项目总控台账!D53&lt;&gt;"/"),项目总控台账!D53,项目总控台账!C53))</f>
        <v>维护需跟踪船舶清单</v>
      </c>
      <c r="D54" s="6" t="str">
        <f>项目总控台账!H53</f>
        <v>郑士旺</v>
      </c>
      <c r="E54" s="17">
        <f>项目总控台账!I53</f>
        <v>46202</v>
      </c>
      <c r="F54" s="17">
        <f>项目总控台账!J53</f>
        <v>46234</v>
      </c>
      <c r="G54" s="6" t="str">
        <f>IF(B54="","",IF(OR(C54="",C54="/"),"缺少任务名称；","")&amp;IF(OR(D54="",D54="/"),"缺少有效主责人；","")&amp;IF(OR(E54="",E54&lt;DATE(2000,1,1)),"缺少有效计划开始；","")&amp;IF(OR(F54="",F54&lt;DATE(2000,1,1)),"缺少有效计划完成；","")&amp;IF(项目总控台账!G53="","缺少总体状态；","")&amp;IF(AND(ISNUMBER(E54),ISNUMBER(F54),E54&gt;=DATE(2000,1,1),F54&gt;=DATE(2000,1,1),E54&gt;F54),"开始晚于完成；","")&amp;IF(AND(项目总控台账!G53="已完成",项目总控台账!AB53&lt;1),"已完成但进度不足100%；",""))</f>
        <v/>
      </c>
      <c r="H54" s="6" t="str">
        <f t="shared" si="0"/>
        <v>通过</v>
      </c>
      <c r="I54" s="6" t="str">
        <f t="shared" si="1"/>
        <v>无需处理</v>
      </c>
      <c r="J54" s="6">
        <v>53</v>
      </c>
    </row>
    <row r="55" spans="1:10">
      <c r="A55" s="6" t="s">
        <v>736</v>
      </c>
      <c r="B55" s="6" t="str">
        <f>项目总控台账!A54</f>
        <v>T051</v>
      </c>
      <c r="C55" s="6" t="str">
        <f>IF(AND(项目总控台账!E54&lt;&gt;"",项目总控台账!E54&lt;&gt;"/"),项目总控台账!E54,IF(AND(项目总控台账!D54&lt;&gt;"",项目总控台账!D54&lt;&gt;"/"),项目总控台账!D54,项目总控台账!C54))</f>
        <v>根据船舶清单更新第三方系统推送数据船舶清单</v>
      </c>
      <c r="D55" s="6" t="str">
        <f>项目总控台账!H54</f>
        <v>郑士旺</v>
      </c>
      <c r="E55" s="17">
        <f>项目总控台账!I54</f>
        <v>46202</v>
      </c>
      <c r="F55" s="17">
        <f>项目总控台账!J54</f>
        <v>46261</v>
      </c>
      <c r="G55" s="6" t="str">
        <f>IF(B55="","",IF(OR(C55="",C55="/"),"缺少任务名称；","")&amp;IF(OR(D55="",D55="/"),"缺少有效主责人；","")&amp;IF(OR(E55="",E55&lt;DATE(2000,1,1)),"缺少有效计划开始；","")&amp;IF(OR(F55="",F55&lt;DATE(2000,1,1)),"缺少有效计划完成；","")&amp;IF(项目总控台账!G54="","缺少总体状态；","")&amp;IF(AND(ISNUMBER(E55),ISNUMBER(F55),E55&gt;=DATE(2000,1,1),F55&gt;=DATE(2000,1,1),E55&gt;F55),"开始晚于完成；","")&amp;IF(AND(项目总控台账!G54="已完成",项目总控台账!AB54&lt;1),"已完成但进度不足100%；",""))</f>
        <v/>
      </c>
      <c r="H55" s="6" t="str">
        <f t="shared" si="0"/>
        <v>通过</v>
      </c>
      <c r="I55" s="6" t="str">
        <f t="shared" si="1"/>
        <v>无需处理</v>
      </c>
      <c r="J55" s="6">
        <v>54</v>
      </c>
    </row>
    <row r="56" spans="1:10">
      <c r="A56" s="6" t="s">
        <v>736</v>
      </c>
      <c r="B56" s="6" t="str">
        <f>项目总控台账!A55</f>
        <v>T052</v>
      </c>
      <c r="C56" s="6" t="str">
        <f>IF(AND(项目总控台账!E55&lt;&gt;"",项目总控台账!E55&lt;&gt;"/"),项目总控台账!E55,IF(AND(项目总控台账!D55&lt;&gt;"",项目总控台账!D55&lt;&gt;"/"),项目总控台账!D55,项目总控台账!C55))</f>
        <v>船舶轨迹跟踪</v>
      </c>
      <c r="D56" s="6" t="str">
        <f>项目总控台账!H55</f>
        <v>郑士旺</v>
      </c>
      <c r="E56" s="17">
        <f>项目总控台账!I55</f>
        <v>46202</v>
      </c>
      <c r="F56" s="17">
        <f>项目总控台账!J55</f>
        <v>46261</v>
      </c>
      <c r="G56" s="6" t="str">
        <f>IF(B56="","",IF(OR(C56="",C56="/"),"缺少任务名称；","")&amp;IF(OR(D56="",D56="/"),"缺少有效主责人；","")&amp;IF(OR(E56="",E56&lt;DATE(2000,1,1)),"缺少有效计划开始；","")&amp;IF(OR(F56="",F56&lt;DATE(2000,1,1)),"缺少有效计划完成；","")&amp;IF(项目总控台账!G55="","缺少总体状态；","")&amp;IF(AND(ISNUMBER(E56),ISNUMBER(F56),E56&gt;=DATE(2000,1,1),F56&gt;=DATE(2000,1,1),E56&gt;F56),"开始晚于完成；","")&amp;IF(AND(项目总控台账!G55="已完成",项目总控台账!AB55&lt;1),"已完成但进度不足100%；",""))</f>
        <v/>
      </c>
      <c r="H56" s="6" t="str">
        <f t="shared" si="0"/>
        <v>通过</v>
      </c>
      <c r="I56" s="6" t="str">
        <f t="shared" si="1"/>
        <v>无需处理</v>
      </c>
      <c r="J56" s="6">
        <v>55</v>
      </c>
    </row>
    <row r="57" spans="1:10">
      <c r="A57" s="6" t="s">
        <v>736</v>
      </c>
      <c r="B57" s="6" t="str">
        <f>项目总控台账!A56</f>
        <v>T053</v>
      </c>
      <c r="C57" s="6" t="str">
        <f>IF(AND(项目总控台账!E56&lt;&gt;"",项目总控台账!E56&lt;&gt;"/"),项目总控台账!E56,IF(AND(项目总控台账!D56&lt;&gt;"",项目总控台账!D56&lt;&gt;"/"),项目总控台账!D56,项目总控台账!C56))</f>
        <v>接入港口侧视频监控</v>
      </c>
      <c r="D57" s="6" t="str">
        <f>项目总控台账!H56</f>
        <v>郑士旺</v>
      </c>
      <c r="E57" s="17">
        <f>项目总控台账!I56</f>
        <v>46223</v>
      </c>
      <c r="F57" s="17">
        <f>项目总控台账!J56</f>
        <v>46224</v>
      </c>
      <c r="G57" s="6" t="str">
        <f>IF(B57="","",IF(OR(C57="",C57="/"),"缺少任务名称；","")&amp;IF(OR(D57="",D57="/"),"缺少有效主责人；","")&amp;IF(OR(E57="",E57&lt;DATE(2000,1,1)),"缺少有效计划开始；","")&amp;IF(OR(F57="",F57&lt;DATE(2000,1,1)),"缺少有效计划完成；","")&amp;IF(项目总控台账!G56="","缺少总体状态；","")&amp;IF(AND(ISNUMBER(E57),ISNUMBER(F57),E57&gt;=DATE(2000,1,1),F57&gt;=DATE(2000,1,1),E57&gt;F57),"开始晚于完成；","")&amp;IF(AND(项目总控台账!G56="已完成",项目总控台账!AB56&lt;1),"已完成但进度不足100%；",""))</f>
        <v/>
      </c>
      <c r="H57" s="6" t="str">
        <f t="shared" si="0"/>
        <v>通过</v>
      </c>
      <c r="I57" s="6" t="str">
        <f t="shared" si="1"/>
        <v>无需处理</v>
      </c>
      <c r="J57" s="6">
        <v>56</v>
      </c>
    </row>
    <row r="58" spans="1:10">
      <c r="A58" s="6" t="s">
        <v>736</v>
      </c>
      <c r="B58" s="6" t="str">
        <f>项目总控台账!A57</f>
        <v>T054</v>
      </c>
      <c r="C58" s="6" t="str">
        <f>IF(AND(项目总控台账!E57&lt;&gt;"",项目总控台账!E57&lt;&gt;"/"),项目总控台账!E57,IF(AND(项目总控台账!D57&lt;&gt;"",项目总控台账!D57&lt;&gt;"/"),项目总控台账!D57,项目总控台账!C57))</f>
        <v>视频查看权限申请</v>
      </c>
      <c r="D58" s="6" t="str">
        <f>项目总控台账!H57</f>
        <v>郑士旺</v>
      </c>
      <c r="E58" s="17">
        <f>项目总控台账!I57</f>
        <v>46223</v>
      </c>
      <c r="F58" s="17">
        <f>项目总控台账!J57</f>
        <v>46224</v>
      </c>
      <c r="G58" s="6" t="str">
        <f>IF(B58="","",IF(OR(C58="",C58="/"),"缺少任务名称；","")&amp;IF(OR(D58="",D58="/"),"缺少有效主责人；","")&amp;IF(OR(E58="",E58&lt;DATE(2000,1,1)),"缺少有效计划开始；","")&amp;IF(OR(F58="",F58&lt;DATE(2000,1,1)),"缺少有效计划完成；","")&amp;IF(项目总控台账!G57="","缺少总体状态；","")&amp;IF(AND(ISNUMBER(E58),ISNUMBER(F58),E58&gt;=DATE(2000,1,1),F58&gt;=DATE(2000,1,1),E58&gt;F58),"开始晚于完成；","")&amp;IF(AND(项目总控台账!G57="已完成",项目总控台账!AB57&lt;1),"已完成但进度不足100%；",""))</f>
        <v/>
      </c>
      <c r="H58" s="6" t="str">
        <f t="shared" si="0"/>
        <v>通过</v>
      </c>
      <c r="I58" s="6" t="str">
        <f t="shared" si="1"/>
        <v>无需处理</v>
      </c>
      <c r="J58" s="6">
        <v>57</v>
      </c>
    </row>
    <row r="59" spans="1:10">
      <c r="A59" s="6" t="s">
        <v>736</v>
      </c>
      <c r="B59" s="6" t="str">
        <f>项目总控台账!A58</f>
        <v>T055</v>
      </c>
      <c r="C59" s="6" t="str">
        <f>IF(AND(项目总控台账!E58&lt;&gt;"",项目总控台账!E58&lt;&gt;"/"),项目总控台账!E58,IF(AND(项目总控台账!D58&lt;&gt;"",项目总控台账!D58&lt;&gt;"/"),项目总控台账!D58,项目总控台账!C58))</f>
        <v>视频查看权限审批</v>
      </c>
      <c r="D59" s="6" t="str">
        <f>项目总控台账!H58</f>
        <v>郑士旺</v>
      </c>
      <c r="E59" s="17">
        <f>项目总控台账!I58</f>
        <v>46223</v>
      </c>
      <c r="F59" s="17">
        <f>项目总控台账!J58</f>
        <v>46224</v>
      </c>
      <c r="G59" s="6" t="str">
        <f>IF(B59="","",IF(OR(C59="",C59="/"),"缺少任务名称；","")&amp;IF(OR(D59="",D59="/"),"缺少有效主责人；","")&amp;IF(OR(E59="",E59&lt;DATE(2000,1,1)),"缺少有效计划开始；","")&amp;IF(OR(F59="",F59&lt;DATE(2000,1,1)),"缺少有效计划完成；","")&amp;IF(项目总控台账!G58="","缺少总体状态；","")&amp;IF(AND(ISNUMBER(E59),ISNUMBER(F59),E59&gt;=DATE(2000,1,1),F59&gt;=DATE(2000,1,1),E59&gt;F59),"开始晚于完成；","")&amp;IF(AND(项目总控台账!G58="已完成",项目总控台账!AB58&lt;1),"已完成但进度不足100%；",""))</f>
        <v/>
      </c>
      <c r="H59" s="6" t="str">
        <f t="shared" si="0"/>
        <v>通过</v>
      </c>
      <c r="I59" s="6" t="str">
        <f t="shared" si="1"/>
        <v>无需处理</v>
      </c>
      <c r="J59" s="6">
        <v>58</v>
      </c>
    </row>
    <row r="60" spans="1:10">
      <c r="A60" s="6" t="s">
        <v>736</v>
      </c>
      <c r="B60" s="6" t="str">
        <f>项目总控台账!A59</f>
        <v>T056</v>
      </c>
      <c r="C60" s="6" t="str">
        <f>IF(AND(项目总控台账!E59&lt;&gt;"",项目总控台账!E59&lt;&gt;"/"),项目总控台账!E59,IF(AND(项目总控台账!D59&lt;&gt;"",项目总控台账!D59&lt;&gt;"/"),项目总控台账!D59,项目总控台账!C59))</f>
        <v>视频查看权限有效期控制</v>
      </c>
      <c r="D60" s="6" t="str">
        <f>项目总控台账!H59</f>
        <v>郑士旺</v>
      </c>
      <c r="E60" s="17">
        <f>项目总控台账!I59</f>
        <v>46223</v>
      </c>
      <c r="F60" s="17">
        <f>项目总控台账!J59</f>
        <v>46318</v>
      </c>
      <c r="G60" s="6" t="str">
        <f>IF(B60="","",IF(OR(C60="",C60="/"),"缺少任务名称；","")&amp;IF(OR(D60="",D60="/"),"缺少有效主责人；","")&amp;IF(OR(E60="",E60&lt;DATE(2000,1,1)),"缺少有效计划开始；","")&amp;IF(OR(F60="",F60&lt;DATE(2000,1,1)),"缺少有效计划完成；","")&amp;IF(项目总控台账!G59="","缺少总体状态；","")&amp;IF(AND(ISNUMBER(E60),ISNUMBER(F60),E60&gt;=DATE(2000,1,1),F60&gt;=DATE(2000,1,1),E60&gt;F60),"开始晚于完成；","")&amp;IF(AND(项目总控台账!G59="已完成",项目总控台账!AB59&lt;1),"已完成但进度不足100%；",""))</f>
        <v/>
      </c>
      <c r="H60" s="6" t="str">
        <f t="shared" si="0"/>
        <v>通过</v>
      </c>
      <c r="I60" s="6" t="str">
        <f t="shared" si="1"/>
        <v>无需处理</v>
      </c>
      <c r="J60" s="6">
        <v>59</v>
      </c>
    </row>
    <row r="61" spans="1:10">
      <c r="A61" s="6" t="s">
        <v>736</v>
      </c>
      <c r="B61" s="6" t="str">
        <f>项目总控台账!A60</f>
        <v>T057</v>
      </c>
      <c r="C61" s="6" t="str">
        <f>IF(AND(项目总控台账!E60&lt;&gt;"",项目总控台账!E60&lt;&gt;"/"),项目总控台账!E60,IF(AND(项目总控台账!D60&lt;&gt;"",项目总控台账!D60&lt;&gt;"/"),项目总控台账!D60,项目总控台账!C60))</f>
        <v>外网PC端视频监控查询</v>
      </c>
      <c r="D61" s="6" t="str">
        <f>项目总控台账!H60</f>
        <v>郑士旺</v>
      </c>
      <c r="E61" s="17">
        <f>项目总控台账!I60</f>
        <v>46223</v>
      </c>
      <c r="F61" s="17">
        <f>项目总控台账!J60</f>
        <v>46224</v>
      </c>
      <c r="G61" s="6" t="str">
        <f>IF(B61="","",IF(OR(C61="",C61="/"),"缺少任务名称；","")&amp;IF(OR(D61="",D61="/"),"缺少有效主责人；","")&amp;IF(OR(E61="",E61&lt;DATE(2000,1,1)),"缺少有效计划开始；","")&amp;IF(OR(F61="",F61&lt;DATE(2000,1,1)),"缺少有效计划完成；","")&amp;IF(项目总控台账!G60="","缺少总体状态；","")&amp;IF(AND(ISNUMBER(E61),ISNUMBER(F61),E61&gt;=DATE(2000,1,1),F61&gt;=DATE(2000,1,1),E61&gt;F61),"开始晚于完成；","")&amp;IF(AND(项目总控台账!G60="已完成",项目总控台账!AB60&lt;1),"已完成但进度不足100%；",""))</f>
        <v/>
      </c>
      <c r="H61" s="6" t="str">
        <f t="shared" si="0"/>
        <v>通过</v>
      </c>
      <c r="I61" s="6" t="str">
        <f t="shared" si="1"/>
        <v>无需处理</v>
      </c>
      <c r="J61" s="6">
        <v>60</v>
      </c>
    </row>
    <row r="62" spans="1:10">
      <c r="A62" s="6" t="s">
        <v>736</v>
      </c>
      <c r="B62" s="6" t="str">
        <f>项目总控台账!A61</f>
        <v>T058</v>
      </c>
      <c r="C62" s="6" t="str">
        <f>IF(AND(项目总控台账!E61&lt;&gt;"",项目总控台账!E61&lt;&gt;"/"),项目总控台账!E61,IF(AND(项目总控台账!D61&lt;&gt;"",项目总控台账!D61&lt;&gt;"/"),项目总控台账!D61,项目总控台账!C61))</f>
        <v>OCR识别及编辑</v>
      </c>
      <c r="D62" s="6" t="str">
        <f>项目总控台账!H61</f>
        <v>郑士旺</v>
      </c>
      <c r="E62" s="17">
        <f>项目总控台账!I61</f>
        <v>46195</v>
      </c>
      <c r="F62" s="17">
        <f>项目总控台账!J61</f>
        <v>46224</v>
      </c>
      <c r="G62" s="6" t="str">
        <f>IF(B62="","",IF(OR(C62="",C62="/"),"缺少任务名称；","")&amp;IF(OR(D62="",D62="/"),"缺少有效主责人；","")&amp;IF(OR(E62="",E62&lt;DATE(2000,1,1)),"缺少有效计划开始；","")&amp;IF(OR(F62="",F62&lt;DATE(2000,1,1)),"缺少有效计划完成；","")&amp;IF(项目总控台账!G61="","缺少总体状态；","")&amp;IF(AND(ISNUMBER(E62),ISNUMBER(F62),E62&gt;=DATE(2000,1,1),F62&gt;=DATE(2000,1,1),E62&gt;F62),"开始晚于完成；","")&amp;IF(AND(项目总控台账!G61="已完成",项目总控台账!AB61&lt;1),"已完成但进度不足100%；",""))</f>
        <v/>
      </c>
      <c r="H62" s="6" t="str">
        <f t="shared" si="0"/>
        <v>通过</v>
      </c>
      <c r="I62" s="6" t="str">
        <f t="shared" si="1"/>
        <v>无需处理</v>
      </c>
      <c r="J62" s="6">
        <v>61</v>
      </c>
    </row>
    <row r="63" spans="1:10">
      <c r="A63" s="6" t="s">
        <v>736</v>
      </c>
      <c r="B63" s="6" t="str">
        <f>项目总控台账!A62</f>
        <v>T059</v>
      </c>
      <c r="C63" s="6" t="str">
        <f>IF(AND(项目总控台账!E62&lt;&gt;"",项目总控台账!E62&lt;&gt;"/"),项目总控台账!E62,IF(AND(项目总控台账!D62&lt;&gt;"",项目总控台账!D62&lt;&gt;"/"),项目总控台账!D62,项目总控台账!C62))</f>
        <v>优化新增装车作业信息</v>
      </c>
      <c r="D63" s="6" t="str">
        <f>项目总控台账!H62</f>
        <v>郑士旺</v>
      </c>
      <c r="E63" s="17">
        <f>项目总控台账!I62</f>
        <v>46230</v>
      </c>
      <c r="F63" s="17">
        <f>项目总控台账!J62</f>
        <v>46318</v>
      </c>
      <c r="G63" s="6" t="str">
        <f>IF(B63="","",IF(OR(C63="",C63="/"),"缺少任务名称；","")&amp;IF(OR(D63="",D63="/"),"缺少有效主责人；","")&amp;IF(OR(E63="",E63&lt;DATE(2000,1,1)),"缺少有效计划开始；","")&amp;IF(OR(F63="",F63&lt;DATE(2000,1,1)),"缺少有效计划完成；","")&amp;IF(项目总控台账!G62="","缺少总体状态；","")&amp;IF(AND(ISNUMBER(E63),ISNUMBER(F63),E63&gt;=DATE(2000,1,1),F63&gt;=DATE(2000,1,1),E63&gt;F63),"开始晚于完成；","")&amp;IF(AND(项目总控台账!G62="已完成",项目总控台账!AB62&lt;1),"已完成但进度不足100%；",""))</f>
        <v/>
      </c>
      <c r="H63" s="6" t="str">
        <f t="shared" si="0"/>
        <v>通过</v>
      </c>
      <c r="I63" s="6" t="str">
        <f t="shared" si="1"/>
        <v>无需处理</v>
      </c>
      <c r="J63" s="6">
        <v>62</v>
      </c>
    </row>
    <row r="64" spans="1:10">
      <c r="A64" s="6" t="s">
        <v>736</v>
      </c>
      <c r="B64" s="6" t="str">
        <f>项目总控台账!A63</f>
        <v>T060</v>
      </c>
      <c r="C64" s="6" t="str">
        <f>IF(AND(项目总控台账!E63&lt;&gt;"",项目总控台账!E63&lt;&gt;"/"),项目总控台账!E63,IF(AND(项目总控台账!D63&lt;&gt;"",项目总控台账!D63&lt;&gt;"/"),项目总控台账!D63,项目总控台账!C63))</f>
        <v>货权录入</v>
      </c>
      <c r="D64" s="6" t="str">
        <f>项目总控台账!H63</f>
        <v>郑士旺</v>
      </c>
      <c r="E64" s="17">
        <f>项目总控台账!I63</f>
        <v>46202</v>
      </c>
      <c r="F64" s="17">
        <f>项目总控台账!J63</f>
        <v>46261</v>
      </c>
      <c r="G64" s="6" t="str">
        <f>IF(B64="","",IF(OR(C64="",C64="/"),"缺少任务名称；","")&amp;IF(OR(D64="",D64="/"),"缺少有效主责人；","")&amp;IF(OR(E64="",E64&lt;DATE(2000,1,1)),"缺少有效计划开始；","")&amp;IF(OR(F64="",F64&lt;DATE(2000,1,1)),"缺少有效计划完成；","")&amp;IF(项目总控台账!G63="","缺少总体状态；","")&amp;IF(AND(ISNUMBER(E64),ISNUMBER(F64),E64&gt;=DATE(2000,1,1),F64&gt;=DATE(2000,1,1),E64&gt;F64),"开始晚于完成；","")&amp;IF(AND(项目总控台账!G63="已完成",项目总控台账!AB63&lt;1),"已完成但进度不足100%；",""))</f>
        <v/>
      </c>
      <c r="H64" s="6" t="str">
        <f t="shared" si="0"/>
        <v>通过</v>
      </c>
      <c r="I64" s="6" t="str">
        <f t="shared" si="1"/>
        <v>无需处理</v>
      </c>
      <c r="J64" s="6">
        <v>63</v>
      </c>
    </row>
    <row r="65" spans="1:10">
      <c r="A65" s="6" t="s">
        <v>736</v>
      </c>
      <c r="B65" s="6" t="str">
        <f>项目总控台账!A64</f>
        <v>T061</v>
      </c>
      <c r="C65" s="6" t="str">
        <f>IF(AND(项目总控台账!E64&lt;&gt;"",项目总控台账!E64&lt;&gt;"/"),项目总控台账!E64,IF(AND(项目总控台账!D64&lt;&gt;"",项目总控台账!D64&lt;&gt;"/"),项目总控台账!D64,项目总控台账!C64))</f>
        <v>货权修改</v>
      </c>
      <c r="D65" s="6" t="str">
        <f>项目总控台账!H64</f>
        <v>郑士旺</v>
      </c>
      <c r="E65" s="17">
        <f>项目总控台账!I64</f>
        <v>46202</v>
      </c>
      <c r="F65" s="17">
        <f>项目总控台账!J64</f>
        <v>46261</v>
      </c>
      <c r="G65" s="6" t="str">
        <f>IF(B65="","",IF(OR(C65="",C65="/"),"缺少任务名称；","")&amp;IF(OR(D65="",D65="/"),"缺少有效主责人；","")&amp;IF(OR(E65="",E65&lt;DATE(2000,1,1)),"缺少有效计划开始；","")&amp;IF(OR(F65="",F65&lt;DATE(2000,1,1)),"缺少有效计划完成；","")&amp;IF(项目总控台账!G64="","缺少总体状态；","")&amp;IF(AND(ISNUMBER(E65),ISNUMBER(F65),E65&gt;=DATE(2000,1,1),F65&gt;=DATE(2000,1,1),E65&gt;F65),"开始晚于完成；","")&amp;IF(AND(项目总控台账!G64="已完成",项目总控台账!AB64&lt;1),"已完成但进度不足100%；",""))</f>
        <v/>
      </c>
      <c r="H65" s="6" t="str">
        <f t="shared" si="0"/>
        <v>通过</v>
      </c>
      <c r="I65" s="6" t="str">
        <f t="shared" si="1"/>
        <v>无需处理</v>
      </c>
      <c r="J65" s="6">
        <v>64</v>
      </c>
    </row>
    <row r="66" spans="1:10">
      <c r="A66" s="6" t="s">
        <v>736</v>
      </c>
      <c r="B66" s="6" t="str">
        <f>项目总控台账!A65</f>
        <v>T062</v>
      </c>
      <c r="C66" s="6" t="str">
        <f>IF(AND(项目总控台账!E65&lt;&gt;"",项目总控台账!E65&lt;&gt;"/"),项目总控台账!E65,IF(AND(项目总控台账!D65&lt;&gt;"",项目总控台账!D65&lt;&gt;"/"),项目总控台账!D65,项目总控台账!C65))</f>
        <v>获取查询</v>
      </c>
      <c r="D66" s="6" t="str">
        <f>项目总控台账!H65</f>
        <v>郑士旺</v>
      </c>
      <c r="E66" s="17">
        <f>项目总控台账!I65</f>
        <v>46202</v>
      </c>
      <c r="F66" s="17">
        <f>项目总控台账!J65</f>
        <v>46261</v>
      </c>
      <c r="G66" s="6" t="str">
        <f>IF(B66="","",IF(OR(C66="",C66="/"),"缺少任务名称；","")&amp;IF(OR(D66="",D66="/"),"缺少有效主责人；","")&amp;IF(OR(E66="",E66&lt;DATE(2000,1,1)),"缺少有效计划开始；","")&amp;IF(OR(F66="",F66&lt;DATE(2000,1,1)),"缺少有效计划完成；","")&amp;IF(项目总控台账!G65="","缺少总体状态；","")&amp;IF(AND(ISNUMBER(E66),ISNUMBER(F66),E66&gt;=DATE(2000,1,1),F66&gt;=DATE(2000,1,1),E66&gt;F66),"开始晚于完成；","")&amp;IF(AND(项目总控台账!G65="已完成",项目总控台账!AB65&lt;1),"已完成但进度不足100%；",""))</f>
        <v/>
      </c>
      <c r="H66" s="6" t="str">
        <f t="shared" si="0"/>
        <v>通过</v>
      </c>
      <c r="I66" s="6" t="str">
        <f t="shared" si="1"/>
        <v>无需处理</v>
      </c>
      <c r="J66" s="6">
        <v>65</v>
      </c>
    </row>
    <row r="67" spans="1:10">
      <c r="A67" s="6" t="s">
        <v>736</v>
      </c>
      <c r="B67" s="6" t="str">
        <f>项目总控台账!A66</f>
        <v>T063</v>
      </c>
      <c r="C67" s="6" t="str">
        <f>IF(AND(项目总控台账!E66&lt;&gt;"",项目总控台账!E66&lt;&gt;"/"),项目总控台账!E66,IF(AND(项目总控台账!D66&lt;&gt;"",项目总控台账!D66&lt;&gt;"/"),项目总控台账!D66,项目总控台账!C66))</f>
        <v>卸船作业货权跟踪</v>
      </c>
      <c r="D67" s="6" t="str">
        <f>项目总控台账!H66</f>
        <v>郑士旺</v>
      </c>
      <c r="E67" s="17">
        <f>项目总控台账!I66</f>
        <v>46202</v>
      </c>
      <c r="F67" s="17">
        <f>项目总控台账!J66</f>
        <v>46261</v>
      </c>
      <c r="G67" s="6" t="str">
        <f>IF(B67="","",IF(OR(C67="",C67="/"),"缺少任务名称；","")&amp;IF(OR(D67="",D67="/"),"缺少有效主责人；","")&amp;IF(OR(E67="",E67&lt;DATE(2000,1,1)),"缺少有效计划开始；","")&amp;IF(OR(F67="",F67&lt;DATE(2000,1,1)),"缺少有效计划完成；","")&amp;IF(项目总控台账!G66="","缺少总体状态；","")&amp;IF(AND(ISNUMBER(E67),ISNUMBER(F67),E67&gt;=DATE(2000,1,1),F67&gt;=DATE(2000,1,1),E67&gt;F67),"开始晚于完成；","")&amp;IF(AND(项目总控台账!G66="已完成",项目总控台账!AB66&lt;1),"已完成但进度不足100%；",""))</f>
        <v/>
      </c>
      <c r="H67" s="6" t="str">
        <f t="shared" si="0"/>
        <v>通过</v>
      </c>
      <c r="I67" s="6" t="str">
        <f t="shared" si="1"/>
        <v>无需处理</v>
      </c>
      <c r="J67" s="6">
        <v>66</v>
      </c>
    </row>
    <row r="68" spans="1:10">
      <c r="A68" s="6" t="s">
        <v>736</v>
      </c>
      <c r="B68" s="6" t="str">
        <f>项目总控台账!A67</f>
        <v>T064</v>
      </c>
      <c r="C68" s="6" t="str">
        <f>IF(AND(项目总控台账!E67&lt;&gt;"",项目总控台账!E67&lt;&gt;"/"),项目总控台账!E67,IF(AND(项目总控台账!D67&lt;&gt;"",项目总控台账!D67&lt;&gt;"/"),项目总控台账!D67,项目总控台账!C67))</f>
        <v>卸船作业货权跟踪</v>
      </c>
      <c r="D68" s="6" t="str">
        <f>项目总控台账!H67</f>
        <v>郑士旺</v>
      </c>
      <c r="E68" s="17">
        <f>项目总控台账!I67</f>
        <v>46202</v>
      </c>
      <c r="F68" s="17">
        <f>项目总控台账!J67</f>
        <v>46261</v>
      </c>
      <c r="G68" s="6" t="str">
        <f>IF(B68="","",IF(OR(C68="",C68="/"),"缺少任务名称；","")&amp;IF(OR(D68="",D68="/"),"缺少有效主责人；","")&amp;IF(OR(E68="",E68&lt;DATE(2000,1,1)),"缺少有效计划开始；","")&amp;IF(OR(F68="",F68&lt;DATE(2000,1,1)),"缺少有效计划完成；","")&amp;IF(项目总控台账!G67="","缺少总体状态；","")&amp;IF(AND(ISNUMBER(E68),ISNUMBER(F68),E68&gt;=DATE(2000,1,1),F68&gt;=DATE(2000,1,1),E68&gt;F68),"开始晚于完成；","")&amp;IF(AND(项目总控台账!G67="已完成",项目总控台账!AB67&lt;1),"已完成但进度不足100%；",""))</f>
        <v/>
      </c>
      <c r="H68" s="6" t="str">
        <f t="shared" si="0"/>
        <v>通过</v>
      </c>
      <c r="I68" s="6" t="str">
        <f t="shared" si="1"/>
        <v>无需处理</v>
      </c>
      <c r="J68" s="6">
        <v>67</v>
      </c>
    </row>
    <row r="69" spans="1:10">
      <c r="A69" s="6" t="s">
        <v>736</v>
      </c>
      <c r="B69" s="6" t="str">
        <f>项目总控台账!A68</f>
        <v>T065</v>
      </c>
      <c r="C69" s="6" t="str">
        <f>IF(AND(项目总控台账!E68&lt;&gt;"",项目总控台账!E68&lt;&gt;"/"),项目总控台账!E68,IF(AND(项目总控台账!D68&lt;&gt;"",项目总控台账!D68&lt;&gt;"/"),项目总控台账!D68,项目总控台账!C68))</f>
        <v>装船作业货权跟踪</v>
      </c>
      <c r="D69" s="6" t="str">
        <f>项目总控台账!H68</f>
        <v>郑士旺</v>
      </c>
      <c r="E69" s="17">
        <f>项目总控台账!I68</f>
        <v>46202</v>
      </c>
      <c r="F69" s="17">
        <f>项目总控台账!J68</f>
        <v>46261</v>
      </c>
      <c r="G69" s="6" t="str">
        <f>IF(B69="","",IF(OR(C69="",C69="/"),"缺少任务名称；","")&amp;IF(OR(D69="",D69="/"),"缺少有效主责人；","")&amp;IF(OR(E69="",E69&lt;DATE(2000,1,1)),"缺少有效计划开始；","")&amp;IF(OR(F69="",F69&lt;DATE(2000,1,1)),"缺少有效计划完成；","")&amp;IF(项目总控台账!G68="","缺少总体状态；","")&amp;IF(AND(ISNUMBER(E69),ISNUMBER(F69),E69&gt;=DATE(2000,1,1),F69&gt;=DATE(2000,1,1),E69&gt;F69),"开始晚于完成；","")&amp;IF(AND(项目总控台账!G68="已完成",项目总控台账!AB68&lt;1),"已完成但进度不足100%；",""))</f>
        <v/>
      </c>
      <c r="H69" s="6" t="str">
        <f t="shared" ref="H69:H132" si="2">IF(B69="","",IF(G69="","通过","需整改"))</f>
        <v>通过</v>
      </c>
      <c r="I69" s="6" t="str">
        <f t="shared" ref="I69:I132" si="3">IF(H69="需整改","回到项目总控台账第"&amp;J69&amp;"行补齐或修正","无需处理")</f>
        <v>无需处理</v>
      </c>
      <c r="J69" s="6">
        <v>68</v>
      </c>
    </row>
    <row r="70" spans="1:10">
      <c r="A70" s="6" t="s">
        <v>736</v>
      </c>
      <c r="B70" s="6" t="str">
        <f>项目总控台账!A69</f>
        <v>T066</v>
      </c>
      <c r="C70" s="6" t="str">
        <f>IF(AND(项目总控台账!E69&lt;&gt;"",项目总控台账!E69&lt;&gt;"/"),项目总控台账!E69,IF(AND(项目总控台账!D69&lt;&gt;"",项目总控台账!D69&lt;&gt;"/"),项目总控台账!D69,项目总控台账!C69))</f>
        <v>装船作业货权跟踪</v>
      </c>
      <c r="D70" s="6" t="str">
        <f>项目总控台账!H69</f>
        <v>郑士旺</v>
      </c>
      <c r="E70" s="17">
        <f>项目总控台账!I69</f>
        <v>46202</v>
      </c>
      <c r="F70" s="17">
        <f>项目总控台账!J69</f>
        <v>46261</v>
      </c>
      <c r="G70" s="6" t="str">
        <f>IF(B70="","",IF(OR(C70="",C70="/"),"缺少任务名称；","")&amp;IF(OR(D70="",D70="/"),"缺少有效主责人；","")&amp;IF(OR(E70="",E70&lt;DATE(2000,1,1)),"缺少有效计划开始；","")&amp;IF(OR(F70="",F70&lt;DATE(2000,1,1)),"缺少有效计划完成；","")&amp;IF(项目总控台账!G69="","缺少总体状态；","")&amp;IF(AND(ISNUMBER(E70),ISNUMBER(F70),E70&gt;=DATE(2000,1,1),F70&gt;=DATE(2000,1,1),E70&gt;F70),"开始晚于完成；","")&amp;IF(AND(项目总控台账!G69="已完成",项目总控台账!AB69&lt;1),"已完成但进度不足100%；",""))</f>
        <v/>
      </c>
      <c r="H70" s="6" t="str">
        <f t="shared" si="2"/>
        <v>通过</v>
      </c>
      <c r="I70" s="6" t="str">
        <f t="shared" si="3"/>
        <v>无需处理</v>
      </c>
      <c r="J70" s="6">
        <v>69</v>
      </c>
    </row>
    <row r="71" spans="1:10">
      <c r="A71" s="6" t="s">
        <v>736</v>
      </c>
      <c r="B71" s="6" t="str">
        <f>项目总控台账!A70</f>
        <v>T067</v>
      </c>
      <c r="C71" s="6" t="str">
        <f>IF(AND(项目总控台账!E70&lt;&gt;"",项目总控台账!E70&lt;&gt;"/"),项目总控台账!E70,IF(AND(项目总控台账!D70&lt;&gt;"",项目总控台账!D70&lt;&gt;"/"),项目总控台账!D70,项目总控台账!C70))</f>
        <v>装船作业货权跟踪</v>
      </c>
      <c r="D71" s="6" t="str">
        <f>项目总控台账!H70</f>
        <v>郑士旺</v>
      </c>
      <c r="E71" s="17">
        <f>项目总控台账!I70</f>
        <v>46202</v>
      </c>
      <c r="F71" s="17">
        <f>项目总控台账!J70</f>
        <v>46261</v>
      </c>
      <c r="G71" s="6" t="str">
        <f>IF(B71="","",IF(OR(C71="",C71="/"),"缺少任务名称；","")&amp;IF(OR(D71="",D71="/"),"缺少有效主责人；","")&amp;IF(OR(E71="",E71&lt;DATE(2000,1,1)),"缺少有效计划开始；","")&amp;IF(OR(F71="",F71&lt;DATE(2000,1,1)),"缺少有效计划完成；","")&amp;IF(项目总控台账!G70="","缺少总体状态；","")&amp;IF(AND(ISNUMBER(E71),ISNUMBER(F71),E71&gt;=DATE(2000,1,1),F71&gt;=DATE(2000,1,1),E71&gt;F71),"开始晚于完成；","")&amp;IF(AND(项目总控台账!G70="已完成",项目总控台账!AB70&lt;1),"已完成但进度不足100%；",""))</f>
        <v/>
      </c>
      <c r="H71" s="6" t="str">
        <f t="shared" si="2"/>
        <v>通过</v>
      </c>
      <c r="I71" s="6" t="str">
        <f t="shared" si="3"/>
        <v>无需处理</v>
      </c>
      <c r="J71" s="6">
        <v>70</v>
      </c>
    </row>
    <row r="72" spans="1:10">
      <c r="A72" s="6" t="s">
        <v>736</v>
      </c>
      <c r="B72" s="6" t="str">
        <f>项目总控台账!A71</f>
        <v>T068</v>
      </c>
      <c r="C72" s="6" t="str">
        <f>IF(AND(项目总控台账!E71&lt;&gt;"",项目总控台账!E71&lt;&gt;"/"),项目总控台账!E71,IF(AND(项目总控台账!D71&lt;&gt;"",项目总控台账!D71&lt;&gt;"/"),项目总控台账!D71,项目总控台账!C71))</f>
        <v>装船作业货权跟踪</v>
      </c>
      <c r="D72" s="6" t="str">
        <f>项目总控台账!H71</f>
        <v>郑士旺</v>
      </c>
      <c r="E72" s="17">
        <f>项目总控台账!I71</f>
        <v>46202</v>
      </c>
      <c r="F72" s="17">
        <f>项目总控台账!J71</f>
        <v>46261</v>
      </c>
      <c r="G72" s="6" t="str">
        <f>IF(B72="","",IF(OR(C72="",C72="/"),"缺少任务名称；","")&amp;IF(OR(D72="",D72="/"),"缺少有效主责人；","")&amp;IF(OR(E72="",E72&lt;DATE(2000,1,1)),"缺少有效计划开始；","")&amp;IF(OR(F72="",F72&lt;DATE(2000,1,1)),"缺少有效计划完成；","")&amp;IF(项目总控台账!G71="","缺少总体状态；","")&amp;IF(AND(ISNUMBER(E72),ISNUMBER(F72),E72&gt;=DATE(2000,1,1),F72&gt;=DATE(2000,1,1),E72&gt;F72),"开始晚于完成；","")&amp;IF(AND(项目总控台账!G71="已完成",项目总控台账!AB71&lt;1),"已完成但进度不足100%；",""))</f>
        <v/>
      </c>
      <c r="H72" s="6" t="str">
        <f t="shared" si="2"/>
        <v>通过</v>
      </c>
      <c r="I72" s="6" t="str">
        <f t="shared" si="3"/>
        <v>无需处理</v>
      </c>
      <c r="J72" s="6">
        <v>71</v>
      </c>
    </row>
    <row r="73" spans="1:10">
      <c r="A73" s="6" t="s">
        <v>736</v>
      </c>
      <c r="B73" s="6" t="str">
        <f>项目总控台账!A72</f>
        <v>T069</v>
      </c>
      <c r="C73" s="6" t="str">
        <f>IF(AND(项目总控台账!E72&lt;&gt;"",项目总控台账!E72&lt;&gt;"/"),项目总控台账!E72,IF(AND(项目总控台账!D72&lt;&gt;"",项目总控台账!D72&lt;&gt;"/"),项目总控台账!D72,项目总控台账!C72))</f>
        <v>新增、详情、修改页内容调整</v>
      </c>
      <c r="D73" s="6" t="str">
        <f>项目总控台账!H72</f>
        <v>郑士旺</v>
      </c>
      <c r="E73" s="17">
        <f>项目总控台账!I72</f>
        <v>46195</v>
      </c>
      <c r="F73" s="17">
        <f>项目总控台账!J72</f>
        <v>46224</v>
      </c>
      <c r="G73" s="6" t="str">
        <f>IF(B73="","",IF(OR(C73="",C73="/"),"缺少任务名称；","")&amp;IF(OR(D73="",D73="/"),"缺少有效主责人；","")&amp;IF(OR(E73="",E73&lt;DATE(2000,1,1)),"缺少有效计划开始；","")&amp;IF(OR(F73="",F73&lt;DATE(2000,1,1)),"缺少有效计划完成；","")&amp;IF(项目总控台账!G72="","缺少总体状态；","")&amp;IF(AND(ISNUMBER(E73),ISNUMBER(F73),E73&gt;=DATE(2000,1,1),F73&gt;=DATE(2000,1,1),E73&gt;F73),"开始晚于完成；","")&amp;IF(AND(项目总控台账!G72="已完成",项目总控台账!AB72&lt;1),"已完成但进度不足100%；",""))</f>
        <v/>
      </c>
      <c r="H73" s="6" t="str">
        <f t="shared" si="2"/>
        <v>通过</v>
      </c>
      <c r="I73" s="6" t="str">
        <f t="shared" si="3"/>
        <v>无需处理</v>
      </c>
      <c r="J73" s="6">
        <v>72</v>
      </c>
    </row>
    <row r="74" spans="1:10">
      <c r="A74" s="6" t="s">
        <v>736</v>
      </c>
      <c r="B74" s="6" t="str">
        <f>项目总控台账!A73</f>
        <v>T070</v>
      </c>
      <c r="C74" s="6" t="str">
        <f>IF(AND(项目总控台账!E73&lt;&gt;"",项目总控台账!E73&lt;&gt;"/"),项目总控台账!E73,IF(AND(项目总控台账!D73&lt;&gt;"",项目总控台账!D73&lt;&gt;"/"),项目总控台账!D73,项目总控台账!C73))</f>
        <v>生成报告</v>
      </c>
      <c r="D74" s="6" t="str">
        <f>项目总控台账!H73</f>
        <v>郑士旺</v>
      </c>
      <c r="E74" s="17">
        <f>项目总控台账!I73</f>
        <v>46195</v>
      </c>
      <c r="F74" s="17">
        <f>项目总控台账!J73</f>
        <v>46224</v>
      </c>
      <c r="G74" s="6" t="str">
        <f>IF(B74="","",IF(OR(C74="",C74="/"),"缺少任务名称；","")&amp;IF(OR(D74="",D74="/"),"缺少有效主责人；","")&amp;IF(OR(E74="",E74&lt;DATE(2000,1,1)),"缺少有效计划开始；","")&amp;IF(OR(F74="",F74&lt;DATE(2000,1,1)),"缺少有效计划完成；","")&amp;IF(项目总控台账!G73="","缺少总体状态；","")&amp;IF(AND(ISNUMBER(E74),ISNUMBER(F74),E74&gt;=DATE(2000,1,1),F74&gt;=DATE(2000,1,1),E74&gt;F74),"开始晚于完成；","")&amp;IF(AND(项目总控台账!G73="已完成",项目总控台账!AB73&lt;1),"已完成但进度不足100%；",""))</f>
        <v/>
      </c>
      <c r="H74" s="6" t="str">
        <f t="shared" si="2"/>
        <v>通过</v>
      </c>
      <c r="I74" s="6" t="str">
        <f t="shared" si="3"/>
        <v>无需处理</v>
      </c>
      <c r="J74" s="6">
        <v>73</v>
      </c>
    </row>
    <row r="75" spans="1:10">
      <c r="A75" s="6" t="s">
        <v>736</v>
      </c>
      <c r="B75" s="6" t="str">
        <f>项目总控台账!A74</f>
        <v>T071</v>
      </c>
      <c r="C75" s="6" t="str">
        <f>IF(AND(项目总控台账!E74&lt;&gt;"",项目总控台账!E74&lt;&gt;"/"),项目总控台账!E74,IF(AND(项目总控台账!D74&lt;&gt;"",项目总控台账!D74&lt;&gt;"/"),项目总控台账!D74,项目总控台账!C74))</f>
        <v>装船作业信息录入优化（太仓）</v>
      </c>
      <c r="D75" s="6" t="str">
        <f>项目总控台账!H74</f>
        <v>郑士旺</v>
      </c>
      <c r="E75" s="17">
        <f>项目总控台账!I74</f>
        <v>46195</v>
      </c>
      <c r="F75" s="17">
        <f>项目总控台账!J74</f>
        <v>46224</v>
      </c>
      <c r="G75" s="6" t="str">
        <f>IF(B75="","",IF(OR(C75="",C75="/"),"缺少任务名称；","")&amp;IF(OR(D75="",D75="/"),"缺少有效主责人；","")&amp;IF(OR(E75="",E75&lt;DATE(2000,1,1)),"缺少有效计划开始；","")&amp;IF(OR(F75="",F75&lt;DATE(2000,1,1)),"缺少有效计划完成；","")&amp;IF(项目总控台账!G74="","缺少总体状态；","")&amp;IF(AND(ISNUMBER(E75),ISNUMBER(F75),E75&gt;=DATE(2000,1,1),F75&gt;=DATE(2000,1,1),E75&gt;F75),"开始晚于完成；","")&amp;IF(AND(项目总控台账!G74="已完成",项目总控台账!AB74&lt;1),"已完成但进度不足100%；",""))</f>
        <v/>
      </c>
      <c r="H75" s="6" t="str">
        <f t="shared" si="2"/>
        <v>通过</v>
      </c>
      <c r="I75" s="6" t="str">
        <f t="shared" si="3"/>
        <v>无需处理</v>
      </c>
      <c r="J75" s="6">
        <v>74</v>
      </c>
    </row>
    <row r="76" spans="1:10">
      <c r="A76" s="6" t="s">
        <v>736</v>
      </c>
      <c r="B76" s="6" t="str">
        <f>项目总控台账!A75</f>
        <v>T072</v>
      </c>
      <c r="C76" s="6" t="str">
        <f>IF(AND(项目总控台账!E75&lt;&gt;"",项目总控台账!E75&lt;&gt;"/"),项目总控台账!E75,IF(AND(项目总控台账!D75&lt;&gt;"",项目总控台账!D75&lt;&gt;"/"),项目总控台账!D75,项目总控台账!C75))</f>
        <v>OCR识别</v>
      </c>
      <c r="D76" s="6" t="str">
        <f>项目总控台账!H75</f>
        <v>郑士旺</v>
      </c>
      <c r="E76" s="17">
        <f>项目总控台账!I75</f>
        <v>46202</v>
      </c>
      <c r="F76" s="17">
        <f>项目总控台账!J75</f>
        <v>46234</v>
      </c>
      <c r="G76" s="6" t="str">
        <f>IF(B76="","",IF(OR(C76="",C76="/"),"缺少任务名称；","")&amp;IF(OR(D76="",D76="/"),"缺少有效主责人；","")&amp;IF(OR(E76="",E76&lt;DATE(2000,1,1)),"缺少有效计划开始；","")&amp;IF(OR(F76="",F76&lt;DATE(2000,1,1)),"缺少有效计划完成；","")&amp;IF(项目总控台账!G75="","缺少总体状态；","")&amp;IF(AND(ISNUMBER(E76),ISNUMBER(F76),E76&gt;=DATE(2000,1,1),F76&gt;=DATE(2000,1,1),E76&gt;F76),"开始晚于完成；","")&amp;IF(AND(项目总控台账!G75="已完成",项目总控台账!AB75&lt;1),"已完成但进度不足100%；",""))</f>
        <v/>
      </c>
      <c r="H76" s="6" t="str">
        <f t="shared" si="2"/>
        <v>通过</v>
      </c>
      <c r="I76" s="6" t="str">
        <f t="shared" si="3"/>
        <v>无需处理</v>
      </c>
      <c r="J76" s="6">
        <v>75</v>
      </c>
    </row>
    <row r="77" spans="1:10">
      <c r="A77" s="6" t="s">
        <v>736</v>
      </c>
      <c r="B77" s="6" t="str">
        <f>项目总控台账!A76</f>
        <v>T073</v>
      </c>
      <c r="C77" s="6" t="str">
        <f>IF(AND(项目总控台账!E76&lt;&gt;"",项目总控台账!E76&lt;&gt;"/"),项目总控台账!E76,IF(AND(项目总控台账!D76&lt;&gt;"",项目总控台账!D76&lt;&gt;"/"),项目总控台账!D76,项目总控台账!C76))</f>
        <v>采样作业信息录入新增</v>
      </c>
      <c r="D77" s="6" t="str">
        <f>项目总控台账!H76</f>
        <v>郑士旺</v>
      </c>
      <c r="E77" s="17">
        <f>项目总控台账!I76</f>
        <v>46202</v>
      </c>
      <c r="F77" s="17">
        <f>项目总控台账!J76</f>
        <v>46224</v>
      </c>
      <c r="G77" s="6" t="str">
        <f>IF(B77="","",IF(OR(C77="",C77="/"),"缺少任务名称；","")&amp;IF(OR(D77="",D77="/"),"缺少有效主责人；","")&amp;IF(OR(E77="",E77&lt;DATE(2000,1,1)),"缺少有效计划开始；","")&amp;IF(OR(F77="",F77&lt;DATE(2000,1,1)),"缺少有效计划完成；","")&amp;IF(项目总控台账!G76="","缺少总体状态；","")&amp;IF(AND(ISNUMBER(E77),ISNUMBER(F77),E77&gt;=DATE(2000,1,1),F77&gt;=DATE(2000,1,1),E77&gt;F77),"开始晚于完成；","")&amp;IF(AND(项目总控台账!G76="已完成",项目总控台账!AB76&lt;1),"已完成但进度不足100%；",""))</f>
        <v/>
      </c>
      <c r="H77" s="6" t="str">
        <f t="shared" si="2"/>
        <v>通过</v>
      </c>
      <c r="I77" s="6" t="str">
        <f t="shared" si="3"/>
        <v>无需处理</v>
      </c>
      <c r="J77" s="6">
        <v>76</v>
      </c>
    </row>
    <row r="78" spans="1:10">
      <c r="A78" s="6" t="s">
        <v>736</v>
      </c>
      <c r="B78" s="6" t="str">
        <f>项目总控台账!A77</f>
        <v>T074</v>
      </c>
      <c r="C78" s="6" t="str">
        <f>IF(AND(项目总控台账!E77&lt;&gt;"",项目总控台账!E77&lt;&gt;"/"),项目总控台账!E77,IF(AND(项目总控台账!D77&lt;&gt;"",项目总控台账!D77&lt;&gt;"/"),项目总控台账!D77,项目总控台账!C77))</f>
        <v>采样作业信息录入编辑</v>
      </c>
      <c r="D78" s="6" t="str">
        <f>项目总控台账!H77</f>
        <v>郑士旺</v>
      </c>
      <c r="E78" s="17">
        <f>项目总控台账!I77</f>
        <v>46202</v>
      </c>
      <c r="F78" s="17">
        <f>项目总控台账!J77</f>
        <v>46224</v>
      </c>
      <c r="G78" s="6" t="str">
        <f>IF(B78="","",IF(OR(C78="",C78="/"),"缺少任务名称；","")&amp;IF(OR(D78="",D78="/"),"缺少有效主责人；","")&amp;IF(OR(E78="",E78&lt;DATE(2000,1,1)),"缺少有效计划开始；","")&amp;IF(OR(F78="",F78&lt;DATE(2000,1,1)),"缺少有效计划完成；","")&amp;IF(项目总控台账!G77="","缺少总体状态；","")&amp;IF(AND(ISNUMBER(E78),ISNUMBER(F78),E78&gt;=DATE(2000,1,1),F78&gt;=DATE(2000,1,1),E78&gt;F78),"开始晚于完成；","")&amp;IF(AND(项目总控台账!G77="已完成",项目总控台账!AB77&lt;1),"已完成但进度不足100%；",""))</f>
        <v/>
      </c>
      <c r="H78" s="6" t="str">
        <f t="shared" si="2"/>
        <v>通过</v>
      </c>
      <c r="I78" s="6" t="str">
        <f t="shared" si="3"/>
        <v>无需处理</v>
      </c>
      <c r="J78" s="6">
        <v>77</v>
      </c>
    </row>
    <row r="79" spans="1:10">
      <c r="A79" s="6" t="s">
        <v>736</v>
      </c>
      <c r="B79" s="6" t="str">
        <f>项目总控台账!A78</f>
        <v>T075</v>
      </c>
      <c r="C79" s="6" t="str">
        <f>IF(AND(项目总控台账!E78&lt;&gt;"",项目总控台账!E78&lt;&gt;"/"),项目总控台账!E78,IF(AND(项目总控台账!D78&lt;&gt;"",项目总控台账!D78&lt;&gt;"/"),项目总控台账!D78,项目总控台账!C78))</f>
        <v>采样作业信息录入详情</v>
      </c>
      <c r="D79" s="6" t="str">
        <f>项目总控台账!H78</f>
        <v>郑士旺</v>
      </c>
      <c r="E79" s="17">
        <f>项目总控台账!I78</f>
        <v>46202</v>
      </c>
      <c r="F79" s="17">
        <f>项目总控台账!J78</f>
        <v>46224</v>
      </c>
      <c r="G79" s="6" t="str">
        <f>IF(B79="","",IF(OR(C79="",C79="/"),"缺少任务名称；","")&amp;IF(OR(D79="",D79="/"),"缺少有效主责人；","")&amp;IF(OR(E79="",E79&lt;DATE(2000,1,1)),"缺少有效计划开始；","")&amp;IF(OR(F79="",F79&lt;DATE(2000,1,1)),"缺少有效计划完成；","")&amp;IF(项目总控台账!G78="","缺少总体状态；","")&amp;IF(AND(ISNUMBER(E79),ISNUMBER(F79),E79&gt;=DATE(2000,1,1),F79&gt;=DATE(2000,1,1),E79&gt;F79),"开始晚于完成；","")&amp;IF(AND(项目总控台账!G78="已完成",项目总控台账!AB78&lt;1),"已完成但进度不足100%；",""))</f>
        <v/>
      </c>
      <c r="H79" s="6" t="str">
        <f t="shared" si="2"/>
        <v>通过</v>
      </c>
      <c r="I79" s="6" t="str">
        <f t="shared" si="3"/>
        <v>无需处理</v>
      </c>
      <c r="J79" s="6">
        <v>78</v>
      </c>
    </row>
    <row r="80" spans="1:10">
      <c r="A80" s="6" t="s">
        <v>736</v>
      </c>
      <c r="B80" s="6" t="str">
        <f>项目总控台账!A79</f>
        <v>T076</v>
      </c>
      <c r="C80" s="6" t="str">
        <f>IF(AND(项目总控台账!E79&lt;&gt;"",项目总控台账!E79&lt;&gt;"/"),项目总控台账!E79,IF(AND(项目总控台账!D79&lt;&gt;"",项目总控台账!D79&lt;&gt;"/"),项目总控台账!D79,项目总控台账!C79))</f>
        <v>采样作业信息录入删除</v>
      </c>
      <c r="D80" s="6" t="str">
        <f>项目总控台账!H79</f>
        <v>郑士旺</v>
      </c>
      <c r="E80" s="17">
        <f>项目总控台账!I79</f>
        <v>46202</v>
      </c>
      <c r="F80" s="17">
        <f>项目总控台账!J79</f>
        <v>46224</v>
      </c>
      <c r="G80" s="6" t="str">
        <f>IF(B80="","",IF(OR(C80="",C80="/"),"缺少任务名称；","")&amp;IF(OR(D80="",D80="/"),"缺少有效主责人；","")&amp;IF(OR(E80="",E80&lt;DATE(2000,1,1)),"缺少有效计划开始；","")&amp;IF(OR(F80="",F80&lt;DATE(2000,1,1)),"缺少有效计划完成；","")&amp;IF(项目总控台账!G79="","缺少总体状态；","")&amp;IF(AND(ISNUMBER(E80),ISNUMBER(F80),E80&gt;=DATE(2000,1,1),F80&gt;=DATE(2000,1,1),E80&gt;F80),"开始晚于完成；","")&amp;IF(AND(项目总控台账!G79="已完成",项目总控台账!AB79&lt;1),"已完成但进度不足100%；",""))</f>
        <v/>
      </c>
      <c r="H80" s="6" t="str">
        <f t="shared" si="2"/>
        <v>通过</v>
      </c>
      <c r="I80" s="6" t="str">
        <f t="shared" si="3"/>
        <v>无需处理</v>
      </c>
      <c r="J80" s="6">
        <v>79</v>
      </c>
    </row>
    <row r="81" spans="1:10">
      <c r="A81" s="6" t="s">
        <v>736</v>
      </c>
      <c r="B81" s="6" t="str">
        <f>项目总控台账!A80</f>
        <v>T077</v>
      </c>
      <c r="C81" s="6" t="str">
        <f>IF(AND(项目总控台账!E80&lt;&gt;"",项目总控台账!E80&lt;&gt;"/"),项目总控台账!E80,IF(AND(项目总控台账!D80&lt;&gt;"",项目总控台账!D80&lt;&gt;"/"),项目总控台账!D80,项目总控台账!C80))</f>
        <v>采样作业信息录入列表</v>
      </c>
      <c r="D81" s="6" t="str">
        <f>项目总控台账!H80</f>
        <v>郑士旺</v>
      </c>
      <c r="E81" s="17">
        <f>项目总控台账!I80</f>
        <v>46202</v>
      </c>
      <c r="F81" s="17">
        <f>项目总控台账!J80</f>
        <v>46224</v>
      </c>
      <c r="G81" s="6" t="str">
        <f>IF(B81="","",IF(OR(C81="",C81="/"),"缺少任务名称；","")&amp;IF(OR(D81="",D81="/"),"缺少有效主责人；","")&amp;IF(OR(E81="",E81&lt;DATE(2000,1,1)),"缺少有效计划开始；","")&amp;IF(OR(F81="",F81&lt;DATE(2000,1,1)),"缺少有效计划完成；","")&amp;IF(项目总控台账!G80="","缺少总体状态；","")&amp;IF(AND(ISNUMBER(E81),ISNUMBER(F81),E81&gt;=DATE(2000,1,1),F81&gt;=DATE(2000,1,1),E81&gt;F81),"开始晚于完成；","")&amp;IF(AND(项目总控台账!G80="已完成",项目总控台账!AB80&lt;1),"已完成但进度不足100%；",""))</f>
        <v/>
      </c>
      <c r="H81" s="6" t="str">
        <f t="shared" si="2"/>
        <v>通过</v>
      </c>
      <c r="I81" s="6" t="str">
        <f t="shared" si="3"/>
        <v>无需处理</v>
      </c>
      <c r="J81" s="6">
        <v>80</v>
      </c>
    </row>
    <row r="82" spans="1:10">
      <c r="A82" s="6" t="s">
        <v>736</v>
      </c>
      <c r="B82" s="6" t="str">
        <f>项目总控台账!A81</f>
        <v>T078</v>
      </c>
      <c r="C82" s="6" t="str">
        <f>IF(AND(项目总控台账!E81&lt;&gt;"",项目总控台账!E81&lt;&gt;"/"),项目总控台账!E81,IF(AND(项目总控台账!D81&lt;&gt;"",项目总控台账!D81&lt;&gt;"/"),项目总控台账!D81,项目总控台账!C81))</f>
        <v>业务数据合同签订校验</v>
      </c>
      <c r="D82" s="6" t="str">
        <f>项目总控台账!H81</f>
        <v>郑士旺</v>
      </c>
      <c r="E82" s="17">
        <f>项目总控台账!I81</f>
        <v>46223</v>
      </c>
      <c r="F82" s="17">
        <f>项目总控台账!J81</f>
        <v>46339</v>
      </c>
      <c r="G82" s="6" t="str">
        <f>IF(B82="","",IF(OR(C82="",C82="/"),"缺少任务名称；","")&amp;IF(OR(D82="",D82="/"),"缺少有效主责人；","")&amp;IF(OR(E82="",E82&lt;DATE(2000,1,1)),"缺少有效计划开始；","")&amp;IF(OR(F82="",F82&lt;DATE(2000,1,1)),"缺少有效计划完成；","")&amp;IF(项目总控台账!G81="","缺少总体状态；","")&amp;IF(AND(ISNUMBER(E82),ISNUMBER(F82),E82&gt;=DATE(2000,1,1),F82&gt;=DATE(2000,1,1),E82&gt;F82),"开始晚于完成；","")&amp;IF(AND(项目总控台账!G81="已完成",项目总控台账!AB81&lt;1),"已完成但进度不足100%；",""))</f>
        <v/>
      </c>
      <c r="H82" s="6" t="str">
        <f t="shared" si="2"/>
        <v>通过</v>
      </c>
      <c r="I82" s="6" t="str">
        <f t="shared" si="3"/>
        <v>无需处理</v>
      </c>
      <c r="J82" s="6">
        <v>81</v>
      </c>
    </row>
    <row r="83" spans="1:10">
      <c r="A83" s="6" t="s">
        <v>736</v>
      </c>
      <c r="B83" s="6" t="str">
        <f>项目总控台账!A82</f>
        <v>T079</v>
      </c>
      <c r="C83" s="6" t="str">
        <f>IF(AND(项目总控台账!E82&lt;&gt;"",项目总控台账!E82&lt;&gt;"/"),项目总控台账!E82,IF(AND(项目总控台账!D82&lt;&gt;"",项目总控台账!D82&lt;&gt;"/"),项目总控台账!D82,项目总控台账!C82))</f>
        <v>结算数据合同签订校验</v>
      </c>
      <c r="D83" s="6" t="str">
        <f>项目总控台账!H82</f>
        <v>郑士旺</v>
      </c>
      <c r="E83" s="17">
        <f>项目总控台账!I82</f>
        <v>46223</v>
      </c>
      <c r="F83" s="17">
        <f>项目总控台账!J82</f>
        <v>46339</v>
      </c>
      <c r="G83" s="6" t="str">
        <f>IF(B83="","",IF(OR(C83="",C83="/"),"缺少任务名称；","")&amp;IF(OR(D83="",D83="/"),"缺少有效主责人；","")&amp;IF(OR(E83="",E83&lt;DATE(2000,1,1)),"缺少有效计划开始；","")&amp;IF(OR(F83="",F83&lt;DATE(2000,1,1)),"缺少有效计划完成；","")&amp;IF(项目总控台账!G82="","缺少总体状态；","")&amp;IF(AND(ISNUMBER(E83),ISNUMBER(F83),E83&gt;=DATE(2000,1,1),F83&gt;=DATE(2000,1,1),E83&gt;F83),"开始晚于完成；","")&amp;IF(AND(项目总控台账!G82="已完成",项目总控台账!AB82&lt;1),"已完成但进度不足100%；",""))</f>
        <v/>
      </c>
      <c r="H83" s="6" t="str">
        <f t="shared" si="2"/>
        <v>通过</v>
      </c>
      <c r="I83" s="6" t="str">
        <f t="shared" si="3"/>
        <v>无需处理</v>
      </c>
      <c r="J83" s="6">
        <v>82</v>
      </c>
    </row>
    <row r="84" spans="1:10">
      <c r="A84" s="6" t="s">
        <v>736</v>
      </c>
      <c r="B84" s="6" t="str">
        <f>项目总控台账!A83</f>
        <v>T080</v>
      </c>
      <c r="C84" s="6" t="str">
        <f>IF(AND(项目总控台账!E83&lt;&gt;"",项目总控台账!E83&lt;&gt;"/"),项目总控台账!E83,IF(AND(项目总控台账!D83&lt;&gt;"",项目总控台账!D83&lt;&gt;"/"),项目总控台账!D83,项目总控台账!C83))</f>
        <v>合同校验结果查询</v>
      </c>
      <c r="D84" s="6" t="str">
        <f>项目总控台账!H83</f>
        <v>郑士旺</v>
      </c>
      <c r="E84" s="17">
        <f>项目总控台账!I83</f>
        <v>46223</v>
      </c>
      <c r="F84" s="17">
        <f>项目总控台账!J83</f>
        <v>46261</v>
      </c>
      <c r="G84" s="6" t="str">
        <f>IF(B84="","",IF(OR(C84="",C84="/"),"缺少任务名称；","")&amp;IF(OR(D84="",D84="/"),"缺少有效主责人；","")&amp;IF(OR(E84="",E84&lt;DATE(2000,1,1)),"缺少有效计划开始；","")&amp;IF(OR(F84="",F84&lt;DATE(2000,1,1)),"缺少有效计划完成；","")&amp;IF(项目总控台账!G83="","缺少总体状态；","")&amp;IF(AND(ISNUMBER(E84),ISNUMBER(F84),E84&gt;=DATE(2000,1,1),F84&gt;=DATE(2000,1,1),E84&gt;F84),"开始晚于完成；","")&amp;IF(AND(项目总控台账!G83="已完成",项目总控台账!AB83&lt;1),"已完成但进度不足100%；",""))</f>
        <v/>
      </c>
      <c r="H84" s="6" t="str">
        <f t="shared" si="2"/>
        <v>通过</v>
      </c>
      <c r="I84" s="6" t="str">
        <f t="shared" si="3"/>
        <v>无需处理</v>
      </c>
      <c r="J84" s="6">
        <v>83</v>
      </c>
    </row>
    <row r="85" spans="1:10">
      <c r="A85" s="6" t="s">
        <v>736</v>
      </c>
      <c r="B85" s="6" t="str">
        <f>项目总控台账!A84</f>
        <v>T081</v>
      </c>
      <c r="C85" s="6" t="str">
        <f>IF(AND(项目总控台账!E84&lt;&gt;"",项目总控台账!E84&lt;&gt;"/"),项目总控台账!E84,IF(AND(项目总控台账!D84&lt;&gt;"",项目总控台账!D84&lt;&gt;"/"),项目总控台账!D84,项目总控台账!C84))</f>
        <v>数据对接</v>
      </c>
      <c r="D85" s="6" t="str">
        <f>项目总控台账!H84</f>
        <v>郑士旺</v>
      </c>
      <c r="E85" s="17">
        <f>项目总控台账!I84</f>
        <v>46230</v>
      </c>
      <c r="F85" s="17">
        <f>项目总控台账!J84</f>
        <v>46353</v>
      </c>
      <c r="G85" s="6" t="str">
        <f>IF(B85="","",IF(OR(C85="",C85="/"),"缺少任务名称；","")&amp;IF(OR(D85="",D85="/"),"缺少有效主责人；","")&amp;IF(OR(E85="",E85&lt;DATE(2000,1,1)),"缺少有效计划开始；","")&amp;IF(OR(F85="",F85&lt;DATE(2000,1,1)),"缺少有效计划完成；","")&amp;IF(项目总控台账!G84="","缺少总体状态；","")&amp;IF(AND(ISNUMBER(E85),ISNUMBER(F85),E85&gt;=DATE(2000,1,1),F85&gt;=DATE(2000,1,1),E85&gt;F85),"开始晚于完成；","")&amp;IF(AND(项目总控台账!G84="已完成",项目总控台账!AB84&lt;1),"已完成但进度不足100%；",""))</f>
        <v/>
      </c>
      <c r="H85" s="6" t="str">
        <f t="shared" si="2"/>
        <v>通过</v>
      </c>
      <c r="I85" s="6" t="str">
        <f t="shared" si="3"/>
        <v>无需处理</v>
      </c>
      <c r="J85" s="6">
        <v>84</v>
      </c>
    </row>
    <row r="86" spans="1:10">
      <c r="A86" s="6" t="s">
        <v>736</v>
      </c>
      <c r="B86" s="6" t="str">
        <f>项目总控台账!A85</f>
        <v>T082</v>
      </c>
      <c r="C86" s="6" t="str">
        <f>IF(AND(项目总控台账!E85&lt;&gt;"",项目总控台账!E85&lt;&gt;"/"),项目总控台账!E85,IF(AND(项目总控台账!D85&lt;&gt;"",项目总控台账!D85&lt;&gt;"/"),项目总控台账!D85,项目总控台账!C85))</f>
        <v>数据展示</v>
      </c>
      <c r="D86" s="6" t="str">
        <f>项目总控台账!H85</f>
        <v>郑士旺</v>
      </c>
      <c r="E86" s="17">
        <f>项目总控台账!I85</f>
        <v>46230</v>
      </c>
      <c r="F86" s="17">
        <f>项目总控台账!J85</f>
        <v>46224</v>
      </c>
      <c r="G86" s="6" t="str">
        <f>IF(B86="","",IF(OR(C86="",C86="/"),"缺少任务名称；","")&amp;IF(OR(D86="",D86="/"),"缺少有效主责人；","")&amp;IF(OR(E86="",E86&lt;DATE(2000,1,1)),"缺少有效计划开始；","")&amp;IF(OR(F86="",F86&lt;DATE(2000,1,1)),"缺少有效计划完成；","")&amp;IF(项目总控台账!G85="","缺少总体状态；","")&amp;IF(AND(ISNUMBER(E86),ISNUMBER(F86),E86&gt;=DATE(2000,1,1),F86&gt;=DATE(2000,1,1),E86&gt;F86),"开始晚于完成；","")&amp;IF(AND(项目总控台账!G85="已完成",项目总控台账!AB85&lt;1),"已完成但进度不足100%；",""))</f>
        <v>开始晚于完成；</v>
      </c>
      <c r="H86" s="6" t="str">
        <f t="shared" si="2"/>
        <v>需整改</v>
      </c>
      <c r="I86" s="6" t="str">
        <f t="shared" si="3"/>
        <v>回到项目总控台账第85行补齐或修正</v>
      </c>
      <c r="J86" s="6">
        <v>85</v>
      </c>
    </row>
    <row r="87" spans="1:10">
      <c r="A87" s="6" t="s">
        <v>736</v>
      </c>
      <c r="B87" s="6" t="str">
        <f>项目总控台账!A86</f>
        <v>T083</v>
      </c>
      <c r="C87" s="6" t="str">
        <f>IF(AND(项目总控台账!E86&lt;&gt;"",项目总控台账!E86&lt;&gt;"/"),项目总控台账!E86,IF(AND(项目总控台账!D86&lt;&gt;"",项目总控台账!D86&lt;&gt;"/"),项目总控台账!D86,项目总控台账!C86))</f>
        <v>数据对接</v>
      </c>
      <c r="D87" s="6" t="str">
        <f>项目总控台账!H86</f>
        <v>郑士旺</v>
      </c>
      <c r="E87" s="17">
        <f>项目总控台账!I86</f>
        <v>46230</v>
      </c>
      <c r="F87" s="17">
        <f>项目总控台账!J86</f>
        <v>46224</v>
      </c>
      <c r="G87" s="6" t="str">
        <f>IF(B87="","",IF(OR(C87="",C87="/"),"缺少任务名称；","")&amp;IF(OR(D87="",D87="/"),"缺少有效主责人；","")&amp;IF(OR(E87="",E87&lt;DATE(2000,1,1)),"缺少有效计划开始；","")&amp;IF(OR(F87="",F87&lt;DATE(2000,1,1)),"缺少有效计划完成；","")&amp;IF(项目总控台账!G86="","缺少总体状态；","")&amp;IF(AND(ISNUMBER(E87),ISNUMBER(F87),E87&gt;=DATE(2000,1,1),F87&gt;=DATE(2000,1,1),E87&gt;F87),"开始晚于完成；","")&amp;IF(AND(项目总控台账!G86="已完成",项目总控台账!AB86&lt;1),"已完成但进度不足100%；",""))</f>
        <v>开始晚于完成；</v>
      </c>
      <c r="H87" s="6" t="str">
        <f t="shared" si="2"/>
        <v>需整改</v>
      </c>
      <c r="I87" s="6" t="str">
        <f t="shared" si="3"/>
        <v>回到项目总控台账第86行补齐或修正</v>
      </c>
      <c r="J87" s="6">
        <v>86</v>
      </c>
    </row>
    <row r="88" spans="1:10">
      <c r="A88" s="6" t="s">
        <v>736</v>
      </c>
      <c r="B88" s="6" t="str">
        <f>项目总控台账!A87</f>
        <v>T084</v>
      </c>
      <c r="C88" s="6" t="str">
        <f>IF(AND(项目总控台账!E87&lt;&gt;"",项目总控台账!E87&lt;&gt;"/"),项目总控台账!E87,IF(AND(项目总控台账!D87&lt;&gt;"",项目总控台账!D87&lt;&gt;"/"),项目总控台账!D87,项目总控台账!C87))</f>
        <v>数据产生</v>
      </c>
      <c r="D88" s="6" t="str">
        <f>项目总控台账!H87</f>
        <v>郑士旺</v>
      </c>
      <c r="E88" s="17">
        <f>项目总控台账!I87</f>
        <v>46230</v>
      </c>
      <c r="F88" s="17">
        <f>项目总控台账!J87</f>
        <v>46224</v>
      </c>
      <c r="G88" s="6" t="str">
        <f>IF(B88="","",IF(OR(C88="",C88="/"),"缺少任务名称；","")&amp;IF(OR(D88="",D88="/"),"缺少有效主责人；","")&amp;IF(OR(E88="",E88&lt;DATE(2000,1,1)),"缺少有效计划开始；","")&amp;IF(OR(F88="",F88&lt;DATE(2000,1,1)),"缺少有效计划完成；","")&amp;IF(项目总控台账!G87="","缺少总体状态；","")&amp;IF(AND(ISNUMBER(E88),ISNUMBER(F88),E88&gt;=DATE(2000,1,1),F88&gt;=DATE(2000,1,1),E88&gt;F88),"开始晚于完成；","")&amp;IF(AND(项目总控台账!G87="已完成",项目总控台账!AB87&lt;1),"已完成但进度不足100%；",""))</f>
        <v>开始晚于完成；</v>
      </c>
      <c r="H88" s="6" t="str">
        <f t="shared" si="2"/>
        <v>需整改</v>
      </c>
      <c r="I88" s="6" t="str">
        <f t="shared" si="3"/>
        <v>回到项目总控台账第87行补齐或修正</v>
      </c>
      <c r="J88" s="6">
        <v>87</v>
      </c>
    </row>
    <row r="89" spans="1:10">
      <c r="A89" s="6" t="s">
        <v>736</v>
      </c>
      <c r="B89" s="6" t="str">
        <f>项目总控台账!A88</f>
        <v>T085</v>
      </c>
      <c r="C89" s="6" t="str">
        <f>IF(AND(项目总控台账!E88&lt;&gt;"",项目总控台账!E88&lt;&gt;"/"),项目总控台账!E88,IF(AND(项目总控台账!D88&lt;&gt;"",项目总控台账!D88&lt;&gt;"/"),项目总控台账!D88,项目总控台账!C88))</f>
        <v>数据对接</v>
      </c>
      <c r="D89" s="6" t="str">
        <f>项目总控台账!H88</f>
        <v>郑士旺</v>
      </c>
      <c r="E89" s="17">
        <f>项目总控台账!I88</f>
        <v>46230</v>
      </c>
      <c r="F89" s="17">
        <f>项目总控台账!J88</f>
        <v>46224</v>
      </c>
      <c r="G89" s="6" t="str">
        <f>IF(B89="","",IF(OR(C89="",C89="/"),"缺少任务名称；","")&amp;IF(OR(D89="",D89="/"),"缺少有效主责人；","")&amp;IF(OR(E89="",E89&lt;DATE(2000,1,1)),"缺少有效计划开始；","")&amp;IF(OR(F89="",F89&lt;DATE(2000,1,1)),"缺少有效计划完成；","")&amp;IF(项目总控台账!G88="","缺少总体状态；","")&amp;IF(AND(ISNUMBER(E89),ISNUMBER(F89),E89&gt;=DATE(2000,1,1),F89&gt;=DATE(2000,1,1),E89&gt;F89),"开始晚于完成；","")&amp;IF(AND(项目总控台账!G88="已完成",项目总控台账!AB88&lt;1),"已完成但进度不足100%；",""))</f>
        <v>开始晚于完成；</v>
      </c>
      <c r="H89" s="6" t="str">
        <f t="shared" si="2"/>
        <v>需整改</v>
      </c>
      <c r="I89" s="6" t="str">
        <f t="shared" si="3"/>
        <v>回到项目总控台账第88行补齐或修正</v>
      </c>
      <c r="J89" s="6">
        <v>88</v>
      </c>
    </row>
    <row r="90" spans="1:10">
      <c r="A90" s="6" t="s">
        <v>736</v>
      </c>
      <c r="B90" s="6" t="str">
        <f>项目总控台账!A89</f>
        <v>T086</v>
      </c>
      <c r="C90" s="6" t="str">
        <f>IF(AND(项目总控台账!E89&lt;&gt;"",项目总控台账!E89&lt;&gt;"/"),项目总控台账!E89,IF(AND(项目总控台账!D89&lt;&gt;"",项目总控台账!D89&lt;&gt;"/"),项目总控台账!D89,项目总控台账!C89))</f>
        <v>数据展示</v>
      </c>
      <c r="D90" s="6" t="str">
        <f>项目总控台账!H89</f>
        <v>郑士旺</v>
      </c>
      <c r="E90" s="17">
        <f>项目总控台账!I89</f>
        <v>46230</v>
      </c>
      <c r="F90" s="17">
        <f>项目总控台账!J89</f>
        <v>46224</v>
      </c>
      <c r="G90" s="6" t="str">
        <f>IF(B90="","",IF(OR(C90="",C90="/"),"缺少任务名称；","")&amp;IF(OR(D90="",D90="/"),"缺少有效主责人；","")&amp;IF(OR(E90="",E90&lt;DATE(2000,1,1)),"缺少有效计划开始；","")&amp;IF(OR(F90="",F90&lt;DATE(2000,1,1)),"缺少有效计划完成；","")&amp;IF(项目总控台账!G89="","缺少总体状态；","")&amp;IF(AND(ISNUMBER(E90),ISNUMBER(F90),E90&gt;=DATE(2000,1,1),F90&gt;=DATE(2000,1,1),E90&gt;F90),"开始晚于完成；","")&amp;IF(AND(项目总控台账!G89="已完成",项目总控台账!AB89&lt;1),"已完成但进度不足100%；",""))</f>
        <v>开始晚于完成；</v>
      </c>
      <c r="H90" s="6" t="str">
        <f t="shared" si="2"/>
        <v>需整改</v>
      </c>
      <c r="I90" s="6" t="str">
        <f t="shared" si="3"/>
        <v>回到项目总控台账第89行补齐或修正</v>
      </c>
      <c r="J90" s="6">
        <v>89</v>
      </c>
    </row>
    <row r="91" spans="1:10">
      <c r="A91" s="6" t="s">
        <v>736</v>
      </c>
      <c r="B91" s="6" t="str">
        <f>项目总控台账!A90</f>
        <v>T087</v>
      </c>
      <c r="C91" s="6" t="str">
        <f>IF(AND(项目总控台账!E90&lt;&gt;"",项目总控台账!E90&lt;&gt;"/"),项目总控台账!E90,IF(AND(项目总控台账!D90&lt;&gt;"",项目总控台账!D90&lt;&gt;"/"),项目总控台账!D90,项目总控台账!C90))</f>
        <v>数据对接</v>
      </c>
      <c r="D91" s="6" t="str">
        <f>项目总控台账!H90</f>
        <v>郑士旺</v>
      </c>
      <c r="E91" s="17">
        <f>项目总控台账!I90</f>
        <v>46230</v>
      </c>
      <c r="F91" s="17">
        <f>项目总控台账!J90</f>
        <v>46224</v>
      </c>
      <c r="G91" s="6" t="str">
        <f>IF(B91="","",IF(OR(C91="",C91="/"),"缺少任务名称；","")&amp;IF(OR(D91="",D91="/"),"缺少有效主责人；","")&amp;IF(OR(E91="",E91&lt;DATE(2000,1,1)),"缺少有效计划开始；","")&amp;IF(OR(F91="",F91&lt;DATE(2000,1,1)),"缺少有效计划完成；","")&amp;IF(项目总控台账!G90="","缺少总体状态；","")&amp;IF(AND(ISNUMBER(E91),ISNUMBER(F91),E91&gt;=DATE(2000,1,1),F91&gt;=DATE(2000,1,1),E91&gt;F91),"开始晚于完成；","")&amp;IF(AND(项目总控台账!G90="已完成",项目总控台账!AB90&lt;1),"已完成但进度不足100%；",""))</f>
        <v>开始晚于完成；</v>
      </c>
      <c r="H91" s="6" t="str">
        <f t="shared" si="2"/>
        <v>需整改</v>
      </c>
      <c r="I91" s="6" t="str">
        <f t="shared" si="3"/>
        <v>回到项目总控台账第90行补齐或修正</v>
      </c>
      <c r="J91" s="6">
        <v>90</v>
      </c>
    </row>
    <row r="92" spans="1:10">
      <c r="A92" s="6" t="s">
        <v>736</v>
      </c>
      <c r="B92" s="6" t="str">
        <f>项目总控台账!A91</f>
        <v>T088</v>
      </c>
      <c r="C92" s="6" t="str">
        <f>IF(AND(项目总控台账!E91&lt;&gt;"",项目总控台账!E91&lt;&gt;"/"),项目总控台账!E91,IF(AND(项目总控台账!D91&lt;&gt;"",项目总控台账!D91&lt;&gt;"/"),项目总控台账!D91,项目总控台账!C91))</f>
        <v>数据展示</v>
      </c>
      <c r="D92" s="6" t="str">
        <f>项目总控台账!H91</f>
        <v>郑士旺</v>
      </c>
      <c r="E92" s="17">
        <f>项目总控台账!I91</f>
        <v>46230</v>
      </c>
      <c r="F92" s="17">
        <f>项目总控台账!J91</f>
        <v>46353</v>
      </c>
      <c r="G92" s="6" t="str">
        <f>IF(B92="","",IF(OR(C92="",C92="/"),"缺少任务名称；","")&amp;IF(OR(D92="",D92="/"),"缺少有效主责人；","")&amp;IF(OR(E92="",E92&lt;DATE(2000,1,1)),"缺少有效计划开始；","")&amp;IF(OR(F92="",F92&lt;DATE(2000,1,1)),"缺少有效计划完成；","")&amp;IF(项目总控台账!G91="","缺少总体状态；","")&amp;IF(AND(ISNUMBER(E92),ISNUMBER(F92),E92&gt;=DATE(2000,1,1),F92&gt;=DATE(2000,1,1),E92&gt;F92),"开始晚于完成；","")&amp;IF(AND(项目总控台账!G91="已完成",项目总控台账!AB91&lt;1),"已完成但进度不足100%；",""))</f>
        <v/>
      </c>
      <c r="H92" s="6" t="str">
        <f t="shared" si="2"/>
        <v>通过</v>
      </c>
      <c r="I92" s="6" t="str">
        <f t="shared" si="3"/>
        <v>无需处理</v>
      </c>
      <c r="J92" s="6">
        <v>91</v>
      </c>
    </row>
    <row r="93" spans="1:10">
      <c r="A93" s="6" t="s">
        <v>736</v>
      </c>
      <c r="B93" s="6" t="str">
        <f>项目总控台账!A92</f>
        <v>T089</v>
      </c>
      <c r="C93" s="6" t="str">
        <f>IF(AND(项目总控台账!E92&lt;&gt;"",项目总控台账!E92&lt;&gt;"/"),项目总控台账!E92,IF(AND(项目总控台账!D92&lt;&gt;"",项目总控台账!D92&lt;&gt;"/"),项目总控台账!D92,项目总控台账!C92))</f>
        <v>新增采样服务费（外贸）</v>
      </c>
      <c r="D93" s="6" t="str">
        <f>项目总控台账!H92</f>
        <v>郑士旺</v>
      </c>
      <c r="E93" s="17">
        <f>项目总控台账!I92</f>
        <v>46230</v>
      </c>
      <c r="F93" s="17">
        <f>项目总控台账!J92</f>
        <v>46353</v>
      </c>
      <c r="G93" s="6" t="str">
        <f>IF(B93="","",IF(OR(C93="",C93="/"),"缺少任务名称；","")&amp;IF(OR(D93="",D93="/"),"缺少有效主责人；","")&amp;IF(OR(E93="",E93&lt;DATE(2000,1,1)),"缺少有效计划开始；","")&amp;IF(OR(F93="",F93&lt;DATE(2000,1,1)),"缺少有效计划完成；","")&amp;IF(项目总控台账!G92="","缺少总体状态；","")&amp;IF(AND(ISNUMBER(E93),ISNUMBER(F93),E93&gt;=DATE(2000,1,1),F93&gt;=DATE(2000,1,1),E93&gt;F93),"开始晚于完成；","")&amp;IF(AND(项目总控台账!G92="已完成",项目总控台账!AB92&lt;1),"已完成但进度不足100%；",""))</f>
        <v/>
      </c>
      <c r="H93" s="6" t="str">
        <f t="shared" si="2"/>
        <v>通过</v>
      </c>
      <c r="I93" s="6" t="str">
        <f t="shared" si="3"/>
        <v>无需处理</v>
      </c>
      <c r="J93" s="6">
        <v>92</v>
      </c>
    </row>
    <row r="94" spans="1:10">
      <c r="A94" s="6" t="s">
        <v>736</v>
      </c>
      <c r="B94" s="6" t="str">
        <f>项目总控台账!A93</f>
        <v>T090</v>
      </c>
      <c r="C94" s="6" t="str">
        <f>IF(AND(项目总控台账!E93&lt;&gt;"",项目总控台账!E93&lt;&gt;"/"),项目总控台账!E93,IF(AND(项目总控台账!D93&lt;&gt;"",项目总控台账!D93&lt;&gt;"/"),项目总控台账!D93,项目总控台账!C93))</f>
        <v>审批采样服务费（外贸）</v>
      </c>
      <c r="D94" s="6" t="str">
        <f>项目总控台账!H93</f>
        <v>郑士旺</v>
      </c>
      <c r="E94" s="17">
        <f>项目总控台账!I93</f>
        <v>46230</v>
      </c>
      <c r="F94" s="17">
        <f>项目总控台账!J93</f>
        <v>46353</v>
      </c>
      <c r="G94" s="6" t="str">
        <f>IF(B94="","",IF(OR(C94="",C94="/"),"缺少任务名称；","")&amp;IF(OR(D94="",D94="/"),"缺少有效主责人；","")&amp;IF(OR(E94="",E94&lt;DATE(2000,1,1)),"缺少有效计划开始；","")&amp;IF(OR(F94="",F94&lt;DATE(2000,1,1)),"缺少有效计划完成；","")&amp;IF(项目总控台账!G93="","缺少总体状态；","")&amp;IF(AND(ISNUMBER(E94),ISNUMBER(F94),E94&gt;=DATE(2000,1,1),F94&gt;=DATE(2000,1,1),E94&gt;F94),"开始晚于完成；","")&amp;IF(AND(项目总控台账!G93="已完成",项目总控台账!AB93&lt;1),"已完成但进度不足100%；",""))</f>
        <v/>
      </c>
      <c r="H94" s="6" t="str">
        <f t="shared" si="2"/>
        <v>通过</v>
      </c>
      <c r="I94" s="6" t="str">
        <f t="shared" si="3"/>
        <v>无需处理</v>
      </c>
      <c r="J94" s="6">
        <v>93</v>
      </c>
    </row>
    <row r="95" spans="1:10">
      <c r="A95" s="6" t="s">
        <v>736</v>
      </c>
      <c r="B95" s="6" t="str">
        <f>项目总控台账!A94</f>
        <v>T091</v>
      </c>
      <c r="C95" s="6" t="str">
        <f>IF(AND(项目总控台账!E94&lt;&gt;"",项目总控台账!E94&lt;&gt;"/"),项目总控台账!E94,IF(AND(项目总控台账!D94&lt;&gt;"",项目总控台账!D94&lt;&gt;"/"),项目总控台账!D94,项目总控台账!C94))</f>
        <v>单据签章</v>
      </c>
      <c r="D95" s="6" t="str">
        <f>项目总控台账!H94</f>
        <v>郑士旺</v>
      </c>
      <c r="E95" s="17">
        <f>项目总控台账!I94</f>
        <v>46230</v>
      </c>
      <c r="F95" s="17">
        <f>项目总控台账!J94</f>
        <v>46353</v>
      </c>
      <c r="G95" s="6" t="str">
        <f>IF(B95="","",IF(OR(C95="",C95="/"),"缺少任务名称；","")&amp;IF(OR(D95="",D95="/"),"缺少有效主责人；","")&amp;IF(OR(E95="",E95&lt;DATE(2000,1,1)),"缺少有效计划开始；","")&amp;IF(OR(F95="",F95&lt;DATE(2000,1,1)),"缺少有效计划完成；","")&amp;IF(项目总控台账!G94="","缺少总体状态；","")&amp;IF(AND(ISNUMBER(E95),ISNUMBER(F95),E95&gt;=DATE(2000,1,1),F95&gt;=DATE(2000,1,1),E95&gt;F95),"开始晚于完成；","")&amp;IF(AND(项目总控台账!G94="已完成",项目总控台账!AB94&lt;1),"已完成但进度不足100%；",""))</f>
        <v/>
      </c>
      <c r="H95" s="6" t="str">
        <f t="shared" si="2"/>
        <v>通过</v>
      </c>
      <c r="I95" s="6" t="str">
        <f t="shared" si="3"/>
        <v>无需处理</v>
      </c>
      <c r="J95" s="6">
        <v>94</v>
      </c>
    </row>
    <row r="96" spans="1:10">
      <c r="A96" s="6" t="s">
        <v>736</v>
      </c>
      <c r="B96" s="6" t="str">
        <f>项目总控台账!A95</f>
        <v>T092</v>
      </c>
      <c r="C96" s="6" t="str">
        <f>IF(AND(项目总控台账!E95&lt;&gt;"",项目总控台账!E95&lt;&gt;"/"),项目总控台账!E95,IF(AND(项目总控台账!D95&lt;&gt;"",项目总控台账!D95&lt;&gt;"/"),项目总控台账!D95,项目总控台账!C95))</f>
        <v>数据推送</v>
      </c>
      <c r="D96" s="6" t="str">
        <f>项目总控台账!H95</f>
        <v>郑士旺</v>
      </c>
      <c r="E96" s="17">
        <f>项目总控台账!I95</f>
        <v>46230</v>
      </c>
      <c r="F96" s="17">
        <f>项目总控台账!J95</f>
        <v>46353</v>
      </c>
      <c r="G96" s="6" t="str">
        <f>IF(B96="","",IF(OR(C96="",C96="/"),"缺少任务名称；","")&amp;IF(OR(D96="",D96="/"),"缺少有效主责人；","")&amp;IF(OR(E96="",E96&lt;DATE(2000,1,1)),"缺少有效计划开始；","")&amp;IF(OR(F96="",F96&lt;DATE(2000,1,1)),"缺少有效计划完成；","")&amp;IF(项目总控台账!G95="","缺少总体状态；","")&amp;IF(AND(ISNUMBER(E96),ISNUMBER(F96),E96&gt;=DATE(2000,1,1),F96&gt;=DATE(2000,1,1),E96&gt;F96),"开始晚于完成；","")&amp;IF(AND(项目总控台账!G95="已完成",项目总控台账!AB95&lt;1),"已完成但进度不足100%；",""))</f>
        <v/>
      </c>
      <c r="H96" s="6" t="str">
        <f t="shared" si="2"/>
        <v>通过</v>
      </c>
      <c r="I96" s="6" t="str">
        <f t="shared" si="3"/>
        <v>无需处理</v>
      </c>
      <c r="J96" s="6">
        <v>95</v>
      </c>
    </row>
    <row r="97" spans="1:10">
      <c r="A97" s="6" t="s">
        <v>736</v>
      </c>
      <c r="B97" s="6" t="str">
        <f>项目总控台账!A96</f>
        <v>T093</v>
      </c>
      <c r="C97" s="6" t="str">
        <f>IF(AND(项目总控台账!E96&lt;&gt;"",项目总控台账!E96&lt;&gt;"/"),项目总控台账!E96,IF(AND(项目总控台账!D96&lt;&gt;"",项目总控台账!D96&lt;&gt;"/"),项目总控台账!D96,项目总控台账!C96))</f>
        <v>数据对接</v>
      </c>
      <c r="D97" s="6" t="str">
        <f>项目总控台账!H96</f>
        <v>郑士旺</v>
      </c>
      <c r="E97" s="17">
        <f>项目总控台账!I96</f>
        <v>46230</v>
      </c>
      <c r="F97" s="17">
        <f>项目总控台账!J96</f>
        <v>46353</v>
      </c>
      <c r="G97" s="6" t="str">
        <f>IF(B97="","",IF(OR(C97="",C97="/"),"缺少任务名称；","")&amp;IF(OR(D97="",D97="/"),"缺少有效主责人；","")&amp;IF(OR(E97="",E97&lt;DATE(2000,1,1)),"缺少有效计划开始；","")&amp;IF(OR(F97="",F97&lt;DATE(2000,1,1)),"缺少有效计划完成；","")&amp;IF(项目总控台账!G96="","缺少总体状态；","")&amp;IF(AND(ISNUMBER(E97),ISNUMBER(F97),E97&gt;=DATE(2000,1,1),F97&gt;=DATE(2000,1,1),E97&gt;F97),"开始晚于完成；","")&amp;IF(AND(项目总控台账!G96="已完成",项目总控台账!AB96&lt;1),"已完成但进度不足100%；",""))</f>
        <v/>
      </c>
      <c r="H97" s="6" t="str">
        <f t="shared" si="2"/>
        <v>通过</v>
      </c>
      <c r="I97" s="6" t="str">
        <f t="shared" si="3"/>
        <v>无需处理</v>
      </c>
      <c r="J97" s="6">
        <v>96</v>
      </c>
    </row>
    <row r="98" spans="1:10">
      <c r="A98" s="6" t="s">
        <v>736</v>
      </c>
      <c r="B98" s="6" t="str">
        <f>项目总控台账!A97</f>
        <v>T094</v>
      </c>
      <c r="C98" s="6" t="str">
        <f>IF(AND(项目总控台账!E97&lt;&gt;"",项目总控台账!E97&lt;&gt;"/"),项目总控台账!E97,IF(AND(项目总控台账!D97&lt;&gt;"",项目总控台账!D97&lt;&gt;"/"),项目总控台账!D97,项目总控台账!C97))</f>
        <v>数据展示</v>
      </c>
      <c r="D98" s="6" t="str">
        <f>项目总控台账!H97</f>
        <v>郑士旺</v>
      </c>
      <c r="E98" s="17">
        <f>项目总控台账!I97</f>
        <v>46230</v>
      </c>
      <c r="F98" s="17">
        <f>项目总控台账!J97</f>
        <v>46353</v>
      </c>
      <c r="G98" s="6" t="str">
        <f>IF(B98="","",IF(OR(C98="",C98="/"),"缺少任务名称；","")&amp;IF(OR(D98="",D98="/"),"缺少有效主责人；","")&amp;IF(OR(E98="",E98&lt;DATE(2000,1,1)),"缺少有效计划开始；","")&amp;IF(OR(F98="",F98&lt;DATE(2000,1,1)),"缺少有效计划完成；","")&amp;IF(项目总控台账!G97="","缺少总体状态；","")&amp;IF(AND(ISNUMBER(E98),ISNUMBER(F98),E98&gt;=DATE(2000,1,1),F98&gt;=DATE(2000,1,1),E98&gt;F98),"开始晚于完成；","")&amp;IF(AND(项目总控台账!G97="已完成",项目总控台账!AB97&lt;1),"已完成但进度不足100%；",""))</f>
        <v/>
      </c>
      <c r="H98" s="6" t="str">
        <f t="shared" si="2"/>
        <v>通过</v>
      </c>
      <c r="I98" s="6" t="str">
        <f t="shared" si="3"/>
        <v>无需处理</v>
      </c>
      <c r="J98" s="6">
        <v>97</v>
      </c>
    </row>
    <row r="99" spans="1:10">
      <c r="A99" s="6" t="s">
        <v>736</v>
      </c>
      <c r="B99" s="6" t="str">
        <f>项目总控台账!A98</f>
        <v>T095</v>
      </c>
      <c r="C99" s="6" t="str">
        <f>IF(AND(项目总控台账!E98&lt;&gt;"",项目总控台账!E98&lt;&gt;"/"),项目总控台账!E98,IF(AND(项目总控台账!D98&lt;&gt;"",项目总控台账!D98&lt;&gt;"/"),项目总控台账!D98,项目总控台账!C98))</f>
        <v>自动生成堆存费</v>
      </c>
      <c r="D99" s="6" t="str">
        <f>项目总控台账!H98</f>
        <v>郑士旺</v>
      </c>
      <c r="E99" s="17">
        <f>项目总控台账!I98</f>
        <v>46202</v>
      </c>
      <c r="F99" s="17">
        <f>项目总控台账!J98</f>
        <v>46234</v>
      </c>
      <c r="G99" s="6" t="str">
        <f>IF(B99="","",IF(OR(C99="",C99="/"),"缺少任务名称；","")&amp;IF(OR(D99="",D99="/"),"缺少有效主责人；","")&amp;IF(OR(E99="",E99&lt;DATE(2000,1,1)),"缺少有效计划开始；","")&amp;IF(OR(F99="",F99&lt;DATE(2000,1,1)),"缺少有效计划完成；","")&amp;IF(项目总控台账!G98="","缺少总体状态；","")&amp;IF(AND(ISNUMBER(E99),ISNUMBER(F99),E99&gt;=DATE(2000,1,1),F99&gt;=DATE(2000,1,1),E99&gt;F99),"开始晚于完成；","")&amp;IF(AND(项目总控台账!G98="已完成",项目总控台账!AB98&lt;1),"已完成但进度不足100%；",""))</f>
        <v/>
      </c>
      <c r="H99" s="6" t="str">
        <f t="shared" si="2"/>
        <v>通过</v>
      </c>
      <c r="I99" s="6" t="str">
        <f t="shared" si="3"/>
        <v>无需处理</v>
      </c>
      <c r="J99" s="6">
        <v>98</v>
      </c>
    </row>
    <row r="100" spans="1:10">
      <c r="A100" s="6" t="s">
        <v>736</v>
      </c>
      <c r="B100" s="6" t="str">
        <f>项目总控台账!A99</f>
        <v>T096</v>
      </c>
      <c r="C100" s="6" t="str">
        <f>IF(AND(项目总控台账!E99&lt;&gt;"",项目总控台账!E99&lt;&gt;"/"),项目总控台账!E99,IF(AND(项目总控台账!D99&lt;&gt;"",项目总控台账!D99&lt;&gt;"/"),项目总控台账!D99,项目总控台账!C99))</f>
        <v>自动生成装船港杂费</v>
      </c>
      <c r="D100" s="6" t="str">
        <f>项目总控台账!H99</f>
        <v>郑士旺</v>
      </c>
      <c r="E100" s="17">
        <f>项目总控台账!I99</f>
        <v>46202</v>
      </c>
      <c r="F100" s="17">
        <f>项目总控台账!J99</f>
        <v>46261</v>
      </c>
      <c r="G100" s="6" t="str">
        <f>IF(B100="","",IF(OR(C100="",C100="/"),"缺少任务名称；","")&amp;IF(OR(D100="",D100="/"),"缺少有效主责人；","")&amp;IF(OR(E100="",E100&lt;DATE(2000,1,1)),"缺少有效计划开始；","")&amp;IF(OR(F100="",F100&lt;DATE(2000,1,1)),"缺少有效计划完成；","")&amp;IF(项目总控台账!G99="","缺少总体状态；","")&amp;IF(AND(ISNUMBER(E100),ISNUMBER(F100),E100&gt;=DATE(2000,1,1),F100&gt;=DATE(2000,1,1),E100&gt;F100),"开始晚于完成；","")&amp;IF(AND(项目总控台账!G99="已完成",项目总控台账!AB99&lt;1),"已完成但进度不足100%；",""))</f>
        <v/>
      </c>
      <c r="H100" s="6" t="str">
        <f t="shared" si="2"/>
        <v>通过</v>
      </c>
      <c r="I100" s="6" t="str">
        <f t="shared" si="3"/>
        <v>无需处理</v>
      </c>
      <c r="J100" s="6">
        <v>99</v>
      </c>
    </row>
    <row r="101" spans="1:10">
      <c r="A101" s="6" t="s">
        <v>736</v>
      </c>
      <c r="B101" s="6" t="str">
        <f>项目总控台账!A100</f>
        <v>T097</v>
      </c>
      <c r="C101" s="6" t="str">
        <f>IF(AND(项目总控台账!E100&lt;&gt;"",项目总控台账!E100&lt;&gt;"/"),项目总控台账!E100,IF(AND(项目总控台账!D100&lt;&gt;"",项目总控台账!D100&lt;&gt;"/"),项目总控台账!D100,项目总控台账!C100))</f>
        <v>自动生成租赁费</v>
      </c>
      <c r="D101" s="6" t="str">
        <f>项目总控台账!H100</f>
        <v>郑士旺</v>
      </c>
      <c r="E101" s="17">
        <f>项目总控台账!I100</f>
        <v>46202</v>
      </c>
      <c r="F101" s="17">
        <f>项目总控台账!J100</f>
        <v>46234</v>
      </c>
      <c r="G101" s="6" t="str">
        <f>IF(B101="","",IF(OR(C101="",C101="/"),"缺少任务名称；","")&amp;IF(OR(D101="",D101="/"),"缺少有效主责人；","")&amp;IF(OR(E101="",E101&lt;DATE(2000,1,1)),"缺少有效计划开始；","")&amp;IF(OR(F101="",F101&lt;DATE(2000,1,1)),"缺少有效计划完成；","")&amp;IF(项目总控台账!G100="","缺少总体状态；","")&amp;IF(AND(ISNUMBER(E101),ISNUMBER(F101),E101&gt;=DATE(2000,1,1),F101&gt;=DATE(2000,1,1),E101&gt;F101),"开始晚于完成；","")&amp;IF(AND(项目总控台账!G100="已完成",项目总控台账!AB100&lt;1),"已完成但进度不足100%；",""))</f>
        <v/>
      </c>
      <c r="H101" s="6" t="str">
        <f t="shared" si="2"/>
        <v>通过</v>
      </c>
      <c r="I101" s="6" t="str">
        <f t="shared" si="3"/>
        <v>无需处理</v>
      </c>
      <c r="J101" s="6">
        <v>100</v>
      </c>
    </row>
    <row r="102" spans="1:10">
      <c r="A102" s="6" t="s">
        <v>736</v>
      </c>
      <c r="B102" s="6" t="str">
        <f>项目总控台账!A101</f>
        <v>T098</v>
      </c>
      <c r="C102" s="6" t="str">
        <f>IF(AND(项目总控台账!E101&lt;&gt;"",项目总控台账!E101&lt;&gt;"/"),项目总控台账!E101,IF(AND(项目总控台账!D101&lt;&gt;"",项目总控台账!D101&lt;&gt;"/"),项目总控台账!D101,项目总控台账!C101))</f>
        <v>优化装卸费新增</v>
      </c>
      <c r="D102" s="6" t="str">
        <f>项目总控台账!H101</f>
        <v>郑士旺</v>
      </c>
      <c r="E102" s="17">
        <f>项目总控台账!I101</f>
        <v>46202</v>
      </c>
      <c r="F102" s="17">
        <f>项目总控台账!J101</f>
        <v>46224</v>
      </c>
      <c r="G102" s="6" t="str">
        <f>IF(B102="","",IF(OR(C102="",C102="/"),"缺少任务名称；","")&amp;IF(OR(D102="",D102="/"),"缺少有效主责人；","")&amp;IF(OR(E102="",E102&lt;DATE(2000,1,1)),"缺少有效计划开始；","")&amp;IF(OR(F102="",F102&lt;DATE(2000,1,1)),"缺少有效计划完成；","")&amp;IF(项目总控台账!G101="","缺少总体状态；","")&amp;IF(AND(ISNUMBER(E102),ISNUMBER(F102),E102&gt;=DATE(2000,1,1),F102&gt;=DATE(2000,1,1),E102&gt;F102),"开始晚于完成；","")&amp;IF(AND(项目总控台账!G101="已完成",项目总控台账!AB101&lt;1),"已完成但进度不足100%；",""))</f>
        <v/>
      </c>
      <c r="H102" s="6" t="str">
        <f t="shared" si="2"/>
        <v>通过</v>
      </c>
      <c r="I102" s="6" t="str">
        <f t="shared" si="3"/>
        <v>无需处理</v>
      </c>
      <c r="J102" s="6">
        <v>101</v>
      </c>
    </row>
    <row r="103" spans="1:10">
      <c r="A103" s="6" t="s">
        <v>736</v>
      </c>
      <c r="B103" s="6" t="str">
        <f>项目总控台账!A102</f>
        <v>T099</v>
      </c>
      <c r="C103" s="6" t="str">
        <f>IF(AND(项目总控台账!E102&lt;&gt;"",项目总控台账!E102&lt;&gt;"/"),项目总控台账!E102,IF(AND(项目总控台账!D102&lt;&gt;"",项目总控台账!D102&lt;&gt;"/"),项目总控台账!D102,项目总控台账!C102))</f>
        <v>优化装卸费编辑</v>
      </c>
      <c r="D103" s="6" t="str">
        <f>项目总控台账!H102</f>
        <v>郑士旺</v>
      </c>
      <c r="E103" s="17">
        <f>项目总控台账!I102</f>
        <v>46202</v>
      </c>
      <c r="F103" s="17">
        <f>项目总控台账!J102</f>
        <v>46224</v>
      </c>
      <c r="G103" s="6" t="str">
        <f>IF(B103="","",IF(OR(C103="",C103="/"),"缺少任务名称；","")&amp;IF(OR(D103="",D103="/"),"缺少有效主责人；","")&amp;IF(OR(E103="",E103&lt;DATE(2000,1,1)),"缺少有效计划开始；","")&amp;IF(OR(F103="",F103&lt;DATE(2000,1,1)),"缺少有效计划完成；","")&amp;IF(项目总控台账!G102="","缺少总体状态；","")&amp;IF(AND(ISNUMBER(E103),ISNUMBER(F103),E103&gt;=DATE(2000,1,1),F103&gt;=DATE(2000,1,1),E103&gt;F103),"开始晚于完成；","")&amp;IF(AND(项目总控台账!G102="已完成",项目总控台账!AB102&lt;1),"已完成但进度不足100%；",""))</f>
        <v/>
      </c>
      <c r="H103" s="6" t="str">
        <f t="shared" si="2"/>
        <v>通过</v>
      </c>
      <c r="I103" s="6" t="str">
        <f t="shared" si="3"/>
        <v>无需处理</v>
      </c>
      <c r="J103" s="6">
        <v>102</v>
      </c>
    </row>
    <row r="104" spans="1:10">
      <c r="A104" s="6" t="s">
        <v>736</v>
      </c>
      <c r="B104" s="6" t="str">
        <f>项目总控台账!A103</f>
        <v>T100</v>
      </c>
      <c r="C104" s="6" t="str">
        <f>IF(AND(项目总控台账!E103&lt;&gt;"",项目总控台账!E103&lt;&gt;"/"),项目总控台账!E103,IF(AND(项目总控台账!D103&lt;&gt;"",项目总控台账!D103&lt;&gt;"/"),项目总控台账!D103,项目总控台账!C103))</f>
        <v>创建行业资讯数据</v>
      </c>
      <c r="D104" s="6" t="str">
        <f>项目总控台账!H103</f>
        <v>郑士旺</v>
      </c>
      <c r="E104" s="17">
        <f>项目总控台账!I103</f>
        <v>46209</v>
      </c>
      <c r="F104" s="17">
        <f>项目总控台账!J103</f>
        <v>46224</v>
      </c>
      <c r="G104" s="6" t="str">
        <f>IF(B104="","",IF(OR(C104="",C104="/"),"缺少任务名称；","")&amp;IF(OR(D104="",D104="/"),"缺少有效主责人；","")&amp;IF(OR(E104="",E104&lt;DATE(2000,1,1)),"缺少有效计划开始；","")&amp;IF(OR(F104="",F104&lt;DATE(2000,1,1)),"缺少有效计划完成；","")&amp;IF(项目总控台账!G103="","缺少总体状态；","")&amp;IF(AND(ISNUMBER(E104),ISNUMBER(F104),E104&gt;=DATE(2000,1,1),F104&gt;=DATE(2000,1,1),E104&gt;F104),"开始晚于完成；","")&amp;IF(AND(项目总控台账!G103="已完成",项目总控台账!AB103&lt;1),"已完成但进度不足100%；",""))</f>
        <v/>
      </c>
      <c r="H104" s="6" t="str">
        <f t="shared" si="2"/>
        <v>通过</v>
      </c>
      <c r="I104" s="6" t="str">
        <f t="shared" si="3"/>
        <v>无需处理</v>
      </c>
      <c r="J104" s="6">
        <v>103</v>
      </c>
    </row>
    <row r="105" spans="1:10">
      <c r="A105" s="6" t="s">
        <v>736</v>
      </c>
      <c r="B105" s="6" t="str">
        <f>项目总控台账!A104</f>
        <v>T101</v>
      </c>
      <c r="C105" s="6" t="str">
        <f>IF(AND(项目总控台账!E104&lt;&gt;"",项目总控台账!E104&lt;&gt;"/"),项目总控台账!E104,IF(AND(项目总控台账!D104&lt;&gt;"",项目总控台账!D104&lt;&gt;"/"),项目总控台账!D104,项目总控台账!C104))</f>
        <v>修改行业资讯数据</v>
      </c>
      <c r="D105" s="6" t="str">
        <f>项目总控台账!H104</f>
        <v>郑士旺</v>
      </c>
      <c r="E105" s="17">
        <f>项目总控台账!I104</f>
        <v>46209</v>
      </c>
      <c r="F105" s="17">
        <f>项目总控台账!J104</f>
        <v>46224</v>
      </c>
      <c r="G105" s="6" t="str">
        <f>IF(B105="","",IF(OR(C105="",C105="/"),"缺少任务名称；","")&amp;IF(OR(D105="",D105="/"),"缺少有效主责人；","")&amp;IF(OR(E105="",E105&lt;DATE(2000,1,1)),"缺少有效计划开始；","")&amp;IF(OR(F105="",F105&lt;DATE(2000,1,1)),"缺少有效计划完成；","")&amp;IF(项目总控台账!G104="","缺少总体状态；","")&amp;IF(AND(ISNUMBER(E105),ISNUMBER(F105),E105&gt;=DATE(2000,1,1),F105&gt;=DATE(2000,1,1),E105&gt;F105),"开始晚于完成；","")&amp;IF(AND(项目总控台账!G104="已完成",项目总控台账!AB104&lt;1),"已完成但进度不足100%；",""))</f>
        <v/>
      </c>
      <c r="H105" s="6" t="str">
        <f t="shared" si="2"/>
        <v>通过</v>
      </c>
      <c r="I105" s="6" t="str">
        <f t="shared" si="3"/>
        <v>无需处理</v>
      </c>
      <c r="J105" s="6">
        <v>104</v>
      </c>
    </row>
    <row r="106" spans="1:10">
      <c r="A106" s="6" t="s">
        <v>736</v>
      </c>
      <c r="B106" s="6" t="str">
        <f>项目总控台账!A105</f>
        <v>T102</v>
      </c>
      <c r="C106" s="6" t="str">
        <f>IF(AND(项目总控台账!E105&lt;&gt;"",项目总控台账!E105&lt;&gt;"/"),项目总控台账!E105,IF(AND(项目总控台账!D105&lt;&gt;"",项目总控台账!D105&lt;&gt;"/"),项目总控台账!D105,项目总控台账!C105))</f>
        <v>删除行业资讯数据</v>
      </c>
      <c r="D106" s="6" t="str">
        <f>项目总控台账!H105</f>
        <v>郑士旺</v>
      </c>
      <c r="E106" s="17">
        <f>项目总控台账!I105</f>
        <v>46209</v>
      </c>
      <c r="F106" s="17">
        <f>项目总控台账!J105</f>
        <v>46224</v>
      </c>
      <c r="G106" s="6" t="str">
        <f>IF(B106="","",IF(OR(C106="",C106="/"),"缺少任务名称；","")&amp;IF(OR(D106="",D106="/"),"缺少有效主责人；","")&amp;IF(OR(E106="",E106&lt;DATE(2000,1,1)),"缺少有效计划开始；","")&amp;IF(OR(F106="",F106&lt;DATE(2000,1,1)),"缺少有效计划完成；","")&amp;IF(项目总控台账!G105="","缺少总体状态；","")&amp;IF(AND(ISNUMBER(E106),ISNUMBER(F106),E106&gt;=DATE(2000,1,1),F106&gt;=DATE(2000,1,1),E106&gt;F106),"开始晚于完成；","")&amp;IF(AND(项目总控台账!G105="已完成",项目总控台账!AB105&lt;1),"已完成但进度不足100%；",""))</f>
        <v/>
      </c>
      <c r="H106" s="6" t="str">
        <f t="shared" si="2"/>
        <v>通过</v>
      </c>
      <c r="I106" s="6" t="str">
        <f t="shared" si="3"/>
        <v>无需处理</v>
      </c>
      <c r="J106" s="6">
        <v>105</v>
      </c>
    </row>
    <row r="107" spans="1:10">
      <c r="A107" s="6" t="s">
        <v>736</v>
      </c>
      <c r="B107" s="6" t="str">
        <f>项目总控台账!A106</f>
        <v>T103</v>
      </c>
      <c r="C107" s="6" t="str">
        <f>IF(AND(项目总控台账!E106&lt;&gt;"",项目总控台账!E106&lt;&gt;"/"),项目总控台账!E106,IF(AND(项目总控台账!D106&lt;&gt;"",项目总控台账!D106&lt;&gt;"/"),项目总控台账!D106,项目总控台账!C106))</f>
        <v>展示行业资讯数据</v>
      </c>
      <c r="D107" s="6" t="str">
        <f>项目总控台账!H106</f>
        <v>郑士旺</v>
      </c>
      <c r="E107" s="17">
        <f>项目总控台账!I106</f>
        <v>46209</v>
      </c>
      <c r="F107" s="17">
        <f>项目总控台账!J106</f>
        <v>46224</v>
      </c>
      <c r="G107" s="6" t="str">
        <f>IF(B107="","",IF(OR(C107="",C107="/"),"缺少任务名称；","")&amp;IF(OR(D107="",D107="/"),"缺少有效主责人；","")&amp;IF(OR(E107="",E107&lt;DATE(2000,1,1)),"缺少有效计划开始；","")&amp;IF(OR(F107="",F107&lt;DATE(2000,1,1)),"缺少有效计划完成；","")&amp;IF(项目总控台账!G106="","缺少总体状态；","")&amp;IF(AND(ISNUMBER(E107),ISNUMBER(F107),E107&gt;=DATE(2000,1,1),F107&gt;=DATE(2000,1,1),E107&gt;F107),"开始晚于完成；","")&amp;IF(AND(项目总控台账!G106="已完成",项目总控台账!AB106&lt;1),"已完成但进度不足100%；",""))</f>
        <v/>
      </c>
      <c r="H107" s="6" t="str">
        <f t="shared" si="2"/>
        <v>通过</v>
      </c>
      <c r="I107" s="6" t="str">
        <f t="shared" si="3"/>
        <v>无需处理</v>
      </c>
      <c r="J107" s="6">
        <v>106</v>
      </c>
    </row>
    <row r="108" spans="1:10">
      <c r="A108" s="6" t="s">
        <v>736</v>
      </c>
      <c r="B108" s="6" t="str">
        <f>项目总控台账!A107</f>
        <v>T104</v>
      </c>
      <c r="C108" s="6" t="str">
        <f>IF(AND(项目总控台账!E107&lt;&gt;"",项目总控台账!E107&lt;&gt;"/"),项目总控台账!E107,IF(AND(项目总控台账!D107&lt;&gt;"",项目总控台账!D107&lt;&gt;"/"),项目总控台账!D107,项目总控台账!C107))</f>
        <v>吞吐量统计（曹妃甸）</v>
      </c>
      <c r="D108" s="6" t="str">
        <f>项目总控台账!H107</f>
        <v>郑士旺</v>
      </c>
      <c r="E108" s="17">
        <f>项目总控台账!I107</f>
        <v>46209</v>
      </c>
      <c r="F108" s="17">
        <f>项目总控台账!J107</f>
        <v>46269</v>
      </c>
      <c r="G108" s="6" t="str">
        <f>IF(B108="","",IF(OR(C108="",C108="/"),"缺少任务名称；","")&amp;IF(OR(D108="",D108="/"),"缺少有效主责人；","")&amp;IF(OR(E108="",E108&lt;DATE(2000,1,1)),"缺少有效计划开始；","")&amp;IF(OR(F108="",F108&lt;DATE(2000,1,1)),"缺少有效计划完成；","")&amp;IF(项目总控台账!G107="","缺少总体状态；","")&amp;IF(AND(ISNUMBER(E108),ISNUMBER(F108),E108&gt;=DATE(2000,1,1),F108&gt;=DATE(2000,1,1),E108&gt;F108),"开始晚于完成；","")&amp;IF(AND(项目总控台账!G107="已完成",项目总控台账!AB107&lt;1),"已完成但进度不足100%；",""))</f>
        <v/>
      </c>
      <c r="H108" s="6" t="str">
        <f t="shared" si="2"/>
        <v>通过</v>
      </c>
      <c r="I108" s="6" t="str">
        <f t="shared" si="3"/>
        <v>无需处理</v>
      </c>
      <c r="J108" s="6">
        <v>107</v>
      </c>
    </row>
    <row r="109" spans="1:10">
      <c r="A109" s="6" t="s">
        <v>736</v>
      </c>
      <c r="B109" s="6" t="str">
        <f>项目总控台账!A108</f>
        <v>T105</v>
      </c>
      <c r="C109" s="6" t="str">
        <f>IF(AND(项目总控台账!E108&lt;&gt;"",项目总控台账!E108&lt;&gt;"/"),项目总控台账!E108,IF(AND(项目总控台账!D108&lt;&gt;"",项目总控台账!D108&lt;&gt;"/"),项目总控台账!D108,项目总控台账!C108))</f>
        <v>泊位占用率分析（曹妃甸）</v>
      </c>
      <c r="D109" s="6" t="str">
        <f>项目总控台账!H108</f>
        <v>郑士旺</v>
      </c>
      <c r="E109" s="17">
        <f>项目总控台账!I108</f>
        <v>46209</v>
      </c>
      <c r="F109" s="17">
        <f>项目总控台账!J108</f>
        <v>46269</v>
      </c>
      <c r="G109" s="6" t="str">
        <f>IF(B109="","",IF(OR(C109="",C109="/"),"缺少任务名称；","")&amp;IF(OR(D109="",D109="/"),"缺少有效主责人；","")&amp;IF(OR(E109="",E109&lt;DATE(2000,1,1)),"缺少有效计划开始；","")&amp;IF(OR(F109="",F109&lt;DATE(2000,1,1)),"缺少有效计划完成；","")&amp;IF(项目总控台账!G108="","缺少总体状态；","")&amp;IF(AND(ISNUMBER(E109),ISNUMBER(F109),E109&gt;=DATE(2000,1,1),F109&gt;=DATE(2000,1,1),E109&gt;F109),"开始晚于完成；","")&amp;IF(AND(项目总控台账!G108="已完成",项目总控台账!AB108&lt;1),"已完成但进度不足100%；",""))</f>
        <v/>
      </c>
      <c r="H109" s="6" t="str">
        <f t="shared" si="2"/>
        <v>通过</v>
      </c>
      <c r="I109" s="6" t="str">
        <f t="shared" si="3"/>
        <v>无需处理</v>
      </c>
      <c r="J109" s="6">
        <v>108</v>
      </c>
    </row>
    <row r="110" spans="1:10">
      <c r="A110" s="6" t="s">
        <v>736</v>
      </c>
      <c r="B110" s="6" t="str">
        <f>项目总控台账!A109</f>
        <v>T106</v>
      </c>
      <c r="C110" s="6" t="str">
        <f>IF(AND(项目总控台账!E109&lt;&gt;"",项目总控台账!E109&lt;&gt;"/"),项目总控台账!E109,IF(AND(项目总控台账!D109&lt;&gt;"",项目总控台账!D109&lt;&gt;"/"),项目总控台账!D109,项目总控台账!C109))</f>
        <v>堆存库存统计（曹妃甸）</v>
      </c>
      <c r="D110" s="6" t="str">
        <f>项目总控台账!H109</f>
        <v>郑士旺</v>
      </c>
      <c r="E110" s="17">
        <f>项目总控台账!I109</f>
        <v>46209</v>
      </c>
      <c r="F110" s="17">
        <f>项目总控台账!J109</f>
        <v>46269</v>
      </c>
      <c r="G110" s="6" t="str">
        <f>IF(B110="","",IF(OR(C110="",C110="/"),"缺少任务名称；","")&amp;IF(OR(D110="",D110="/"),"缺少有效主责人；","")&amp;IF(OR(E110="",E110&lt;DATE(2000,1,1)),"缺少有效计划开始；","")&amp;IF(OR(F110="",F110&lt;DATE(2000,1,1)),"缺少有效计划完成；","")&amp;IF(项目总控台账!G109="","缺少总体状态；","")&amp;IF(AND(ISNUMBER(E110),ISNUMBER(F110),E110&gt;=DATE(2000,1,1),F110&gt;=DATE(2000,1,1),E110&gt;F110),"开始晚于完成；","")&amp;IF(AND(项目总控台账!G109="已完成",项目总控台账!AB109&lt;1),"已完成但进度不足100%；",""))</f>
        <v/>
      </c>
      <c r="H110" s="6" t="str">
        <f t="shared" si="2"/>
        <v>通过</v>
      </c>
      <c r="I110" s="6" t="str">
        <f t="shared" si="3"/>
        <v>无需处理</v>
      </c>
      <c r="J110" s="6">
        <v>109</v>
      </c>
    </row>
    <row r="111" spans="1:10">
      <c r="A111" s="6" t="s">
        <v>736</v>
      </c>
      <c r="B111" s="6" t="str">
        <f>项目总控台账!A110</f>
        <v>T107</v>
      </c>
      <c r="C111" s="6" t="str">
        <f>IF(AND(项目总控台账!E110&lt;&gt;"",项目总控台账!E110&lt;&gt;"/"),项目总控台账!E110,IF(AND(项目总控台账!D110&lt;&gt;"",项目总控台账!D110&lt;&gt;"/"),项目总控台账!D110,项目总控台账!C110))</f>
        <v>分货主实时统计表（曹妃甸）</v>
      </c>
      <c r="D111" s="6" t="str">
        <f>项目总控台账!H110</f>
        <v>郑士旺</v>
      </c>
      <c r="E111" s="17">
        <f>项目总控台账!I110</f>
        <v>46209</v>
      </c>
      <c r="F111" s="17">
        <f>项目总控台账!J110</f>
        <v>46269</v>
      </c>
      <c r="G111" s="6" t="str">
        <f>IF(B111="","",IF(OR(C111="",C111="/"),"缺少任务名称；","")&amp;IF(OR(D111="",D111="/"),"缺少有效主责人；","")&amp;IF(OR(E111="",E111&lt;DATE(2000,1,1)),"缺少有效计划开始；","")&amp;IF(OR(F111="",F111&lt;DATE(2000,1,1)),"缺少有效计划完成；","")&amp;IF(项目总控台账!G110="","缺少总体状态；","")&amp;IF(AND(ISNUMBER(E111),ISNUMBER(F111),E111&gt;=DATE(2000,1,1),F111&gt;=DATE(2000,1,1),E111&gt;F111),"开始晚于完成；","")&amp;IF(AND(项目总控台账!G110="已完成",项目总控台账!AB110&lt;1),"已完成但进度不足100%；",""))</f>
        <v/>
      </c>
      <c r="H111" s="6" t="str">
        <f t="shared" si="2"/>
        <v>通过</v>
      </c>
      <c r="I111" s="6" t="str">
        <f t="shared" si="3"/>
        <v>无需处理</v>
      </c>
      <c r="J111" s="6">
        <v>110</v>
      </c>
    </row>
    <row r="112" spans="1:10">
      <c r="A112" s="6" t="s">
        <v>736</v>
      </c>
      <c r="B112" s="6" t="str">
        <f>项目总控台账!A111</f>
        <v>T108</v>
      </c>
      <c r="C112" s="6" t="str">
        <f>IF(AND(项目总控台账!E111&lt;&gt;"",项目总控台账!E111&lt;&gt;"/"),项目总控台账!E111,IF(AND(项目总控台账!D111&lt;&gt;"",项目总控台账!D111&lt;&gt;"/"),项目总控台账!D111,项目总控台账!C111))</f>
        <v>综合装船效率分析（曹妃甸）</v>
      </c>
      <c r="D112" s="6" t="str">
        <f>项目总控台账!H111</f>
        <v>郑士旺</v>
      </c>
      <c r="E112" s="17">
        <f>项目总控台账!I111</f>
        <v>46209</v>
      </c>
      <c r="F112" s="17">
        <f>项目总控台账!J111</f>
        <v>46269</v>
      </c>
      <c r="G112" s="6" t="str">
        <f>IF(B112="","",IF(OR(C112="",C112="/"),"缺少任务名称；","")&amp;IF(OR(D112="",D112="/"),"缺少有效主责人；","")&amp;IF(OR(E112="",E112&lt;DATE(2000,1,1)),"缺少有效计划开始；","")&amp;IF(OR(F112="",F112&lt;DATE(2000,1,1)),"缺少有效计划完成；","")&amp;IF(项目总控台账!G111="","缺少总体状态；","")&amp;IF(AND(ISNUMBER(E112),ISNUMBER(F112),E112&gt;=DATE(2000,1,1),F112&gt;=DATE(2000,1,1),E112&gt;F112),"开始晚于完成；","")&amp;IF(AND(项目总控台账!G111="已完成",项目总控台账!AB111&lt;1),"已完成但进度不足100%；",""))</f>
        <v/>
      </c>
      <c r="H112" s="6" t="str">
        <f t="shared" si="2"/>
        <v>通过</v>
      </c>
      <c r="I112" s="6" t="str">
        <f t="shared" si="3"/>
        <v>无需处理</v>
      </c>
      <c r="J112" s="6">
        <v>111</v>
      </c>
    </row>
    <row r="113" spans="1:10">
      <c r="A113" s="6" t="s">
        <v>736</v>
      </c>
      <c r="B113" s="6" t="str">
        <f>项目总控台账!A112</f>
        <v>T109</v>
      </c>
      <c r="C113" s="6" t="str">
        <f>IF(AND(项目总控台账!E112&lt;&gt;"",项目总控台账!E112&lt;&gt;"/"),项目总控台账!E112,IF(AND(项目总控台账!D112&lt;&gt;"",项目总控台账!D112&lt;&gt;"/"),项目总控台账!D112,项目总控台账!C112))</f>
        <v>综合卸车效率分析（曹妃甸）</v>
      </c>
      <c r="D113" s="6" t="str">
        <f>项目总控台账!H112</f>
        <v>郑士旺</v>
      </c>
      <c r="E113" s="17">
        <f>项目总控台账!I112</f>
        <v>46209</v>
      </c>
      <c r="F113" s="17">
        <f>项目总控台账!J112</f>
        <v>46269</v>
      </c>
      <c r="G113" s="6" t="str">
        <f>IF(B113="","",IF(OR(C113="",C113="/"),"缺少任务名称；","")&amp;IF(OR(D113="",D113="/"),"缺少有效主责人；","")&amp;IF(OR(E113="",E113&lt;DATE(2000,1,1)),"缺少有效计划开始；","")&amp;IF(OR(F113="",F113&lt;DATE(2000,1,1)),"缺少有效计划完成；","")&amp;IF(项目总控台账!G112="","缺少总体状态；","")&amp;IF(AND(ISNUMBER(E113),ISNUMBER(F113),E113&gt;=DATE(2000,1,1),F113&gt;=DATE(2000,1,1),E113&gt;F113),"开始晚于完成；","")&amp;IF(AND(项目总控台账!G112="已完成",项目总控台账!AB112&lt;1),"已完成但进度不足100%；",""))</f>
        <v/>
      </c>
      <c r="H113" s="6" t="str">
        <f t="shared" si="2"/>
        <v>通过</v>
      </c>
      <c r="I113" s="6" t="str">
        <f t="shared" si="3"/>
        <v>无需处理</v>
      </c>
      <c r="J113" s="6">
        <v>112</v>
      </c>
    </row>
    <row r="114" spans="1:10">
      <c r="A114" s="6" t="s">
        <v>736</v>
      </c>
      <c r="B114" s="6" t="str">
        <f>项目总控台账!A113</f>
        <v>T110</v>
      </c>
      <c r="C114" s="6" t="str">
        <f>IF(AND(项目总控台账!E113&lt;&gt;"",项目总控台账!E113&lt;&gt;"/"),项目总控台账!E113,IF(AND(项目总控台账!D113&lt;&gt;"",项目总控台账!D113&lt;&gt;"/"),项目总控台账!D113,项目总控台账!C113))</f>
        <v>综合卸船效率分析（曹妃甸）</v>
      </c>
      <c r="D114" s="6" t="str">
        <f>项目总控台账!H113</f>
        <v>郑士旺</v>
      </c>
      <c r="E114" s="17">
        <f>项目总控台账!I113</f>
        <v>46209</v>
      </c>
      <c r="F114" s="17">
        <f>项目总控台账!J113</f>
        <v>46269</v>
      </c>
      <c r="G114" s="6" t="str">
        <f>IF(B114="","",IF(OR(C114="",C114="/"),"缺少任务名称；","")&amp;IF(OR(D114="",D114="/"),"缺少有效主责人；","")&amp;IF(OR(E114="",E114&lt;DATE(2000,1,1)),"缺少有效计划开始；","")&amp;IF(OR(F114="",F114&lt;DATE(2000,1,1)),"缺少有效计划完成；","")&amp;IF(项目总控台账!G113="","缺少总体状态；","")&amp;IF(AND(ISNUMBER(E114),ISNUMBER(F114),E114&gt;=DATE(2000,1,1),F114&gt;=DATE(2000,1,1),E114&gt;F114),"开始晚于完成；","")&amp;IF(AND(项目总控台账!G113="已完成",项目总控台账!AB113&lt;1),"已完成但进度不足100%；",""))</f>
        <v/>
      </c>
      <c r="H114" s="6" t="str">
        <f t="shared" si="2"/>
        <v>通过</v>
      </c>
      <c r="I114" s="6" t="str">
        <f t="shared" si="3"/>
        <v>无需处理</v>
      </c>
      <c r="J114" s="6">
        <v>113</v>
      </c>
    </row>
    <row r="115" spans="1:10">
      <c r="A115" s="6" t="s">
        <v>736</v>
      </c>
      <c r="B115" s="6" t="str">
        <f>项目总控台账!A114</f>
        <v>T111</v>
      </c>
      <c r="C115" s="6" t="str">
        <f>IF(AND(项目总控台账!E114&lt;&gt;"",项目总控台账!E114&lt;&gt;"/"),项目总控台账!E114,IF(AND(项目总控台账!D114&lt;&gt;"",项目总控台账!D114&lt;&gt;"/"),项目总控台账!D114,项目总控台账!C114))</f>
        <v>吞吐量统计（太仓）</v>
      </c>
      <c r="D115" s="6" t="str">
        <f>项目总控台账!H114</f>
        <v>/</v>
      </c>
      <c r="E115" s="17" t="str">
        <f>项目总控台账!I114</f>
        <v/>
      </c>
      <c r="F115" s="17" t="str">
        <f>项目总控台账!J114</f>
        <v/>
      </c>
      <c r="G115" s="6" t="str">
        <f>IF(B115="","",IF(OR(C115="",C115="/"),"缺少任务名称；","")&amp;IF(OR(D115="",D115="/"),"缺少有效主责人；","")&amp;IF(OR(E115="",E115&lt;DATE(2000,1,1)),"缺少有效计划开始；","")&amp;IF(OR(F115="",F115&lt;DATE(2000,1,1)),"缺少有效计划完成；","")&amp;IF(项目总控台账!G114="","缺少总体状态；","")&amp;IF(AND(ISNUMBER(E115),ISNUMBER(F115),E115&gt;=DATE(2000,1,1),F115&gt;=DATE(2000,1,1),E115&gt;F115),"开始晚于完成；","")&amp;IF(AND(项目总控台账!G114="已完成",项目总控台账!AB114&lt;1),"已完成但进度不足100%；",""))</f>
        <v>缺少有效主责人；缺少有效计划开始；缺少有效计划完成；</v>
      </c>
      <c r="H115" s="6" t="str">
        <f t="shared" si="2"/>
        <v>需整改</v>
      </c>
      <c r="I115" s="6" t="str">
        <f t="shared" si="3"/>
        <v>回到项目总控台账第114行补齐或修正</v>
      </c>
      <c r="J115" s="6">
        <v>114</v>
      </c>
    </row>
    <row r="116" spans="1:10">
      <c r="A116" s="6" t="s">
        <v>736</v>
      </c>
      <c r="B116" s="6" t="str">
        <f>项目总控台账!A115</f>
        <v>T112</v>
      </c>
      <c r="C116" s="6" t="str">
        <f>IF(AND(项目总控台账!E115&lt;&gt;"",项目总控台账!E115&lt;&gt;"/"),项目总控台账!E115,IF(AND(项目总控台账!D115&lt;&gt;"",项目总控台账!D115&lt;&gt;"/"),项目总控台账!D115,项目总控台账!C115))</f>
        <v>泊位占用率分析（太仓）</v>
      </c>
      <c r="D116" s="6" t="str">
        <f>项目总控台账!H115</f>
        <v>/</v>
      </c>
      <c r="E116" s="17" t="str">
        <f>项目总控台账!I115</f>
        <v/>
      </c>
      <c r="F116" s="17" t="str">
        <f>项目总控台账!J115</f>
        <v/>
      </c>
      <c r="G116" s="6" t="str">
        <f>IF(B116="","",IF(OR(C116="",C116="/"),"缺少任务名称；","")&amp;IF(OR(D116="",D116="/"),"缺少有效主责人；","")&amp;IF(OR(E116="",E116&lt;DATE(2000,1,1)),"缺少有效计划开始；","")&amp;IF(OR(F116="",F116&lt;DATE(2000,1,1)),"缺少有效计划完成；","")&amp;IF(项目总控台账!G115="","缺少总体状态；","")&amp;IF(AND(ISNUMBER(E116),ISNUMBER(F116),E116&gt;=DATE(2000,1,1),F116&gt;=DATE(2000,1,1),E116&gt;F116),"开始晚于完成；","")&amp;IF(AND(项目总控台账!G115="已完成",项目总控台账!AB115&lt;1),"已完成但进度不足100%；",""))</f>
        <v>缺少有效主责人；缺少有效计划开始；缺少有效计划完成；</v>
      </c>
      <c r="H116" s="6" t="str">
        <f t="shared" si="2"/>
        <v>需整改</v>
      </c>
      <c r="I116" s="6" t="str">
        <f t="shared" si="3"/>
        <v>回到项目总控台账第115行补齐或修正</v>
      </c>
      <c r="J116" s="6">
        <v>115</v>
      </c>
    </row>
    <row r="117" spans="1:10">
      <c r="A117" s="6" t="s">
        <v>736</v>
      </c>
      <c r="B117" s="6" t="str">
        <f>项目总控台账!A116</f>
        <v>T113</v>
      </c>
      <c r="C117" s="6" t="str">
        <f>IF(AND(项目总控台账!E116&lt;&gt;"",项目总控台账!E116&lt;&gt;"/"),项目总控台账!E116,IF(AND(项目总控台账!D116&lt;&gt;"",项目总控台账!D116&lt;&gt;"/"),项目总控台账!D116,项目总控台账!C116))</f>
        <v>堆存库存统计（太仓）</v>
      </c>
      <c r="D117" s="6" t="str">
        <f>项目总控台账!H116</f>
        <v>/</v>
      </c>
      <c r="E117" s="17" t="str">
        <f>项目总控台账!I116</f>
        <v/>
      </c>
      <c r="F117" s="17" t="str">
        <f>项目总控台账!J116</f>
        <v/>
      </c>
      <c r="G117" s="6" t="str">
        <f>IF(B117="","",IF(OR(C117="",C117="/"),"缺少任务名称；","")&amp;IF(OR(D117="",D117="/"),"缺少有效主责人；","")&amp;IF(OR(E117="",E117&lt;DATE(2000,1,1)),"缺少有效计划开始；","")&amp;IF(OR(F117="",F117&lt;DATE(2000,1,1)),"缺少有效计划完成；","")&amp;IF(项目总控台账!G116="","缺少总体状态；","")&amp;IF(AND(ISNUMBER(E117),ISNUMBER(F117),E117&gt;=DATE(2000,1,1),F117&gt;=DATE(2000,1,1),E117&gt;F117),"开始晚于完成；","")&amp;IF(AND(项目总控台账!G116="已完成",项目总控台账!AB116&lt;1),"已完成但进度不足100%；",""))</f>
        <v>缺少有效主责人；缺少有效计划开始；缺少有效计划完成；</v>
      </c>
      <c r="H117" s="6" t="str">
        <f t="shared" si="2"/>
        <v>需整改</v>
      </c>
      <c r="I117" s="6" t="str">
        <f t="shared" si="3"/>
        <v>回到项目总控台账第116行补齐或修正</v>
      </c>
      <c r="J117" s="6">
        <v>116</v>
      </c>
    </row>
    <row r="118" spans="1:10">
      <c r="A118" s="6" t="s">
        <v>736</v>
      </c>
      <c r="B118" s="6" t="str">
        <f>项目总控台账!A117</f>
        <v>T114</v>
      </c>
      <c r="C118" s="6" t="str">
        <f>IF(AND(项目总控台账!E117&lt;&gt;"",项目总控台账!E117&lt;&gt;"/"),项目总控台账!E117,IF(AND(项目总控台账!D117&lt;&gt;"",项目总控台账!D117&lt;&gt;"/"),项目总控台账!D117,项目总控台账!C117))</f>
        <v>分货主实时统计表（太仓）</v>
      </c>
      <c r="D118" s="6" t="str">
        <f>项目总控台账!H117</f>
        <v>/</v>
      </c>
      <c r="E118" s="17" t="str">
        <f>项目总控台账!I117</f>
        <v/>
      </c>
      <c r="F118" s="17" t="str">
        <f>项目总控台账!J117</f>
        <v/>
      </c>
      <c r="G118" s="6" t="str">
        <f>IF(B118="","",IF(OR(C118="",C118="/"),"缺少任务名称；","")&amp;IF(OR(D118="",D118="/"),"缺少有效主责人；","")&amp;IF(OR(E118="",E118&lt;DATE(2000,1,1)),"缺少有效计划开始；","")&amp;IF(OR(F118="",F118&lt;DATE(2000,1,1)),"缺少有效计划完成；","")&amp;IF(项目总控台账!G117="","缺少总体状态；","")&amp;IF(AND(ISNUMBER(E118),ISNUMBER(F118),E118&gt;=DATE(2000,1,1),F118&gt;=DATE(2000,1,1),E118&gt;F118),"开始晚于完成；","")&amp;IF(AND(项目总控台账!G117="已完成",项目总控台账!AB117&lt;1),"已完成但进度不足100%；",""))</f>
        <v>缺少有效主责人；缺少有效计划开始；缺少有效计划完成；</v>
      </c>
      <c r="H118" s="6" t="str">
        <f t="shared" si="2"/>
        <v>需整改</v>
      </c>
      <c r="I118" s="6" t="str">
        <f t="shared" si="3"/>
        <v>回到项目总控台账第117行补齐或修正</v>
      </c>
      <c r="J118" s="6">
        <v>117</v>
      </c>
    </row>
    <row r="119" spans="1:10">
      <c r="A119" s="6" t="s">
        <v>736</v>
      </c>
      <c r="B119" s="6" t="str">
        <f>项目总控台账!A118</f>
        <v>T115</v>
      </c>
      <c r="C119" s="6" t="str">
        <f>IF(AND(项目总控台账!E118&lt;&gt;"",项目总控台账!E118&lt;&gt;"/"),项目总控台账!E118,IF(AND(项目总控台账!D118&lt;&gt;"",项目总控台账!D118&lt;&gt;"/"),项目总控台账!D118,项目总控台账!C118))</f>
        <v>综合卸船效率分析（太仓）</v>
      </c>
      <c r="D119" s="6" t="str">
        <f>项目总控台账!H118</f>
        <v>/</v>
      </c>
      <c r="E119" s="17" t="str">
        <f>项目总控台账!I118</f>
        <v/>
      </c>
      <c r="F119" s="17" t="str">
        <f>项目总控台账!J118</f>
        <v/>
      </c>
      <c r="G119" s="6" t="str">
        <f>IF(B119="","",IF(OR(C119="",C119="/"),"缺少任务名称；","")&amp;IF(OR(D119="",D119="/"),"缺少有效主责人；","")&amp;IF(OR(E119="",E119&lt;DATE(2000,1,1)),"缺少有效计划开始；","")&amp;IF(OR(F119="",F119&lt;DATE(2000,1,1)),"缺少有效计划完成；","")&amp;IF(项目总控台账!G118="","缺少总体状态；","")&amp;IF(AND(ISNUMBER(E119),ISNUMBER(F119),E119&gt;=DATE(2000,1,1),F119&gt;=DATE(2000,1,1),E119&gt;F119),"开始晚于完成；","")&amp;IF(AND(项目总控台账!G118="已完成",项目总控台账!AB118&lt;1),"已完成但进度不足100%；",""))</f>
        <v>缺少有效主责人；缺少有效计划开始；缺少有效计划完成；</v>
      </c>
      <c r="H119" s="6" t="str">
        <f t="shared" si="2"/>
        <v>需整改</v>
      </c>
      <c r="I119" s="6" t="str">
        <f t="shared" si="3"/>
        <v>回到项目总控台账第118行补齐或修正</v>
      </c>
      <c r="J119" s="6">
        <v>118</v>
      </c>
    </row>
    <row r="120" spans="1:10">
      <c r="A120" s="6" t="s">
        <v>736</v>
      </c>
      <c r="B120" s="6" t="str">
        <f>项目总控台账!A119</f>
        <v>T116</v>
      </c>
      <c r="C120" s="6" t="str">
        <f>IF(AND(项目总控台账!E119&lt;&gt;"",项目总控台账!E119&lt;&gt;"/"),项目总控台账!E119,IF(AND(项目总控台账!D119&lt;&gt;"",项目总控台账!D119&lt;&gt;"/"),项目总控台账!D119,项目总控台账!C119))</f>
        <v>堆垛雨布苫盖情况表（太仓）</v>
      </c>
      <c r="D120" s="6" t="str">
        <f>项目总控台账!H119</f>
        <v>/</v>
      </c>
      <c r="E120" s="17" t="str">
        <f>项目总控台账!I119</f>
        <v/>
      </c>
      <c r="F120" s="17" t="str">
        <f>项目总控台账!J119</f>
        <v/>
      </c>
      <c r="G120" s="6" t="str">
        <f>IF(B120="","",IF(OR(C120="",C120="/"),"缺少任务名称；","")&amp;IF(OR(D120="",D120="/"),"缺少有效主责人；","")&amp;IF(OR(E120="",E120&lt;DATE(2000,1,1)),"缺少有效计划开始；","")&amp;IF(OR(F120="",F120&lt;DATE(2000,1,1)),"缺少有效计划完成；","")&amp;IF(项目总控台账!G119="","缺少总体状态；","")&amp;IF(AND(ISNUMBER(E120),ISNUMBER(F120),E120&gt;=DATE(2000,1,1),F120&gt;=DATE(2000,1,1),E120&gt;F120),"开始晚于完成；","")&amp;IF(AND(项目总控台账!G119="已完成",项目总控台账!AB119&lt;1),"已完成但进度不足100%；",""))</f>
        <v>缺少有效主责人；缺少有效计划开始；缺少有效计划完成；</v>
      </c>
      <c r="H120" s="6" t="str">
        <f t="shared" si="2"/>
        <v>需整改</v>
      </c>
      <c r="I120" s="6" t="str">
        <f t="shared" si="3"/>
        <v>回到项目总控台账第119行补齐或修正</v>
      </c>
      <c r="J120" s="6">
        <v>119</v>
      </c>
    </row>
    <row r="121" spans="1:10">
      <c r="A121" s="6" t="s">
        <v>736</v>
      </c>
      <c r="B121" s="6" t="str">
        <f>项目总控台账!A120</f>
        <v>T117</v>
      </c>
      <c r="C121" s="6" t="str">
        <f>IF(AND(项目总控台账!E120&lt;&gt;"",项目总控台账!E120&lt;&gt;"/"),项目总控台账!E120,IF(AND(项目总控台账!D120&lt;&gt;"",项目总控台账!D120&lt;&gt;"/"),项目总控台账!D120,项目总控台账!C120))</f>
        <v>经营任务情况分析报告</v>
      </c>
      <c r="D121" s="6" t="str">
        <f>项目总控台账!H120</f>
        <v>郑士旺</v>
      </c>
      <c r="E121" s="17">
        <f>项目总控台账!I120</f>
        <v>46230</v>
      </c>
      <c r="F121" s="17">
        <f>项目总控台账!J120</f>
        <v>46269</v>
      </c>
      <c r="G121" s="6" t="str">
        <f>IF(B121="","",IF(OR(C121="",C121="/"),"缺少任务名称；","")&amp;IF(OR(D121="",D121="/"),"缺少有效主责人；","")&amp;IF(OR(E121="",E121&lt;DATE(2000,1,1)),"缺少有效计划开始；","")&amp;IF(OR(F121="",F121&lt;DATE(2000,1,1)),"缺少有效计划完成；","")&amp;IF(项目总控台账!G120="","缺少总体状态；","")&amp;IF(AND(ISNUMBER(E121),ISNUMBER(F121),E121&gt;=DATE(2000,1,1),F121&gt;=DATE(2000,1,1),E121&gt;F121),"开始晚于完成；","")&amp;IF(AND(项目总控台账!G120="已完成",项目总控台账!AB120&lt;1),"已完成但进度不足100%；",""))</f>
        <v/>
      </c>
      <c r="H121" s="6" t="str">
        <f t="shared" si="2"/>
        <v>通过</v>
      </c>
      <c r="I121" s="6" t="str">
        <f t="shared" si="3"/>
        <v>无需处理</v>
      </c>
      <c r="J121" s="6">
        <v>120</v>
      </c>
    </row>
    <row r="122" spans="1:10">
      <c r="A122" s="6" t="s">
        <v>736</v>
      </c>
      <c r="B122" s="6" t="str">
        <f>项目总控台账!A121</f>
        <v>T118</v>
      </c>
      <c r="C122" s="6" t="str">
        <f>IF(AND(项目总控台账!E121&lt;&gt;"",项目总控台账!E121&lt;&gt;"/"),项目总控台账!E121,IF(AND(项目总控台账!D121&lt;&gt;"",项目总控台账!D121&lt;&gt;"/"),项目总控台账!D121,项目总控台账!C121))</f>
        <v>客户月报报告</v>
      </c>
      <c r="D122" s="6" t="str">
        <f>项目总控台账!H121</f>
        <v>郑士旺</v>
      </c>
      <c r="E122" s="17">
        <f>项目总控台账!I121</f>
        <v>46230</v>
      </c>
      <c r="F122" s="17">
        <f>项目总控台账!J121</f>
        <v>46269</v>
      </c>
      <c r="G122" s="6" t="str">
        <f>IF(B122="","",IF(OR(C122="",C122="/"),"缺少任务名称；","")&amp;IF(OR(D122="",D122="/"),"缺少有效主责人；","")&amp;IF(OR(E122="",E122&lt;DATE(2000,1,1)),"缺少有效计划开始；","")&amp;IF(OR(F122="",F122&lt;DATE(2000,1,1)),"缺少有效计划完成；","")&amp;IF(项目总控台账!G121="","缺少总体状态；","")&amp;IF(AND(ISNUMBER(E122),ISNUMBER(F122),E122&gt;=DATE(2000,1,1),F122&gt;=DATE(2000,1,1),E122&gt;F122),"开始晚于完成；","")&amp;IF(AND(项目总控台账!G121="已完成",项目总控台账!AB121&lt;1),"已完成但进度不足100%；",""))</f>
        <v/>
      </c>
      <c r="H122" s="6" t="str">
        <f t="shared" si="2"/>
        <v>通过</v>
      </c>
      <c r="I122" s="6" t="str">
        <f t="shared" si="3"/>
        <v>无需处理</v>
      </c>
      <c r="J122" s="6">
        <v>121</v>
      </c>
    </row>
    <row r="123" spans="1:10">
      <c r="A123" s="6" t="s">
        <v>736</v>
      </c>
      <c r="B123" s="6" t="str">
        <f>项目总控台账!A122</f>
        <v>T119</v>
      </c>
      <c r="C123" s="6" t="str">
        <f>IF(AND(项目总控台账!E122&lt;&gt;"",项目总控台账!E122&lt;&gt;"/"),项目总控台账!E122,IF(AND(项目总控台账!D122&lt;&gt;"",项目总控台账!D122&lt;&gt;"/"),项目总控台账!D122,项目总控台账!C122))</f>
        <v>月度客户情况报告</v>
      </c>
      <c r="D123" s="6" t="str">
        <f>项目总控台账!H122</f>
        <v>郑士旺</v>
      </c>
      <c r="E123" s="17">
        <f>项目总控台账!I122</f>
        <v>46230</v>
      </c>
      <c r="F123" s="17">
        <f>项目总控台账!J122</f>
        <v>46269</v>
      </c>
      <c r="G123" s="6" t="str">
        <f>IF(B123="","",IF(OR(C123="",C123="/"),"缺少任务名称；","")&amp;IF(OR(D123="",D123="/"),"缺少有效主责人；","")&amp;IF(OR(E123="",E123&lt;DATE(2000,1,1)),"缺少有效计划开始；","")&amp;IF(OR(F123="",F123&lt;DATE(2000,1,1)),"缺少有效计划完成；","")&amp;IF(项目总控台账!G122="","缺少总体状态；","")&amp;IF(AND(ISNUMBER(E123),ISNUMBER(F123),E123&gt;=DATE(2000,1,1),F123&gt;=DATE(2000,1,1),E123&gt;F123),"开始晚于完成；","")&amp;IF(AND(项目总控台账!G122="已完成",项目总控台账!AB122&lt;1),"已完成但进度不足100%；",""))</f>
        <v/>
      </c>
      <c r="H123" s="6" t="str">
        <f t="shared" si="2"/>
        <v>通过</v>
      </c>
      <c r="I123" s="6" t="str">
        <f t="shared" si="3"/>
        <v>无需处理</v>
      </c>
      <c r="J123" s="6">
        <v>122</v>
      </c>
    </row>
    <row r="124" spans="1:10">
      <c r="A124" s="6" t="s">
        <v>736</v>
      </c>
      <c r="B124" s="6" t="str">
        <f>项目总控台账!A123</f>
        <v>T120</v>
      </c>
      <c r="C124" s="6" t="str">
        <f>IF(AND(项目总控台账!E123&lt;&gt;"",项目总控台账!E123&lt;&gt;"/"),项目总控台账!E123,IF(AND(项目总控台账!D123&lt;&gt;"",项目总控台账!D123&lt;&gt;"/"),项目总控台账!D123,项目总控台账!C123))</f>
        <v>商务计划周报</v>
      </c>
      <c r="D124" s="6" t="str">
        <f>项目总控台账!H123</f>
        <v>郑士旺</v>
      </c>
      <c r="E124" s="17">
        <f>项目总控台账!I123</f>
        <v>46230</v>
      </c>
      <c r="F124" s="17">
        <f>项目总控台账!J123</f>
        <v>46269</v>
      </c>
      <c r="G124" s="6" t="str">
        <f>IF(B124="","",IF(OR(C124="",C124="/"),"缺少任务名称；","")&amp;IF(OR(D124="",D124="/"),"缺少有效主责人；","")&amp;IF(OR(E124="",E124&lt;DATE(2000,1,1)),"缺少有效计划开始；","")&amp;IF(OR(F124="",F124&lt;DATE(2000,1,1)),"缺少有效计划完成；","")&amp;IF(项目总控台账!G123="","缺少总体状态；","")&amp;IF(AND(ISNUMBER(E124),ISNUMBER(F124),E124&gt;=DATE(2000,1,1),F124&gt;=DATE(2000,1,1),E124&gt;F124),"开始晚于完成；","")&amp;IF(AND(项目总控台账!G123="已完成",项目总控台账!AB123&lt;1),"已完成但进度不足100%；",""))</f>
        <v/>
      </c>
      <c r="H124" s="6" t="str">
        <f t="shared" si="2"/>
        <v>通过</v>
      </c>
      <c r="I124" s="6" t="str">
        <f t="shared" si="3"/>
        <v>无需处理</v>
      </c>
      <c r="J124" s="6">
        <v>123</v>
      </c>
    </row>
    <row r="125" spans="1:10">
      <c r="A125" s="6" t="s">
        <v>736</v>
      </c>
      <c r="B125" s="6" t="str">
        <f>项目总控台账!A124</f>
        <v>T121</v>
      </c>
      <c r="C125" s="6" t="str">
        <f>IF(AND(项目总控台账!E124&lt;&gt;"",项目总控台账!E124&lt;&gt;"/"),项目总控台账!E124,IF(AND(项目总控台账!D124&lt;&gt;"",项目总控台账!D124&lt;&gt;"/"),项目总控台账!D124,项目总控台账!C124))</f>
        <v>船舶供应服务查询</v>
      </c>
      <c r="D125" s="6" t="str">
        <f>项目总控台账!H124</f>
        <v>郑士旺</v>
      </c>
      <c r="E125" s="17">
        <f>项目总控台账!I124</f>
        <v>46216</v>
      </c>
      <c r="F125" s="17">
        <f>项目总控台账!J124</f>
        <v>46261</v>
      </c>
      <c r="G125" s="6" t="str">
        <f>IF(B125="","",IF(OR(C125="",C125="/"),"缺少任务名称；","")&amp;IF(OR(D125="",D125="/"),"缺少有效主责人；","")&amp;IF(OR(E125="",E125&lt;DATE(2000,1,1)),"缺少有效计划开始；","")&amp;IF(OR(F125="",F125&lt;DATE(2000,1,1)),"缺少有效计划完成；","")&amp;IF(项目总控台账!G124="","缺少总体状态；","")&amp;IF(AND(ISNUMBER(E125),ISNUMBER(F125),E125&gt;=DATE(2000,1,1),F125&gt;=DATE(2000,1,1),E125&gt;F125),"开始晚于完成；","")&amp;IF(AND(项目总控台账!G124="已完成",项目总控台账!AB124&lt;1),"已完成但进度不足100%；",""))</f>
        <v/>
      </c>
      <c r="H125" s="6" t="str">
        <f t="shared" si="2"/>
        <v>通过</v>
      </c>
      <c r="I125" s="6" t="str">
        <f t="shared" si="3"/>
        <v>无需处理</v>
      </c>
      <c r="J125" s="6">
        <v>124</v>
      </c>
    </row>
    <row r="126" spans="1:10">
      <c r="A126" s="6" t="s">
        <v>736</v>
      </c>
      <c r="B126" s="6" t="str">
        <f>项目总控台账!A125</f>
        <v>T122</v>
      </c>
      <c r="C126" s="6" t="str">
        <f>IF(AND(项目总控台账!E125&lt;&gt;"",项目总控台账!E125&lt;&gt;"/"),项目总控台账!E125,IF(AND(项目总控台账!D125&lt;&gt;"",项目总控台账!D125&lt;&gt;"/"),项目总控台账!D125,项目总控台账!C125))</f>
        <v>船舶预到（内贸）查询</v>
      </c>
      <c r="D126" s="6" t="str">
        <f>项目总控台账!H125</f>
        <v>郑士旺</v>
      </c>
      <c r="E126" s="17">
        <f>项目总控台账!I125</f>
        <v>46216</v>
      </c>
      <c r="F126" s="17">
        <f>项目总控台账!J125</f>
        <v>46261</v>
      </c>
      <c r="G126" s="6" t="str">
        <f>IF(B126="","",IF(OR(C126="",C126="/"),"缺少任务名称；","")&amp;IF(OR(D126="",D126="/"),"缺少有效主责人；","")&amp;IF(OR(E126="",E126&lt;DATE(2000,1,1)),"缺少有效计划开始；","")&amp;IF(OR(F126="",F126&lt;DATE(2000,1,1)),"缺少有效计划完成；","")&amp;IF(项目总控台账!G125="","缺少总体状态；","")&amp;IF(AND(ISNUMBER(E126),ISNUMBER(F126),E126&gt;=DATE(2000,1,1),F126&gt;=DATE(2000,1,1),E126&gt;F126),"开始晚于完成；","")&amp;IF(AND(项目总控台账!G125="已完成",项目总控台账!AB125&lt;1),"已完成但进度不足100%；",""))</f>
        <v/>
      </c>
      <c r="H126" s="6" t="str">
        <f t="shared" si="2"/>
        <v>通过</v>
      </c>
      <c r="I126" s="6" t="str">
        <f t="shared" si="3"/>
        <v>无需处理</v>
      </c>
      <c r="J126" s="6">
        <v>125</v>
      </c>
    </row>
    <row r="127" spans="1:10">
      <c r="A127" s="6" t="s">
        <v>736</v>
      </c>
      <c r="B127" s="6" t="str">
        <f>项目总控台账!A126</f>
        <v>T123</v>
      </c>
      <c r="C127" s="6" t="str">
        <f>IF(AND(项目总控台账!E126&lt;&gt;"",项目总控台账!E126&lt;&gt;"/"),项目总控台账!E126,IF(AND(项目总控台账!D126&lt;&gt;"",项目总控台账!D126&lt;&gt;"/"),项目总控台账!D126,项目总控台账!C126))</f>
        <v>台账查询</v>
      </c>
      <c r="D127" s="6" t="str">
        <f>项目总控台账!H126</f>
        <v>郑士旺</v>
      </c>
      <c r="E127" s="17">
        <f>项目总控台账!I126</f>
        <v>46216</v>
      </c>
      <c r="F127" s="17">
        <f>项目总控台账!J126</f>
        <v>46261</v>
      </c>
      <c r="G127" s="6" t="str">
        <f>IF(B127="","",IF(OR(C127="",C127="/"),"缺少任务名称；","")&amp;IF(OR(D127="",D127="/"),"缺少有效主责人；","")&amp;IF(OR(E127="",E127&lt;DATE(2000,1,1)),"缺少有效计划开始；","")&amp;IF(OR(F127="",F127&lt;DATE(2000,1,1)),"缺少有效计划完成；","")&amp;IF(项目总控台账!G126="","缺少总体状态；","")&amp;IF(AND(ISNUMBER(E127),ISNUMBER(F127),E127&gt;=DATE(2000,1,1),F127&gt;=DATE(2000,1,1),E127&gt;F127),"开始晚于完成；","")&amp;IF(AND(项目总控台账!G126="已完成",项目总控台账!AB126&lt;1),"已完成但进度不足100%；",""))</f>
        <v/>
      </c>
      <c r="H127" s="6" t="str">
        <f t="shared" si="2"/>
        <v>通过</v>
      </c>
      <c r="I127" s="6" t="str">
        <f t="shared" si="3"/>
        <v>无需处理</v>
      </c>
      <c r="J127" s="6">
        <v>126</v>
      </c>
    </row>
    <row r="128" spans="1:10">
      <c r="A128" s="6" t="s">
        <v>736</v>
      </c>
      <c r="B128" s="6" t="str">
        <f>项目总控台账!A127</f>
        <v>T124</v>
      </c>
      <c r="C128" s="6" t="str">
        <f>IF(AND(项目总控台账!E127&lt;&gt;"",项目总控台账!E127&lt;&gt;"/"),项目总控台账!E127,IF(AND(项目总控台账!D127&lt;&gt;"",项目总控台账!D127&lt;&gt;"/"),项目总控台账!D127,项目总控台账!C127))</f>
        <v>停泊费（内贸）查询</v>
      </c>
      <c r="D128" s="6" t="str">
        <f>项目总控台账!H127</f>
        <v>郑士旺</v>
      </c>
      <c r="E128" s="17">
        <f>项目总控台账!I127</f>
        <v>46216</v>
      </c>
      <c r="F128" s="17">
        <f>项目总控台账!J127</f>
        <v>46261</v>
      </c>
      <c r="G128" s="6" t="str">
        <f>IF(B128="","",IF(OR(C128="",C128="/"),"缺少任务名称；","")&amp;IF(OR(D128="",D128="/"),"缺少有效主责人；","")&amp;IF(OR(E128="",E128&lt;DATE(2000,1,1)),"缺少有效计划开始；","")&amp;IF(OR(F128="",F128&lt;DATE(2000,1,1)),"缺少有效计划完成；","")&amp;IF(项目总控台账!G127="","缺少总体状态；","")&amp;IF(AND(ISNUMBER(E128),ISNUMBER(F128),E128&gt;=DATE(2000,1,1),F128&gt;=DATE(2000,1,1),E128&gt;F128),"开始晚于完成；","")&amp;IF(AND(项目总控台账!G127="已完成",项目总控台账!AB127&lt;1),"已完成但进度不足100%；",""))</f>
        <v/>
      </c>
      <c r="H128" s="6" t="str">
        <f t="shared" si="2"/>
        <v>通过</v>
      </c>
      <c r="I128" s="6" t="str">
        <f t="shared" si="3"/>
        <v>无需处理</v>
      </c>
      <c r="J128" s="6">
        <v>127</v>
      </c>
    </row>
    <row r="129" spans="1:10">
      <c r="A129" s="6" t="s">
        <v>736</v>
      </c>
      <c r="B129" s="6" t="str">
        <f>项目总控台账!A128</f>
        <v>T125</v>
      </c>
      <c r="C129" s="6" t="str">
        <f>IF(AND(项目总控台账!E128&lt;&gt;"",项目总控台账!E128&lt;&gt;"/"),项目总控台账!E128,IF(AND(项目总控台账!D128&lt;&gt;"",项目总控台账!D128&lt;&gt;"/"),项目总控台账!D128,项目总控台账!C128))</f>
        <v>船舶供应服务费（内贸）查询</v>
      </c>
      <c r="D129" s="6" t="str">
        <f>项目总控台账!H128</f>
        <v>郑士旺</v>
      </c>
      <c r="E129" s="17">
        <f>项目总控台账!I128</f>
        <v>46216</v>
      </c>
      <c r="F129" s="17">
        <f>项目总控台账!J128</f>
        <v>46261</v>
      </c>
      <c r="G129" s="6" t="str">
        <f>IF(B129="","",IF(OR(C129="",C129="/"),"缺少任务名称；","")&amp;IF(OR(D129="",D129="/"),"缺少有效主责人；","")&amp;IF(OR(E129="",E129&lt;DATE(2000,1,1)),"缺少有效计划开始；","")&amp;IF(OR(F129="",F129&lt;DATE(2000,1,1)),"缺少有效计划完成；","")&amp;IF(项目总控台账!G128="","缺少总体状态；","")&amp;IF(AND(ISNUMBER(E129),ISNUMBER(F129),E129&gt;=DATE(2000,1,1),F129&gt;=DATE(2000,1,1),E129&gt;F129),"开始晚于完成；","")&amp;IF(AND(项目总控台账!G128="已完成",项目总控台账!AB128&lt;1),"已完成但进度不足100%；",""))</f>
        <v/>
      </c>
      <c r="H129" s="6" t="str">
        <f t="shared" si="2"/>
        <v>通过</v>
      </c>
      <c r="I129" s="6" t="str">
        <f t="shared" si="3"/>
        <v>无需处理</v>
      </c>
      <c r="J129" s="6">
        <v>128</v>
      </c>
    </row>
    <row r="130" spans="1:10">
      <c r="A130" s="6" t="s">
        <v>736</v>
      </c>
      <c r="B130" s="6" t="str">
        <f>项目总控台账!A129</f>
        <v>T126</v>
      </c>
      <c r="C130" s="6" t="str">
        <f>IF(AND(项目总控台账!E129&lt;&gt;"",项目总控台账!E129&lt;&gt;"/"),项目总控台账!E129,IF(AND(项目总控台账!D129&lt;&gt;"",项目总控台账!D129&lt;&gt;"/"),项目总控台账!D129,项目总控台账!C129))</f>
        <v>停泊费（外贸）查询</v>
      </c>
      <c r="D130" s="6" t="str">
        <f>项目总控台账!H129</f>
        <v>郑士旺</v>
      </c>
      <c r="E130" s="17">
        <f>项目总控台账!I129</f>
        <v>46230</v>
      </c>
      <c r="F130" s="17">
        <f>项目总控台账!J129</f>
        <v>46353</v>
      </c>
      <c r="G130" s="6" t="str">
        <f>IF(B130="","",IF(OR(C130="",C130="/"),"缺少任务名称；","")&amp;IF(OR(D130="",D130="/"),"缺少有效主责人；","")&amp;IF(OR(E130="",E130&lt;DATE(2000,1,1)),"缺少有效计划开始；","")&amp;IF(OR(F130="",F130&lt;DATE(2000,1,1)),"缺少有效计划完成；","")&amp;IF(项目总控台账!G129="","缺少总体状态；","")&amp;IF(AND(ISNUMBER(E130),ISNUMBER(F130),E130&gt;=DATE(2000,1,1),F130&gt;=DATE(2000,1,1),E130&gt;F130),"开始晚于完成；","")&amp;IF(AND(项目总控台账!G129="已完成",项目总控台账!AB129&lt;1),"已完成但进度不足100%；",""))</f>
        <v/>
      </c>
      <c r="H130" s="6" t="str">
        <f t="shared" si="2"/>
        <v>通过</v>
      </c>
      <c r="I130" s="6" t="str">
        <f t="shared" si="3"/>
        <v>无需处理</v>
      </c>
      <c r="J130" s="6">
        <v>129</v>
      </c>
    </row>
    <row r="131" spans="1:10">
      <c r="A131" s="6" t="s">
        <v>736</v>
      </c>
      <c r="B131" s="6" t="str">
        <f>项目总控台账!A130</f>
        <v>T127</v>
      </c>
      <c r="C131" s="6" t="str">
        <f>IF(AND(项目总控台账!E130&lt;&gt;"",项目总控台账!E130&lt;&gt;"/"),项目总控台账!E130,IF(AND(项目总控台账!D130&lt;&gt;"",项目总控台账!D130&lt;&gt;"/"),项目总控台账!D130,项目总控台账!C130))</f>
        <v>锚泊费（外贸）查询</v>
      </c>
      <c r="D131" s="6" t="str">
        <f>项目总控台账!H130</f>
        <v>郑士旺</v>
      </c>
      <c r="E131" s="17">
        <f>项目总控台账!I130</f>
        <v>46230</v>
      </c>
      <c r="F131" s="17">
        <f>项目总控台账!J130</f>
        <v>46261</v>
      </c>
      <c r="G131" s="6" t="str">
        <f>IF(B131="","",IF(OR(C131="",C131="/"),"缺少任务名称；","")&amp;IF(OR(D131="",D131="/"),"缺少有效主责人；","")&amp;IF(OR(E131="",E131&lt;DATE(2000,1,1)),"缺少有效计划开始；","")&amp;IF(OR(F131="",F131&lt;DATE(2000,1,1)),"缺少有效计划完成；","")&amp;IF(项目总控台账!G130="","缺少总体状态；","")&amp;IF(AND(ISNUMBER(E131),ISNUMBER(F131),E131&gt;=DATE(2000,1,1),F131&gt;=DATE(2000,1,1),E131&gt;F131),"开始晚于完成；","")&amp;IF(AND(项目总控台账!G130="已完成",项目总控台账!AB130&lt;1),"已完成但进度不足100%；",""))</f>
        <v/>
      </c>
      <c r="H131" s="6" t="str">
        <f t="shared" si="2"/>
        <v>通过</v>
      </c>
      <c r="I131" s="6" t="str">
        <f t="shared" si="3"/>
        <v>无需处理</v>
      </c>
      <c r="J131" s="6">
        <v>130</v>
      </c>
    </row>
    <row r="132" spans="1:10">
      <c r="A132" s="6" t="s">
        <v>736</v>
      </c>
      <c r="B132" s="6" t="str">
        <f>项目总控台账!A131</f>
        <v>T128</v>
      </c>
      <c r="C132" s="6" t="str">
        <f>IF(AND(项目总控台账!E131&lt;&gt;"",项目总控台账!E131&lt;&gt;"/"),项目总控台账!E131,IF(AND(项目总控台账!D131&lt;&gt;"",项目总控台账!D131&lt;&gt;"/"),项目总控台账!D131,项目总控台账!C131))</f>
        <v>堆存费（外贸）查询</v>
      </c>
      <c r="D132" s="6" t="str">
        <f>项目总控台账!H131</f>
        <v>郑士旺</v>
      </c>
      <c r="E132" s="17">
        <f>项目总控台账!I131</f>
        <v>46230</v>
      </c>
      <c r="F132" s="17">
        <f>项目总控台账!J131</f>
        <v>46261</v>
      </c>
      <c r="G132" s="6" t="str">
        <f>IF(B132="","",IF(OR(C132="",C132="/"),"缺少任务名称；","")&amp;IF(OR(D132="",D132="/"),"缺少有效主责人；","")&amp;IF(OR(E132="",E132&lt;DATE(2000,1,1)),"缺少有效计划开始；","")&amp;IF(OR(F132="",F132&lt;DATE(2000,1,1)),"缺少有效计划完成；","")&amp;IF(项目总控台账!G131="","缺少总体状态；","")&amp;IF(AND(ISNUMBER(E132),ISNUMBER(F132),E132&gt;=DATE(2000,1,1),F132&gt;=DATE(2000,1,1),E132&gt;F132),"开始晚于完成；","")&amp;IF(AND(项目总控台账!G131="已完成",项目总控台账!AB131&lt;1),"已完成但进度不足100%；",""))</f>
        <v/>
      </c>
      <c r="H132" s="6" t="str">
        <f t="shared" si="2"/>
        <v>通过</v>
      </c>
      <c r="I132" s="6" t="str">
        <f t="shared" si="3"/>
        <v>无需处理</v>
      </c>
      <c r="J132" s="6">
        <v>131</v>
      </c>
    </row>
    <row r="133" spans="1:10">
      <c r="A133" s="6" t="s">
        <v>736</v>
      </c>
      <c r="B133" s="6" t="str">
        <f>项目总控台账!A132</f>
        <v>T129</v>
      </c>
      <c r="C133" s="6" t="str">
        <f>IF(AND(项目总控台账!E132&lt;&gt;"",项目总控台账!E132&lt;&gt;"/"),项目总控台账!E132,IF(AND(项目总控台账!D132&lt;&gt;"",项目总控台账!D132&lt;&gt;"/"),项目总控台账!D132,项目总控台账!C132))</f>
        <v>卸船费（外贸）查询</v>
      </c>
      <c r="D133" s="6" t="str">
        <f>项目总控台账!H132</f>
        <v>郑士旺</v>
      </c>
      <c r="E133" s="17">
        <f>项目总控台账!I132</f>
        <v>46230</v>
      </c>
      <c r="F133" s="17">
        <f>项目总控台账!J132</f>
        <v>46353</v>
      </c>
      <c r="G133" s="6" t="str">
        <f>IF(B133="","",IF(OR(C133="",C133="/"),"缺少任务名称；","")&amp;IF(OR(D133="",D133="/"),"缺少有效主责人；","")&amp;IF(OR(E133="",E133&lt;DATE(2000,1,1)),"缺少有效计划开始；","")&amp;IF(OR(F133="",F133&lt;DATE(2000,1,1)),"缺少有效计划完成；","")&amp;IF(项目总控台账!G132="","缺少总体状态；","")&amp;IF(AND(ISNUMBER(E133),ISNUMBER(F133),E133&gt;=DATE(2000,1,1),F133&gt;=DATE(2000,1,1),E133&gt;F133),"开始晚于完成；","")&amp;IF(AND(项目总控台账!G132="已完成",项目总控台账!AB132&lt;1),"已完成但进度不足100%；",""))</f>
        <v/>
      </c>
      <c r="H133" s="6" t="str">
        <f t="shared" ref="H133:H149" si="4">IF(B133="","",IF(G133="","通过","需整改"))</f>
        <v>通过</v>
      </c>
      <c r="I133" s="6" t="str">
        <f t="shared" ref="I133:I149" si="5">IF(H133="需整改","回到项目总控台账第"&amp;J133&amp;"行补齐或修正","无需处理")</f>
        <v>无需处理</v>
      </c>
      <c r="J133" s="6">
        <v>132</v>
      </c>
    </row>
    <row r="134" spans="1:10">
      <c r="A134" s="6" t="s">
        <v>736</v>
      </c>
      <c r="B134" s="6" t="str">
        <f>项目总控台账!A133</f>
        <v>T130</v>
      </c>
      <c r="C134" s="6" t="str">
        <f>IF(AND(项目总控台账!E133&lt;&gt;"",项目总控台账!E133&lt;&gt;"/"),项目总控台账!E133,IF(AND(项目总控台账!D133&lt;&gt;"",项目总控台账!D133&lt;&gt;"/"),项目总控台账!D133,项目总控台账!C133))</f>
        <v>采样服务费（外贸）查询</v>
      </c>
      <c r="D134" s="6" t="str">
        <f>项目总控台账!H133</f>
        <v>郑士旺</v>
      </c>
      <c r="E134" s="17">
        <f>项目总控台账!I133</f>
        <v>46230</v>
      </c>
      <c r="F134" s="17">
        <f>项目总控台账!J133</f>
        <v>46353</v>
      </c>
      <c r="G134" s="6" t="str">
        <f>IF(B134="","",IF(OR(C134="",C134="/"),"缺少任务名称；","")&amp;IF(OR(D134="",D134="/"),"缺少有效主责人；","")&amp;IF(OR(E134="",E134&lt;DATE(2000,1,1)),"缺少有效计划开始；","")&amp;IF(OR(F134="",F134&lt;DATE(2000,1,1)),"缺少有效计划完成；","")&amp;IF(项目总控台账!G133="","缺少总体状态；","")&amp;IF(AND(ISNUMBER(E134),ISNUMBER(F134),E134&gt;=DATE(2000,1,1),F134&gt;=DATE(2000,1,1),E134&gt;F134),"开始晚于完成；","")&amp;IF(AND(项目总控台账!G133="已完成",项目总控台账!AB133&lt;1),"已完成但进度不足100%；",""))</f>
        <v/>
      </c>
      <c r="H134" s="6" t="str">
        <f t="shared" si="4"/>
        <v>通过</v>
      </c>
      <c r="I134" s="6" t="str">
        <f t="shared" si="5"/>
        <v>无需处理</v>
      </c>
      <c r="J134" s="6">
        <v>133</v>
      </c>
    </row>
    <row r="135" spans="1:10">
      <c r="A135" s="6" t="s">
        <v>736</v>
      </c>
      <c r="B135" s="6" t="str">
        <f>项目总控台账!A134</f>
        <v>T131</v>
      </c>
      <c r="C135" s="6" t="str">
        <f>IF(AND(项目总控台账!E134&lt;&gt;"",项目总控台账!E134&lt;&gt;"/"),项目总控台账!E134,IF(AND(项目总控台账!D134&lt;&gt;"",项目总控台账!D134&lt;&gt;"/"),项目总控台账!D134,项目总控台账!C134))</f>
        <v>船舶供应服务费（外贸）查询</v>
      </c>
      <c r="D135" s="6" t="str">
        <f>项目总控台账!H134</f>
        <v>郑士旺</v>
      </c>
      <c r="E135" s="17">
        <f>项目总控台账!I134</f>
        <v>46230</v>
      </c>
      <c r="F135" s="17">
        <f>项目总控台账!J134</f>
        <v>46353</v>
      </c>
      <c r="G135" s="6" t="str">
        <f>IF(B135="","",IF(OR(C135="",C135="/"),"缺少任务名称；","")&amp;IF(OR(D135="",D135="/"),"缺少有效主责人；","")&amp;IF(OR(E135="",E135&lt;DATE(2000,1,1)),"缺少有效计划开始；","")&amp;IF(OR(F135="",F135&lt;DATE(2000,1,1)),"缺少有效计划完成；","")&amp;IF(项目总控台账!G134="","缺少总体状态；","")&amp;IF(AND(ISNUMBER(E135),ISNUMBER(F135),E135&gt;=DATE(2000,1,1),F135&gt;=DATE(2000,1,1),E135&gt;F135),"开始晚于完成；","")&amp;IF(AND(项目总控台账!G134="已完成",项目总控台账!AB134&lt;1),"已完成但进度不足100%；",""))</f>
        <v/>
      </c>
      <c r="H135" s="6" t="str">
        <f t="shared" si="4"/>
        <v>通过</v>
      </c>
      <c r="I135" s="6" t="str">
        <f t="shared" si="5"/>
        <v>无需处理</v>
      </c>
      <c r="J135" s="6">
        <v>134</v>
      </c>
    </row>
    <row r="136" spans="1:10">
      <c r="A136" s="6" t="s">
        <v>736</v>
      </c>
      <c r="B136" s="6" t="str">
        <f>项目总控台账!A135</f>
        <v>T132</v>
      </c>
      <c r="C136" s="6" t="str">
        <f>IF(AND(项目总控台账!E135&lt;&gt;"",项目总控台账!E135&lt;&gt;"/"),项目总控台账!E135,IF(AND(项目总控台账!D135&lt;&gt;"",项目总控台账!D135&lt;&gt;"/"),项目总控台账!D135,项目总控台账!C135))</f>
        <v>新增船舶靠泊通知单</v>
      </c>
      <c r="D136" s="6" t="str">
        <f>项目总控台账!H135</f>
        <v>郑士旺</v>
      </c>
      <c r="E136" s="17">
        <f>项目总控台账!I135</f>
        <v>46230</v>
      </c>
      <c r="F136" s="17">
        <f>项目总控台账!J135</f>
        <v>46353</v>
      </c>
      <c r="G136" s="6" t="str">
        <f>IF(B136="","",IF(OR(C136="",C136="/"),"缺少任务名称；","")&amp;IF(OR(D136="",D136="/"),"缺少有效主责人；","")&amp;IF(OR(E136="",E136&lt;DATE(2000,1,1)),"缺少有效计划开始；","")&amp;IF(OR(F136="",F136&lt;DATE(2000,1,1)),"缺少有效计划完成；","")&amp;IF(项目总控台账!G135="","缺少总体状态；","")&amp;IF(AND(ISNUMBER(E136),ISNUMBER(F136),E136&gt;=DATE(2000,1,1),F136&gt;=DATE(2000,1,1),E136&gt;F136),"开始晚于完成；","")&amp;IF(AND(项目总控台账!G135="已完成",项目总控台账!AB135&lt;1),"已完成但进度不足100%；",""))</f>
        <v/>
      </c>
      <c r="H136" s="6" t="str">
        <f t="shared" si="4"/>
        <v>通过</v>
      </c>
      <c r="I136" s="6" t="str">
        <f t="shared" si="5"/>
        <v>无需处理</v>
      </c>
      <c r="J136" s="6">
        <v>135</v>
      </c>
    </row>
    <row r="137" spans="1:10">
      <c r="A137" s="6" t="s">
        <v>736</v>
      </c>
      <c r="B137" s="6" t="str">
        <f>项目总控台账!A136</f>
        <v>T133</v>
      </c>
      <c r="C137" s="6" t="str">
        <f>IF(AND(项目总控台账!E136&lt;&gt;"",项目总控台账!E136&lt;&gt;"/"),项目总控台账!E136,IF(AND(项目总控台账!D136&lt;&gt;"",项目总控台账!D136&lt;&gt;"/"),项目总控台账!D136,项目总控台账!C136))</f>
        <v>查询船舶靠泊通知单</v>
      </c>
      <c r="D137" s="6" t="str">
        <f>项目总控台账!H136</f>
        <v>郑士旺</v>
      </c>
      <c r="E137" s="17">
        <f>项目总控台账!I136</f>
        <v>46230</v>
      </c>
      <c r="F137" s="17">
        <f>项目总控台账!J136</f>
        <v>46353</v>
      </c>
      <c r="G137" s="6" t="str">
        <f>IF(B137="","",IF(OR(C137="",C137="/"),"缺少任务名称；","")&amp;IF(OR(D137="",D137="/"),"缺少有效主责人；","")&amp;IF(OR(E137="",E137&lt;DATE(2000,1,1)),"缺少有效计划开始；","")&amp;IF(OR(F137="",F137&lt;DATE(2000,1,1)),"缺少有效计划完成；","")&amp;IF(项目总控台账!G136="","缺少总体状态；","")&amp;IF(AND(ISNUMBER(E137),ISNUMBER(F137),E137&gt;=DATE(2000,1,1),F137&gt;=DATE(2000,1,1),E137&gt;F137),"开始晚于完成；","")&amp;IF(AND(项目总控台账!G136="已完成",项目总控台账!AB136&lt;1),"已完成但进度不足100%；",""))</f>
        <v/>
      </c>
      <c r="H137" s="6" t="str">
        <f t="shared" si="4"/>
        <v>通过</v>
      </c>
      <c r="I137" s="6" t="str">
        <f t="shared" si="5"/>
        <v>无需处理</v>
      </c>
      <c r="J137" s="6">
        <v>136</v>
      </c>
    </row>
    <row r="138" spans="1:10">
      <c r="A138" s="6" t="s">
        <v>736</v>
      </c>
      <c r="B138" s="6" t="str">
        <f>项目总控台账!A137</f>
        <v>T134</v>
      </c>
      <c r="C138" s="6" t="str">
        <f>IF(AND(项目总控台账!E137&lt;&gt;"",项目总控台账!E137&lt;&gt;"/"),项目总控台账!E137,IF(AND(项目总控台账!D137&lt;&gt;"",项目总控台账!D137&lt;&gt;"/"),项目总控台账!D137,项目总控台账!C137))</f>
        <v>卸船计划查询</v>
      </c>
      <c r="D138" s="6" t="str">
        <f>项目总控台账!H137</f>
        <v>郑士旺</v>
      </c>
      <c r="E138" s="17">
        <f>项目总控台账!I137</f>
        <v>46230</v>
      </c>
      <c r="F138" s="17">
        <f>项目总控台账!J137</f>
        <v>46353</v>
      </c>
      <c r="G138" s="6" t="str">
        <f>IF(B138="","",IF(OR(C138="",C138="/"),"缺少任务名称；","")&amp;IF(OR(D138="",D138="/"),"缺少有效主责人；","")&amp;IF(OR(E138="",E138&lt;DATE(2000,1,1)),"缺少有效计划开始；","")&amp;IF(OR(F138="",F138&lt;DATE(2000,1,1)),"缺少有效计划完成；","")&amp;IF(项目总控台账!G137="","缺少总体状态；","")&amp;IF(AND(ISNUMBER(E138),ISNUMBER(F138),E138&gt;=DATE(2000,1,1),F138&gt;=DATE(2000,1,1),E138&gt;F138),"开始晚于完成；","")&amp;IF(AND(项目总控台账!G137="已完成",项目总控台账!AB137&lt;1),"已完成但进度不足100%；",""))</f>
        <v/>
      </c>
      <c r="H138" s="6" t="str">
        <f t="shared" si="4"/>
        <v>通过</v>
      </c>
      <c r="I138" s="6" t="str">
        <f t="shared" si="5"/>
        <v>无需处理</v>
      </c>
      <c r="J138" s="6">
        <v>137</v>
      </c>
    </row>
    <row r="139" spans="1:10">
      <c r="A139" s="6" t="s">
        <v>736</v>
      </c>
      <c r="B139" s="6" t="str">
        <f>项目总控台账!A138</f>
        <v>T135</v>
      </c>
      <c r="C139" s="6" t="str">
        <f>IF(AND(项目总控台账!E138&lt;&gt;"",项目总控台账!E138&lt;&gt;"/"),项目总控台账!E138,IF(AND(项目总控台账!D138&lt;&gt;"",项目总控台账!D138&lt;&gt;"/"),项目总控台账!D138,项目总控台账!C138))</f>
        <v>卸船查询</v>
      </c>
      <c r="D139" s="6" t="str">
        <f>项目总控台账!H138</f>
        <v>郑士旺</v>
      </c>
      <c r="E139" s="17">
        <f>项目总控台账!I138</f>
        <v>46230</v>
      </c>
      <c r="F139" s="17">
        <f>项目总控台账!J138</f>
        <v>46353</v>
      </c>
      <c r="G139" s="6" t="str">
        <f>IF(B139="","",IF(OR(C139="",C139="/"),"缺少任务名称；","")&amp;IF(OR(D139="",D139="/"),"缺少有效主责人；","")&amp;IF(OR(E139="",E139&lt;DATE(2000,1,1)),"缺少有效计划开始；","")&amp;IF(OR(F139="",F139&lt;DATE(2000,1,1)),"缺少有效计划完成；","")&amp;IF(项目总控台账!G138="","缺少总体状态；","")&amp;IF(AND(ISNUMBER(E139),ISNUMBER(F139),E139&gt;=DATE(2000,1,1),F139&gt;=DATE(2000,1,1),E139&gt;F139),"开始晚于完成；","")&amp;IF(AND(项目总控台账!G138="已完成",项目总控台账!AB138&lt;1),"已完成但进度不足100%；",""))</f>
        <v/>
      </c>
      <c r="H139" s="6" t="str">
        <f t="shared" si="4"/>
        <v>通过</v>
      </c>
      <c r="I139" s="6" t="str">
        <f t="shared" si="5"/>
        <v>无需处理</v>
      </c>
      <c r="J139" s="6">
        <v>138</v>
      </c>
    </row>
    <row r="140" spans="1:10">
      <c r="A140" s="6" t="s">
        <v>736</v>
      </c>
      <c r="B140" s="6" t="str">
        <f>项目总控台账!A139</f>
        <v>T136</v>
      </c>
      <c r="C140" s="6" t="str">
        <f>IF(AND(项目总控台账!E139&lt;&gt;"",项目总控台账!E139&lt;&gt;"/"),项目总控台账!E139,IF(AND(项目总控台账!D139&lt;&gt;"",项目总控台账!D139&lt;&gt;"/"),项目总控台账!D139,项目总控台账!C139))</f>
        <v>卸船作业委托</v>
      </c>
      <c r="D140" s="6" t="str">
        <f>项目总控台账!H139</f>
        <v>郑士旺</v>
      </c>
      <c r="E140" s="17">
        <f>项目总控台账!I139</f>
        <v>46230</v>
      </c>
      <c r="F140" s="17">
        <f>项目总控台账!J139</f>
        <v>46353</v>
      </c>
      <c r="G140" s="6" t="str">
        <f>IF(B140="","",IF(OR(C140="",C140="/"),"缺少任务名称；","")&amp;IF(OR(D140="",D140="/"),"缺少有效主责人；","")&amp;IF(OR(E140="",E140&lt;DATE(2000,1,1)),"缺少有效计划开始；","")&amp;IF(OR(F140="",F140&lt;DATE(2000,1,1)),"缺少有效计划完成；","")&amp;IF(项目总控台账!G139="","缺少总体状态；","")&amp;IF(AND(ISNUMBER(E140),ISNUMBER(F140),E140&gt;=DATE(2000,1,1),F140&gt;=DATE(2000,1,1),E140&gt;F140),"开始晚于完成；","")&amp;IF(AND(项目总控台账!G139="已完成",项目总控台账!AB139&lt;1),"已完成但进度不足100%；",""))</f>
        <v/>
      </c>
      <c r="H140" s="6" t="str">
        <f t="shared" si="4"/>
        <v>通过</v>
      </c>
      <c r="I140" s="6" t="str">
        <f t="shared" si="5"/>
        <v>无需处理</v>
      </c>
      <c r="J140" s="6">
        <v>139</v>
      </c>
    </row>
    <row r="141" spans="1:10">
      <c r="A141" s="6" t="s">
        <v>736</v>
      </c>
      <c r="B141" s="6" t="str">
        <f>项目总控台账!A140</f>
        <v>T137</v>
      </c>
      <c r="C141" s="6" t="str">
        <f>IF(AND(项目总控台账!E140&lt;&gt;"",项目总控台账!E140&lt;&gt;"/"),项目总控台账!E140,IF(AND(项目总控台账!D140&lt;&gt;"",项目总控台账!D140&lt;&gt;"/"),项目总控台账!D140,项目总控台账!C140))</f>
        <v>外轮转内贸业务查询</v>
      </c>
      <c r="D141" s="6" t="str">
        <f>项目总控台账!H140</f>
        <v>郑士旺</v>
      </c>
      <c r="E141" s="17">
        <f>项目总控台账!I140</f>
        <v>46230</v>
      </c>
      <c r="F141" s="17">
        <f>项目总控台账!J140</f>
        <v>46353</v>
      </c>
      <c r="G141" s="6" t="str">
        <f>IF(B141="","",IF(OR(C141="",C141="/"),"缺少任务名称；","")&amp;IF(OR(D141="",D141="/"),"缺少有效主责人；","")&amp;IF(OR(E141="",E141&lt;DATE(2000,1,1)),"缺少有效计划开始；","")&amp;IF(OR(F141="",F141&lt;DATE(2000,1,1)),"缺少有效计划完成；","")&amp;IF(项目总控台账!G140="","缺少总体状态；","")&amp;IF(AND(ISNUMBER(E141),ISNUMBER(F141),E141&gt;=DATE(2000,1,1),F141&gt;=DATE(2000,1,1),E141&gt;F141),"开始晚于完成；","")&amp;IF(AND(项目总控台账!G140="已完成",项目总控台账!AB140&lt;1),"已完成但进度不足100%；",""))</f>
        <v/>
      </c>
      <c r="H141" s="6" t="str">
        <f t="shared" si="4"/>
        <v>通过</v>
      </c>
      <c r="I141" s="6" t="str">
        <f t="shared" si="5"/>
        <v>无需处理</v>
      </c>
      <c r="J141" s="6">
        <v>140</v>
      </c>
    </row>
    <row r="142" spans="1:10">
      <c r="A142" s="6" t="s">
        <v>736</v>
      </c>
      <c r="B142" s="6" t="str">
        <f>项目总控台账!A141</f>
        <v>T138</v>
      </c>
      <c r="C142" s="6" t="str">
        <f>IF(AND(项目总控台账!E141&lt;&gt;"",项目总控台账!E141&lt;&gt;"/"),项目总控台账!E141,IF(AND(项目总控台账!D141&lt;&gt;"",项目总控台账!D141&lt;&gt;"/"),项目总控台账!D141,项目总控台账!C141))</f>
        <v>查询卸车流程</v>
      </c>
      <c r="D142" s="6" t="str">
        <f>项目总控台账!H141</f>
        <v>郑士旺</v>
      </c>
      <c r="E142" s="17">
        <f>项目总控台账!I141</f>
        <v>46209</v>
      </c>
      <c r="F142" s="17">
        <f>项目总控台账!J141</f>
        <v>46261</v>
      </c>
      <c r="G142" s="6" t="str">
        <f>IF(B142="","",IF(OR(C142="",C142="/"),"缺少任务名称；","")&amp;IF(OR(D142="",D142="/"),"缺少有效主责人；","")&amp;IF(OR(E142="",E142&lt;DATE(2000,1,1)),"缺少有效计划开始；","")&amp;IF(OR(F142="",F142&lt;DATE(2000,1,1)),"缺少有效计划完成；","")&amp;IF(项目总控台账!G141="","缺少总体状态；","")&amp;IF(AND(ISNUMBER(E142),ISNUMBER(F142),E142&gt;=DATE(2000,1,1),F142&gt;=DATE(2000,1,1),E142&gt;F142),"开始晚于完成；","")&amp;IF(AND(项目总控台账!G141="已完成",项目总控台账!AB141&lt;1),"已完成但进度不足100%；",""))</f>
        <v/>
      </c>
      <c r="H142" s="6" t="str">
        <f t="shared" si="4"/>
        <v>通过</v>
      </c>
      <c r="I142" s="6" t="str">
        <f t="shared" si="5"/>
        <v>无需处理</v>
      </c>
      <c r="J142" s="6">
        <v>141</v>
      </c>
    </row>
    <row r="143" spans="1:10">
      <c r="A143" s="6" t="s">
        <v>736</v>
      </c>
      <c r="B143" s="6" t="str">
        <f>项目总控台账!A142</f>
        <v>T139</v>
      </c>
      <c r="C143" s="6" t="str">
        <f>IF(AND(项目总控台账!E142&lt;&gt;"",项目总控台账!E142&lt;&gt;"/"),项目总控台账!E142,IF(AND(项目总控台账!D142&lt;&gt;"",项目总控台账!D142&lt;&gt;"/"),项目总控台账!D142,项目总控台账!C142))</f>
        <v>查询装船流程</v>
      </c>
      <c r="D143" s="6" t="str">
        <f>项目总控台账!H142</f>
        <v>郑士旺</v>
      </c>
      <c r="E143" s="17">
        <f>项目总控台账!I142</f>
        <v>46209</v>
      </c>
      <c r="F143" s="17">
        <f>项目总控台账!J142</f>
        <v>46261</v>
      </c>
      <c r="G143" s="6" t="str">
        <f>IF(B143="","",IF(OR(C143="",C143="/"),"缺少任务名称；","")&amp;IF(OR(D143="",D143="/"),"缺少有效主责人；","")&amp;IF(OR(E143="",E143&lt;DATE(2000,1,1)),"缺少有效计划开始；","")&amp;IF(OR(F143="",F143&lt;DATE(2000,1,1)),"缺少有效计划完成；","")&amp;IF(项目总控台账!G142="","缺少总体状态；","")&amp;IF(AND(ISNUMBER(E143),ISNUMBER(F143),E143&gt;=DATE(2000,1,1),F143&gt;=DATE(2000,1,1),E143&gt;F143),"开始晚于完成；","")&amp;IF(AND(项目总控台账!G142="已完成",项目总控台账!AB142&lt;1),"已完成但进度不足100%；",""))</f>
        <v/>
      </c>
      <c r="H143" s="6" t="str">
        <f t="shared" si="4"/>
        <v>通过</v>
      </c>
      <c r="I143" s="6" t="str">
        <f t="shared" si="5"/>
        <v>无需处理</v>
      </c>
      <c r="J143" s="6">
        <v>142</v>
      </c>
    </row>
    <row r="144" spans="1:10">
      <c r="A144" s="6" t="s">
        <v>736</v>
      </c>
      <c r="B144" s="6" t="str">
        <f>项目总控台账!A143</f>
        <v>T140</v>
      </c>
      <c r="C144" s="6" t="str">
        <f>IF(AND(项目总控台账!E143&lt;&gt;"",项目总控台账!E143&lt;&gt;"/"),项目总控台账!E143,IF(AND(项目总控台账!D143&lt;&gt;"",项目总控台账!D143&lt;&gt;"/"),项目总控台账!D143,项目总控台账!C143))</f>
        <v>查询卸船流程</v>
      </c>
      <c r="D144" s="6" t="str">
        <f>项目总控台账!H143</f>
        <v>郑士旺</v>
      </c>
      <c r="E144" s="17">
        <f>项目总控台账!I143</f>
        <v>46209</v>
      </c>
      <c r="F144" s="17">
        <f>项目总控台账!J143</f>
        <v>46353</v>
      </c>
      <c r="G144" s="6" t="str">
        <f>IF(B144="","",IF(OR(C144="",C144="/"),"缺少任务名称；","")&amp;IF(OR(D144="",D144="/"),"缺少有效主责人；","")&amp;IF(OR(E144="",E144&lt;DATE(2000,1,1)),"缺少有效计划开始；","")&amp;IF(OR(F144="",F144&lt;DATE(2000,1,1)),"缺少有效计划完成；","")&amp;IF(项目总控台账!G143="","缺少总体状态；","")&amp;IF(AND(ISNUMBER(E144),ISNUMBER(F144),E144&gt;=DATE(2000,1,1),F144&gt;=DATE(2000,1,1),E144&gt;F144),"开始晚于完成；","")&amp;IF(AND(项目总控台账!G143="已完成",项目总控台账!AB143&lt;1),"已完成但进度不足100%；",""))</f>
        <v/>
      </c>
      <c r="H144" s="6" t="str">
        <f t="shared" si="4"/>
        <v>通过</v>
      </c>
      <c r="I144" s="6" t="str">
        <f t="shared" si="5"/>
        <v>无需处理</v>
      </c>
      <c r="J144" s="6">
        <v>143</v>
      </c>
    </row>
    <row r="145" spans="1:10">
      <c r="A145" s="6" t="s">
        <v>736</v>
      </c>
      <c r="B145" s="6" t="str">
        <f>项目总控台账!A144</f>
        <v>T141</v>
      </c>
      <c r="C145" s="6" t="str">
        <f>IF(AND(项目总控台账!E144&lt;&gt;"",项目总控台账!E144&lt;&gt;"/"),项目总控台账!E144,IF(AND(项目总控台账!D144&lt;&gt;"",项目总控台账!D144&lt;&gt;"/"),项目总控台账!D144,项目总控台账!C144))</f>
        <v>视频监控查询</v>
      </c>
      <c r="D145" s="6" t="str">
        <f>项目总控台账!H144</f>
        <v>郑士旺</v>
      </c>
      <c r="E145" s="17">
        <f>项目总控台账!I144</f>
        <v>46223</v>
      </c>
      <c r="F145" s="17">
        <f>项目总控台账!J144</f>
        <v>46318</v>
      </c>
      <c r="G145" s="6" t="str">
        <f>IF(B145="","",IF(OR(C145="",C145="/"),"缺少任务名称；","")&amp;IF(OR(D145="",D145="/"),"缺少有效主责人；","")&amp;IF(OR(E145="",E145&lt;DATE(2000,1,1)),"缺少有效计划开始；","")&amp;IF(OR(F145="",F145&lt;DATE(2000,1,1)),"缺少有效计划完成；","")&amp;IF(项目总控台账!G144="","缺少总体状态；","")&amp;IF(AND(ISNUMBER(E145),ISNUMBER(F145),E145&gt;=DATE(2000,1,1),F145&gt;=DATE(2000,1,1),E145&gt;F145),"开始晚于完成；","")&amp;IF(AND(项目总控台账!G144="已完成",项目总控台账!AB144&lt;1),"已完成但进度不足100%；",""))</f>
        <v/>
      </c>
      <c r="H145" s="6" t="str">
        <f t="shared" si="4"/>
        <v>通过</v>
      </c>
      <c r="I145" s="6" t="str">
        <f t="shared" si="5"/>
        <v>无需处理</v>
      </c>
      <c r="J145" s="6">
        <v>144</v>
      </c>
    </row>
    <row r="146" spans="1:10">
      <c r="A146" s="6" t="s">
        <v>736</v>
      </c>
      <c r="B146" s="6" t="str">
        <f>项目总控台账!A145</f>
        <v>T142</v>
      </c>
      <c r="C146" s="6" t="str">
        <f>IF(AND(项目总控台账!E145&lt;&gt;"",项目总控台账!E145&lt;&gt;"/"),项目总控台账!E145,IF(AND(项目总控台账!D145&lt;&gt;"",项目总控台账!D145&lt;&gt;"/"),项目总控台账!D145,项目总控台账!C145))</f>
        <v>审批船舶靠泊通知单</v>
      </c>
      <c r="D146" s="6" t="str">
        <f>项目总控台账!H145</f>
        <v>郑士旺</v>
      </c>
      <c r="E146" s="17">
        <f>项目总控台账!I145</f>
        <v>46230</v>
      </c>
      <c r="F146" s="17">
        <f>项目总控台账!J145</f>
        <v>46353</v>
      </c>
      <c r="G146" s="6" t="str">
        <f>IF(B146="","",IF(OR(C146="",C146="/"),"缺少任务名称；","")&amp;IF(OR(D146="",D146="/"),"缺少有效主责人；","")&amp;IF(OR(E146="",E146&lt;DATE(2000,1,1)),"缺少有效计划开始；","")&amp;IF(OR(F146="",F146&lt;DATE(2000,1,1)),"缺少有效计划完成；","")&amp;IF(项目总控台账!G145="","缺少总体状态；","")&amp;IF(AND(ISNUMBER(E146),ISNUMBER(F146),E146&gt;=DATE(2000,1,1),F146&gt;=DATE(2000,1,1),E146&gt;F146),"开始晚于完成；","")&amp;IF(AND(项目总控台账!G145="已完成",项目总控台账!AB145&lt;1),"已完成但进度不足100%；",""))</f>
        <v/>
      </c>
      <c r="H146" s="6" t="str">
        <f t="shared" si="4"/>
        <v>通过</v>
      </c>
      <c r="I146" s="6" t="str">
        <f t="shared" si="5"/>
        <v>无需处理</v>
      </c>
      <c r="J146" s="6">
        <v>145</v>
      </c>
    </row>
    <row r="147" spans="1:10">
      <c r="A147" s="6" t="s">
        <v>736</v>
      </c>
      <c r="B147" s="6" t="str">
        <f>项目总控台账!A146</f>
        <v>T143</v>
      </c>
      <c r="C147" s="6" t="str">
        <f>IF(AND(项目总控台账!E146&lt;&gt;"",项目总控台账!E146&lt;&gt;"/"),项目总控台账!E146,IF(AND(项目总控台账!D146&lt;&gt;"",项目总控台账!D146&lt;&gt;"/"),项目总控台账!D146,项目总控台账!C146))</f>
        <v>图片上传</v>
      </c>
      <c r="D147" s="6" t="str">
        <f>项目总控台账!H146</f>
        <v>郑士旺</v>
      </c>
      <c r="E147" s="17">
        <f>项目总控台账!I146</f>
        <v>46209</v>
      </c>
      <c r="F147" s="17">
        <f>项目总控台账!J146</f>
        <v>46261</v>
      </c>
      <c r="G147" s="6" t="str">
        <f>IF(B147="","",IF(OR(C147="",C147="/"),"缺少任务名称；","")&amp;IF(OR(D147="",D147="/"),"缺少有效主责人；","")&amp;IF(OR(E147="",E147&lt;DATE(2000,1,1)),"缺少有效计划开始；","")&amp;IF(OR(F147="",F147&lt;DATE(2000,1,1)),"缺少有效计划完成；","")&amp;IF(项目总控台账!G146="","缺少总体状态；","")&amp;IF(AND(ISNUMBER(E147),ISNUMBER(F147),E147&gt;=DATE(2000,1,1),F147&gt;=DATE(2000,1,1),E147&gt;F147),"开始晚于完成；","")&amp;IF(AND(项目总控台账!G146="已完成",项目总控台账!AB146&lt;1),"已完成但进度不足100%；",""))</f>
        <v/>
      </c>
      <c r="H147" s="6" t="str">
        <f t="shared" si="4"/>
        <v>通过</v>
      </c>
      <c r="I147" s="6" t="str">
        <f t="shared" si="5"/>
        <v>无需处理</v>
      </c>
      <c r="J147" s="6">
        <v>146</v>
      </c>
    </row>
    <row r="148" spans="1:10">
      <c r="A148" s="6" t="s">
        <v>736</v>
      </c>
      <c r="B148" s="6" t="str">
        <f>项目总控台账!A147</f>
        <v>T144</v>
      </c>
      <c r="C148" s="6" t="str">
        <f>IF(AND(项目总控台账!E147&lt;&gt;"",项目总控台账!E147&lt;&gt;"/"),项目总控台账!E147,IF(AND(项目总控台账!D147&lt;&gt;"",项目总控台账!D147&lt;&gt;"/"),项目总控台账!D147,项目总控台账!C147))</f>
        <v>图片上传</v>
      </c>
      <c r="D148" s="6" t="str">
        <f>项目总控台账!H147</f>
        <v>郑士旺</v>
      </c>
      <c r="E148" s="17">
        <f>项目总控台账!I147</f>
        <v>46209</v>
      </c>
      <c r="F148" s="17">
        <f>项目总控台账!J147</f>
        <v>46261</v>
      </c>
      <c r="G148" s="6" t="str">
        <f>IF(B148="","",IF(OR(C148="",C148="/"),"缺少任务名称；","")&amp;IF(OR(D148="",D148="/"),"缺少有效主责人；","")&amp;IF(OR(E148="",E148&lt;DATE(2000,1,1)),"缺少有效计划开始；","")&amp;IF(OR(F148="",F148&lt;DATE(2000,1,1)),"缺少有效计划完成；","")&amp;IF(项目总控台账!G147="","缺少总体状态；","")&amp;IF(AND(ISNUMBER(E148),ISNUMBER(F148),E148&gt;=DATE(2000,1,1),F148&gt;=DATE(2000,1,1),E148&gt;F148),"开始晚于完成；","")&amp;IF(AND(项目总控台账!G147="已完成",项目总控台账!AB147&lt;1),"已完成但进度不足100%；",""))</f>
        <v/>
      </c>
      <c r="H148" s="6" t="str">
        <f t="shared" si="4"/>
        <v>通过</v>
      </c>
      <c r="I148" s="6" t="str">
        <f t="shared" si="5"/>
        <v>无需处理</v>
      </c>
      <c r="J148" s="6">
        <v>147</v>
      </c>
    </row>
    <row r="149" spans="1:10">
      <c r="A149" s="6" t="s">
        <v>736</v>
      </c>
      <c r="B149" s="6" t="str">
        <f>项目总控台账!A148</f>
        <v>T145</v>
      </c>
      <c r="C149" s="6" t="str">
        <f>IF(AND(项目总控台账!E148&lt;&gt;"",项目总控台账!E148&lt;&gt;"/"),项目总控台账!E148,IF(AND(项目总控台账!D148&lt;&gt;"",项目总控台账!D148&lt;&gt;"/"),项目总控台账!D148,项目总控台账!C148))</f>
        <v>图片上传</v>
      </c>
      <c r="D149" s="6" t="str">
        <f>项目总控台账!H148</f>
        <v>郑士旺</v>
      </c>
      <c r="E149" s="17">
        <f>项目总控台账!I148</f>
        <v>46209</v>
      </c>
      <c r="F149" s="17">
        <f>项目总控台账!J148</f>
        <v>46269</v>
      </c>
      <c r="G149" s="6" t="str">
        <f>IF(B149="","",IF(OR(C149="",C149="/"),"缺少任务名称；","")&amp;IF(OR(D149="",D149="/"),"缺少有效主责人；","")&amp;IF(OR(E149="",E149&lt;DATE(2000,1,1)),"缺少有效计划开始；","")&amp;IF(OR(F149="",F149&lt;DATE(2000,1,1)),"缺少有效计划完成；","")&amp;IF(项目总控台账!G148="","缺少总体状态；","")&amp;IF(AND(ISNUMBER(E149),ISNUMBER(F149),E149&gt;=DATE(2000,1,1),F149&gt;=DATE(2000,1,1),E149&gt;F149),"开始晚于完成；","")&amp;IF(AND(项目总控台账!G148="已完成",项目总控台账!AB148&lt;1),"已完成但进度不足100%；",""))</f>
        <v/>
      </c>
      <c r="H149" s="6" t="str">
        <f t="shared" si="4"/>
        <v>通过</v>
      </c>
      <c r="I149" s="6" t="str">
        <f t="shared" si="5"/>
        <v>无需处理</v>
      </c>
      <c r="J149" s="6">
        <v>148</v>
      </c>
    </row>
  </sheetData>
  <autoFilter xmlns:etc="http://www.wps.cn/officeDocument/2017/etCustomData" ref="A4:J149" etc:filterBottomFollowUsedRange="0">
    <extLst/>
  </autoFilter>
  <mergeCells count="2">
    <mergeCell ref="A1:J1"/>
    <mergeCell ref="A2:J2"/>
  </mergeCells>
  <conditionalFormatting sqref="H5:H149">
    <cfRule type="expression" dxfId="6" priority="1">
      <formula>$H5="需整改"</formula>
    </cfRule>
    <cfRule type="expression" dxfId="8" priority="2">
      <formula>$H5="通过"</formula>
    </cfRule>
  </conditionalFormatting>
  <pageMargins left="0.75" right="0.75" top="1" bottom="1" header="0.5" footer="0.5"/>
  <pageSetup paperSize="1" fitToHeight="0" orientation="landscape"/>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C00000"/>
    <pageSetUpPr fitToPage="1"/>
  </sheetPr>
  <dimension ref="A1:M54"/>
  <sheetViews>
    <sheetView showGridLines="0" zoomScale="85" zoomScaleNormal="85" workbookViewId="0">
      <pane ySplit="4" topLeftCell="A5" activePane="bottomLeft" state="frozen"/>
      <selection/>
      <selection pane="bottomLeft" activeCell="A1" sqref="A1:M1"/>
    </sheetView>
  </sheetViews>
  <sheetFormatPr defaultColWidth="9" defaultRowHeight="16.8"/>
  <cols>
    <col min="1" max="1" width="11" style="1" customWidth="1"/>
    <col min="2" max="2" width="13" style="1" customWidth="1"/>
    <col min="3" max="3" width="24" style="1" customWidth="1"/>
    <col min="4" max="5" width="34" style="1" customWidth="1"/>
    <col min="6" max="6" width="28" style="1" customWidth="1"/>
    <col min="7" max="7" width="14" style="1" customWidth="1"/>
    <col min="8" max="8" width="13" style="1" customWidth="1"/>
    <col min="9" max="9" width="12" style="1" customWidth="1"/>
    <col min="10" max="10" width="11" style="1" customWidth="1"/>
    <col min="11" max="11" width="22" style="1" customWidth="1"/>
    <col min="12" max="12" width="28" style="1" customWidth="1"/>
    <col min="13" max="13" width="13" style="1" customWidth="1"/>
  </cols>
  <sheetData>
    <row r="1" ht="28" customHeight="1" spans="1:13">
      <c r="A1" s="2" t="s">
        <v>737</v>
      </c>
    </row>
    <row r="2" ht="22" customHeight="1" spans="1:13">
      <c r="A2" s="3" t="s">
        <v>738</v>
      </c>
    </row>
    <row r="3" spans="1:13">
      <c r="A3" s="4"/>
      <c r="B3" s="4"/>
      <c r="C3" s="4"/>
      <c r="D3" s="4"/>
      <c r="E3" s="4"/>
      <c r="F3" s="4"/>
      <c r="G3" s="4"/>
      <c r="H3" s="4"/>
      <c r="I3" s="4"/>
      <c r="J3" s="4"/>
      <c r="K3" s="4"/>
      <c r="L3" s="4"/>
      <c r="M3" s="4"/>
    </row>
    <row r="4" ht="28" customHeight="1" spans="1:13">
      <c r="A4" s="5" t="s">
        <v>739</v>
      </c>
      <c r="B4" s="5" t="s">
        <v>597</v>
      </c>
      <c r="C4" s="5" t="s">
        <v>740</v>
      </c>
      <c r="D4" s="5" t="s">
        <v>741</v>
      </c>
      <c r="E4" s="5" t="s">
        <v>742</v>
      </c>
      <c r="F4" s="5" t="s">
        <v>743</v>
      </c>
      <c r="G4" s="5" t="s">
        <v>744</v>
      </c>
      <c r="H4" s="5" t="s">
        <v>745</v>
      </c>
      <c r="I4" s="5" t="s">
        <v>746</v>
      </c>
      <c r="J4" s="5" t="s">
        <v>658</v>
      </c>
      <c r="K4" s="5" t="s">
        <v>552</v>
      </c>
      <c r="L4" s="5" t="s">
        <v>747</v>
      </c>
      <c r="M4" s="5" t="s">
        <v>748</v>
      </c>
    </row>
    <row r="5" spans="1:13">
      <c r="A5" s="6" t="str">
        <f t="shared" ref="A5:A54" si="0">IF(C5="","","D-"&amp;TEXT(ROW()-4,"000"))</f>
        <v/>
      </c>
      <c r="B5" s="9"/>
      <c r="C5" s="8"/>
      <c r="D5" s="8"/>
      <c r="E5" s="8"/>
      <c r="F5" s="8"/>
      <c r="G5" s="8"/>
      <c r="H5" s="9"/>
      <c r="I5" s="8"/>
      <c r="J5" s="6">
        <f>IF(OR(H5="",I5="已决策"),0,MAX(0,项目驾驶舱!$B$3-H5))</f>
        <v>0</v>
      </c>
      <c r="K5" s="8"/>
      <c r="L5" s="8"/>
      <c r="M5" s="9"/>
    </row>
    <row r="6" spans="1:13">
      <c r="A6" s="6" t="str">
        <f t="shared" si="0"/>
        <v/>
      </c>
      <c r="B6" s="9"/>
      <c r="C6" s="8"/>
      <c r="D6" s="8"/>
      <c r="E6" s="8"/>
      <c r="F6" s="8"/>
      <c r="G6" s="8"/>
      <c r="H6" s="9"/>
      <c r="I6" s="8"/>
      <c r="J6" s="6">
        <f>IF(OR(H6="",I6="已决策"),0,MAX(0,项目驾驶舱!$B$3-H6))</f>
        <v>0</v>
      </c>
      <c r="K6" s="8"/>
      <c r="L6" s="8"/>
      <c r="M6" s="9"/>
    </row>
    <row r="7" spans="1:13">
      <c r="A7" s="6" t="str">
        <f t="shared" si="0"/>
        <v/>
      </c>
      <c r="B7" s="9"/>
      <c r="C7" s="8"/>
      <c r="D7" s="8"/>
      <c r="E7" s="8"/>
      <c r="F7" s="8"/>
      <c r="G7" s="8"/>
      <c r="H7" s="9"/>
      <c r="I7" s="8"/>
      <c r="J7" s="6">
        <f>IF(OR(H7="",I7="已决策"),0,MAX(0,项目驾驶舱!$B$3-H7))</f>
        <v>0</v>
      </c>
      <c r="K7" s="8"/>
      <c r="L7" s="8"/>
      <c r="M7" s="9"/>
    </row>
    <row r="8" spans="1:13">
      <c r="A8" s="6" t="str">
        <f t="shared" si="0"/>
        <v/>
      </c>
      <c r="B8" s="9"/>
      <c r="C8" s="8"/>
      <c r="D8" s="8"/>
      <c r="E8" s="8"/>
      <c r="F8" s="8"/>
      <c r="G8" s="8"/>
      <c r="H8" s="9"/>
      <c r="I8" s="8"/>
      <c r="J8" s="6">
        <f>IF(OR(H8="",I8="已决策"),0,MAX(0,项目驾驶舱!$B$3-H8))</f>
        <v>0</v>
      </c>
      <c r="K8" s="8"/>
      <c r="L8" s="8"/>
      <c r="M8" s="9"/>
    </row>
    <row r="9" spans="1:13">
      <c r="A9" s="6" t="str">
        <f t="shared" si="0"/>
        <v/>
      </c>
      <c r="B9" s="9"/>
      <c r="C9" s="8"/>
      <c r="D9" s="8"/>
      <c r="E9" s="8"/>
      <c r="F9" s="8"/>
      <c r="G9" s="8"/>
      <c r="H9" s="9"/>
      <c r="I9" s="8"/>
      <c r="J9" s="6">
        <f>IF(OR(H9="",I9="已决策"),0,MAX(0,项目驾驶舱!$B$3-H9))</f>
        <v>0</v>
      </c>
      <c r="K9" s="8"/>
      <c r="L9" s="8"/>
      <c r="M9" s="9"/>
    </row>
    <row r="10" spans="1:13">
      <c r="A10" s="6" t="str">
        <f t="shared" si="0"/>
        <v/>
      </c>
      <c r="B10" s="9"/>
      <c r="C10" s="8"/>
      <c r="D10" s="8"/>
      <c r="E10" s="8"/>
      <c r="F10" s="8"/>
      <c r="G10" s="8"/>
      <c r="H10" s="9"/>
      <c r="I10" s="8"/>
      <c r="J10" s="6">
        <f>IF(OR(H10="",I10="已决策"),0,MAX(0,项目驾驶舱!$B$3-H10))</f>
        <v>0</v>
      </c>
      <c r="K10" s="8"/>
      <c r="L10" s="8"/>
      <c r="M10" s="9"/>
    </row>
    <row r="11" spans="1:13">
      <c r="A11" s="6" t="str">
        <f t="shared" si="0"/>
        <v/>
      </c>
      <c r="B11" s="9"/>
      <c r="C11" s="8"/>
      <c r="D11" s="8"/>
      <c r="E11" s="8"/>
      <c r="F11" s="8"/>
      <c r="G11" s="8"/>
      <c r="H11" s="9"/>
      <c r="I11" s="8"/>
      <c r="J11" s="6">
        <f>IF(OR(H11="",I11="已决策"),0,MAX(0,项目驾驶舱!$B$3-H11))</f>
        <v>0</v>
      </c>
      <c r="K11" s="8"/>
      <c r="L11" s="8"/>
      <c r="M11" s="9"/>
    </row>
    <row r="12" spans="1:13">
      <c r="A12" s="6" t="str">
        <f t="shared" si="0"/>
        <v/>
      </c>
      <c r="B12" s="9"/>
      <c r="C12" s="8"/>
      <c r="D12" s="8"/>
      <c r="E12" s="8"/>
      <c r="F12" s="8"/>
      <c r="G12" s="8"/>
      <c r="H12" s="9"/>
      <c r="I12" s="8"/>
      <c r="J12" s="6">
        <f>IF(OR(H12="",I12="已决策"),0,MAX(0,项目驾驶舱!$B$3-H12))</f>
        <v>0</v>
      </c>
      <c r="K12" s="8"/>
      <c r="L12" s="8"/>
      <c r="M12" s="9"/>
    </row>
    <row r="13" spans="1:13">
      <c r="A13" s="6" t="str">
        <f t="shared" si="0"/>
        <v/>
      </c>
      <c r="B13" s="9"/>
      <c r="C13" s="8"/>
      <c r="D13" s="8"/>
      <c r="E13" s="8"/>
      <c r="F13" s="8"/>
      <c r="G13" s="8"/>
      <c r="H13" s="9"/>
      <c r="I13" s="8"/>
      <c r="J13" s="6">
        <f>IF(OR(H13="",I13="已决策"),0,MAX(0,项目驾驶舱!$B$3-H13))</f>
        <v>0</v>
      </c>
      <c r="K13" s="8"/>
      <c r="L13" s="8"/>
      <c r="M13" s="9"/>
    </row>
    <row r="14" spans="1:13">
      <c r="A14" s="6" t="str">
        <f t="shared" si="0"/>
        <v/>
      </c>
      <c r="B14" s="9"/>
      <c r="C14" s="8"/>
      <c r="D14" s="8"/>
      <c r="E14" s="8"/>
      <c r="F14" s="8"/>
      <c r="G14" s="8"/>
      <c r="H14" s="9"/>
      <c r="I14" s="8"/>
      <c r="J14" s="6">
        <f>IF(OR(H14="",I14="已决策"),0,MAX(0,项目驾驶舱!$B$3-H14))</f>
        <v>0</v>
      </c>
      <c r="K14" s="8"/>
      <c r="L14" s="8"/>
      <c r="M14" s="9"/>
    </row>
    <row r="15" spans="1:13">
      <c r="A15" s="6" t="str">
        <f t="shared" si="0"/>
        <v/>
      </c>
      <c r="B15" s="9"/>
      <c r="C15" s="8"/>
      <c r="D15" s="8"/>
      <c r="E15" s="8"/>
      <c r="F15" s="8"/>
      <c r="G15" s="8"/>
      <c r="H15" s="9"/>
      <c r="I15" s="8"/>
      <c r="J15" s="6">
        <f>IF(OR(H15="",I15="已决策"),0,MAX(0,项目驾驶舱!$B$3-H15))</f>
        <v>0</v>
      </c>
      <c r="K15" s="8"/>
      <c r="L15" s="8"/>
      <c r="M15" s="9"/>
    </row>
    <row r="16" spans="1:13">
      <c r="A16" s="6" t="str">
        <f t="shared" si="0"/>
        <v/>
      </c>
      <c r="B16" s="9"/>
      <c r="C16" s="8"/>
      <c r="D16" s="8"/>
      <c r="E16" s="8"/>
      <c r="F16" s="8"/>
      <c r="G16" s="8"/>
      <c r="H16" s="9"/>
      <c r="I16" s="8"/>
      <c r="J16" s="6">
        <f>IF(OR(H16="",I16="已决策"),0,MAX(0,项目驾驶舱!$B$3-H16))</f>
        <v>0</v>
      </c>
      <c r="K16" s="8"/>
      <c r="L16" s="8"/>
      <c r="M16" s="9"/>
    </row>
    <row r="17" spans="1:13">
      <c r="A17" s="6" t="str">
        <f t="shared" si="0"/>
        <v/>
      </c>
      <c r="B17" s="9"/>
      <c r="C17" s="8"/>
      <c r="D17" s="8"/>
      <c r="E17" s="8"/>
      <c r="F17" s="8"/>
      <c r="G17" s="8"/>
      <c r="H17" s="9"/>
      <c r="I17" s="8"/>
      <c r="J17" s="6">
        <f>IF(OR(H17="",I17="已决策"),0,MAX(0,项目驾驶舱!$B$3-H17))</f>
        <v>0</v>
      </c>
      <c r="K17" s="8"/>
      <c r="L17" s="8"/>
      <c r="M17" s="9"/>
    </row>
    <row r="18" spans="1:13">
      <c r="A18" s="6" t="str">
        <f t="shared" si="0"/>
        <v/>
      </c>
      <c r="B18" s="9"/>
      <c r="C18" s="8"/>
      <c r="D18" s="8"/>
      <c r="E18" s="8"/>
      <c r="F18" s="8"/>
      <c r="G18" s="8"/>
      <c r="H18" s="9"/>
      <c r="I18" s="8"/>
      <c r="J18" s="6">
        <f>IF(OR(H18="",I18="已决策"),0,MAX(0,项目驾驶舱!$B$3-H18))</f>
        <v>0</v>
      </c>
      <c r="K18" s="8"/>
      <c r="L18" s="8"/>
      <c r="M18" s="9"/>
    </row>
    <row r="19" spans="1:13">
      <c r="A19" s="6" t="str">
        <f t="shared" si="0"/>
        <v/>
      </c>
      <c r="B19" s="9"/>
      <c r="C19" s="8"/>
      <c r="D19" s="8"/>
      <c r="E19" s="8"/>
      <c r="F19" s="8"/>
      <c r="G19" s="8"/>
      <c r="H19" s="9"/>
      <c r="I19" s="8"/>
      <c r="J19" s="6">
        <f>IF(OR(H19="",I19="已决策"),0,MAX(0,项目驾驶舱!$B$3-H19))</f>
        <v>0</v>
      </c>
      <c r="K19" s="8"/>
      <c r="L19" s="8"/>
      <c r="M19" s="9"/>
    </row>
    <row r="20" spans="1:13">
      <c r="A20" s="6" t="str">
        <f t="shared" si="0"/>
        <v/>
      </c>
      <c r="B20" s="9"/>
      <c r="C20" s="8"/>
      <c r="D20" s="8"/>
      <c r="E20" s="8"/>
      <c r="F20" s="8"/>
      <c r="G20" s="8"/>
      <c r="H20" s="9"/>
      <c r="I20" s="8"/>
      <c r="J20" s="6">
        <f>IF(OR(H20="",I20="已决策"),0,MAX(0,项目驾驶舱!$B$3-H20))</f>
        <v>0</v>
      </c>
      <c r="K20" s="8"/>
      <c r="L20" s="8"/>
      <c r="M20" s="9"/>
    </row>
    <row r="21" spans="1:13">
      <c r="A21" s="6" t="str">
        <f t="shared" si="0"/>
        <v/>
      </c>
      <c r="B21" s="9"/>
      <c r="C21" s="8"/>
      <c r="D21" s="8"/>
      <c r="E21" s="8"/>
      <c r="F21" s="8"/>
      <c r="G21" s="8"/>
      <c r="H21" s="9"/>
      <c r="I21" s="8"/>
      <c r="J21" s="6">
        <f>IF(OR(H21="",I21="已决策"),0,MAX(0,项目驾驶舱!$B$3-H21))</f>
        <v>0</v>
      </c>
      <c r="K21" s="8"/>
      <c r="L21" s="8"/>
      <c r="M21" s="9"/>
    </row>
    <row r="22" spans="1:13">
      <c r="A22" s="6" t="str">
        <f t="shared" si="0"/>
        <v/>
      </c>
      <c r="B22" s="9"/>
      <c r="C22" s="8"/>
      <c r="D22" s="8"/>
      <c r="E22" s="8"/>
      <c r="F22" s="8"/>
      <c r="G22" s="8"/>
      <c r="H22" s="9"/>
      <c r="I22" s="8"/>
      <c r="J22" s="6">
        <f>IF(OR(H22="",I22="已决策"),0,MAX(0,项目驾驶舱!$B$3-H22))</f>
        <v>0</v>
      </c>
      <c r="K22" s="8"/>
      <c r="L22" s="8"/>
      <c r="M22" s="9"/>
    </row>
    <row r="23" spans="1:13">
      <c r="A23" s="6" t="str">
        <f t="shared" si="0"/>
        <v/>
      </c>
      <c r="B23" s="9"/>
      <c r="C23" s="8"/>
      <c r="D23" s="8"/>
      <c r="E23" s="8"/>
      <c r="F23" s="8"/>
      <c r="G23" s="8"/>
      <c r="H23" s="9"/>
      <c r="I23" s="8"/>
      <c r="J23" s="6">
        <f>IF(OR(H23="",I23="已决策"),0,MAX(0,项目驾驶舱!$B$3-H23))</f>
        <v>0</v>
      </c>
      <c r="K23" s="8"/>
      <c r="L23" s="8"/>
      <c r="M23" s="9"/>
    </row>
    <row r="24" spans="1:13">
      <c r="A24" s="6" t="str">
        <f t="shared" si="0"/>
        <v/>
      </c>
      <c r="B24" s="9"/>
      <c r="C24" s="8"/>
      <c r="D24" s="8"/>
      <c r="E24" s="8"/>
      <c r="F24" s="8"/>
      <c r="G24" s="8"/>
      <c r="H24" s="9"/>
      <c r="I24" s="8"/>
      <c r="J24" s="6">
        <f>IF(OR(H24="",I24="已决策"),0,MAX(0,项目驾驶舱!$B$3-H24))</f>
        <v>0</v>
      </c>
      <c r="K24" s="8"/>
      <c r="L24" s="8"/>
      <c r="M24" s="9"/>
    </row>
    <row r="25" spans="1:13">
      <c r="A25" s="6" t="str">
        <f t="shared" si="0"/>
        <v/>
      </c>
      <c r="B25" s="9"/>
      <c r="C25" s="8"/>
      <c r="D25" s="8"/>
      <c r="E25" s="8"/>
      <c r="F25" s="8"/>
      <c r="G25" s="8"/>
      <c r="H25" s="9"/>
      <c r="I25" s="8"/>
      <c r="J25" s="6">
        <f>IF(OR(H25="",I25="已决策"),0,MAX(0,项目驾驶舱!$B$3-H25))</f>
        <v>0</v>
      </c>
      <c r="K25" s="8"/>
      <c r="L25" s="8"/>
      <c r="M25" s="9"/>
    </row>
    <row r="26" spans="1:13">
      <c r="A26" s="6" t="str">
        <f t="shared" si="0"/>
        <v/>
      </c>
      <c r="B26" s="9"/>
      <c r="C26" s="8"/>
      <c r="D26" s="8"/>
      <c r="E26" s="8"/>
      <c r="F26" s="8"/>
      <c r="G26" s="8"/>
      <c r="H26" s="9"/>
      <c r="I26" s="8"/>
      <c r="J26" s="6">
        <f>IF(OR(H26="",I26="已决策"),0,MAX(0,项目驾驶舱!$B$3-H26))</f>
        <v>0</v>
      </c>
      <c r="K26" s="8"/>
      <c r="L26" s="8"/>
      <c r="M26" s="9"/>
    </row>
    <row r="27" spans="1:13">
      <c r="A27" s="6" t="str">
        <f t="shared" si="0"/>
        <v/>
      </c>
      <c r="B27" s="9"/>
      <c r="C27" s="8"/>
      <c r="D27" s="8"/>
      <c r="E27" s="8"/>
      <c r="F27" s="8"/>
      <c r="G27" s="8"/>
      <c r="H27" s="9"/>
      <c r="I27" s="8"/>
      <c r="J27" s="6">
        <f>IF(OR(H27="",I27="已决策"),0,MAX(0,项目驾驶舱!$B$3-H27))</f>
        <v>0</v>
      </c>
      <c r="K27" s="8"/>
      <c r="L27" s="8"/>
      <c r="M27" s="9"/>
    </row>
    <row r="28" spans="1:13">
      <c r="A28" s="6" t="str">
        <f t="shared" si="0"/>
        <v/>
      </c>
      <c r="B28" s="9"/>
      <c r="C28" s="8"/>
      <c r="D28" s="8"/>
      <c r="E28" s="8"/>
      <c r="F28" s="8"/>
      <c r="G28" s="8"/>
      <c r="H28" s="9"/>
      <c r="I28" s="8"/>
      <c r="J28" s="6">
        <f>IF(OR(H28="",I28="已决策"),0,MAX(0,项目驾驶舱!$B$3-H28))</f>
        <v>0</v>
      </c>
      <c r="K28" s="8"/>
      <c r="L28" s="8"/>
      <c r="M28" s="9"/>
    </row>
    <row r="29" spans="1:13">
      <c r="A29" s="6" t="str">
        <f t="shared" si="0"/>
        <v/>
      </c>
      <c r="B29" s="9"/>
      <c r="C29" s="8"/>
      <c r="D29" s="8"/>
      <c r="E29" s="8"/>
      <c r="F29" s="8"/>
      <c r="G29" s="8"/>
      <c r="H29" s="9"/>
      <c r="I29" s="8"/>
      <c r="J29" s="6">
        <f>IF(OR(H29="",I29="已决策"),0,MAX(0,项目驾驶舱!$B$3-H29))</f>
        <v>0</v>
      </c>
      <c r="K29" s="8"/>
      <c r="L29" s="8"/>
      <c r="M29" s="9"/>
    </row>
    <row r="30" spans="1:13">
      <c r="A30" s="6" t="str">
        <f t="shared" si="0"/>
        <v/>
      </c>
      <c r="B30" s="9"/>
      <c r="C30" s="8"/>
      <c r="D30" s="8"/>
      <c r="E30" s="8"/>
      <c r="F30" s="8"/>
      <c r="G30" s="8"/>
      <c r="H30" s="9"/>
      <c r="I30" s="8"/>
      <c r="J30" s="6">
        <f>IF(OR(H30="",I30="已决策"),0,MAX(0,项目驾驶舱!$B$3-H30))</f>
        <v>0</v>
      </c>
      <c r="K30" s="8"/>
      <c r="L30" s="8"/>
      <c r="M30" s="9"/>
    </row>
    <row r="31" spans="1:13">
      <c r="A31" s="6" t="str">
        <f t="shared" si="0"/>
        <v/>
      </c>
      <c r="B31" s="9"/>
      <c r="C31" s="8"/>
      <c r="D31" s="8"/>
      <c r="E31" s="8"/>
      <c r="F31" s="8"/>
      <c r="G31" s="8"/>
      <c r="H31" s="9"/>
      <c r="I31" s="8"/>
      <c r="J31" s="6">
        <f>IF(OR(H31="",I31="已决策"),0,MAX(0,项目驾驶舱!$B$3-H31))</f>
        <v>0</v>
      </c>
      <c r="K31" s="8"/>
      <c r="L31" s="8"/>
      <c r="M31" s="9"/>
    </row>
    <row r="32" spans="1:13">
      <c r="A32" s="6" t="str">
        <f t="shared" si="0"/>
        <v/>
      </c>
      <c r="B32" s="9"/>
      <c r="C32" s="8"/>
      <c r="D32" s="8"/>
      <c r="E32" s="8"/>
      <c r="F32" s="8"/>
      <c r="G32" s="8"/>
      <c r="H32" s="9"/>
      <c r="I32" s="8"/>
      <c r="J32" s="6">
        <f>IF(OR(H32="",I32="已决策"),0,MAX(0,项目驾驶舱!$B$3-H32))</f>
        <v>0</v>
      </c>
      <c r="K32" s="8"/>
      <c r="L32" s="8"/>
      <c r="M32" s="9"/>
    </row>
    <row r="33" spans="1:13">
      <c r="A33" s="6" t="str">
        <f t="shared" si="0"/>
        <v/>
      </c>
      <c r="B33" s="9"/>
      <c r="C33" s="8"/>
      <c r="D33" s="8"/>
      <c r="E33" s="8"/>
      <c r="F33" s="8"/>
      <c r="G33" s="8"/>
      <c r="H33" s="9"/>
      <c r="I33" s="8"/>
      <c r="J33" s="6">
        <f>IF(OR(H33="",I33="已决策"),0,MAX(0,项目驾驶舱!$B$3-H33))</f>
        <v>0</v>
      </c>
      <c r="K33" s="8"/>
      <c r="L33" s="8"/>
      <c r="M33" s="9"/>
    </row>
    <row r="34" spans="1:13">
      <c r="A34" s="6" t="str">
        <f t="shared" si="0"/>
        <v/>
      </c>
      <c r="B34" s="9"/>
      <c r="C34" s="8"/>
      <c r="D34" s="8"/>
      <c r="E34" s="8"/>
      <c r="F34" s="8"/>
      <c r="G34" s="8"/>
      <c r="H34" s="9"/>
      <c r="I34" s="8"/>
      <c r="J34" s="6">
        <f>IF(OR(H34="",I34="已决策"),0,MAX(0,项目驾驶舱!$B$3-H34))</f>
        <v>0</v>
      </c>
      <c r="K34" s="8"/>
      <c r="L34" s="8"/>
      <c r="M34" s="9"/>
    </row>
    <row r="35" spans="1:13">
      <c r="A35" s="6" t="str">
        <f t="shared" si="0"/>
        <v/>
      </c>
      <c r="B35" s="9"/>
      <c r="C35" s="8"/>
      <c r="D35" s="8"/>
      <c r="E35" s="8"/>
      <c r="F35" s="8"/>
      <c r="G35" s="8"/>
      <c r="H35" s="9"/>
      <c r="I35" s="8"/>
      <c r="J35" s="6">
        <f>IF(OR(H35="",I35="已决策"),0,MAX(0,项目驾驶舱!$B$3-H35))</f>
        <v>0</v>
      </c>
      <c r="K35" s="8"/>
      <c r="L35" s="8"/>
      <c r="M35" s="9"/>
    </row>
    <row r="36" spans="1:13">
      <c r="A36" s="6" t="str">
        <f t="shared" si="0"/>
        <v/>
      </c>
      <c r="B36" s="9"/>
      <c r="C36" s="8"/>
      <c r="D36" s="8"/>
      <c r="E36" s="8"/>
      <c r="F36" s="8"/>
      <c r="G36" s="8"/>
      <c r="H36" s="9"/>
      <c r="I36" s="8"/>
      <c r="J36" s="6">
        <f>IF(OR(H36="",I36="已决策"),0,MAX(0,项目驾驶舱!$B$3-H36))</f>
        <v>0</v>
      </c>
      <c r="K36" s="8"/>
      <c r="L36" s="8"/>
      <c r="M36" s="9"/>
    </row>
    <row r="37" spans="1:13">
      <c r="A37" s="6" t="str">
        <f t="shared" si="0"/>
        <v/>
      </c>
      <c r="B37" s="9"/>
      <c r="C37" s="8"/>
      <c r="D37" s="8"/>
      <c r="E37" s="8"/>
      <c r="F37" s="8"/>
      <c r="G37" s="8"/>
      <c r="H37" s="9"/>
      <c r="I37" s="8"/>
      <c r="J37" s="6">
        <f>IF(OR(H37="",I37="已决策"),0,MAX(0,项目驾驶舱!$B$3-H37))</f>
        <v>0</v>
      </c>
      <c r="K37" s="8"/>
      <c r="L37" s="8"/>
      <c r="M37" s="9"/>
    </row>
    <row r="38" spans="1:13">
      <c r="A38" s="6" t="str">
        <f t="shared" si="0"/>
        <v/>
      </c>
      <c r="B38" s="9"/>
      <c r="C38" s="8"/>
      <c r="D38" s="8"/>
      <c r="E38" s="8"/>
      <c r="F38" s="8"/>
      <c r="G38" s="8"/>
      <c r="H38" s="9"/>
      <c r="I38" s="8"/>
      <c r="J38" s="6">
        <f>IF(OR(H38="",I38="已决策"),0,MAX(0,项目驾驶舱!$B$3-H38))</f>
        <v>0</v>
      </c>
      <c r="K38" s="8"/>
      <c r="L38" s="8"/>
      <c r="M38" s="9"/>
    </row>
    <row r="39" spans="1:13">
      <c r="A39" s="6" t="str">
        <f t="shared" si="0"/>
        <v/>
      </c>
      <c r="B39" s="9"/>
      <c r="C39" s="8"/>
      <c r="D39" s="8"/>
      <c r="E39" s="8"/>
      <c r="F39" s="8"/>
      <c r="G39" s="8"/>
      <c r="H39" s="9"/>
      <c r="I39" s="8"/>
      <c r="J39" s="6">
        <f>IF(OR(H39="",I39="已决策"),0,MAX(0,项目驾驶舱!$B$3-H39))</f>
        <v>0</v>
      </c>
      <c r="K39" s="8"/>
      <c r="L39" s="8"/>
      <c r="M39" s="9"/>
    </row>
    <row r="40" spans="1:13">
      <c r="A40" s="6" t="str">
        <f t="shared" si="0"/>
        <v/>
      </c>
      <c r="B40" s="9"/>
      <c r="C40" s="8"/>
      <c r="D40" s="8"/>
      <c r="E40" s="8"/>
      <c r="F40" s="8"/>
      <c r="G40" s="8"/>
      <c r="H40" s="9"/>
      <c r="I40" s="8"/>
      <c r="J40" s="6">
        <f>IF(OR(H40="",I40="已决策"),0,MAX(0,项目驾驶舱!$B$3-H40))</f>
        <v>0</v>
      </c>
      <c r="K40" s="8"/>
      <c r="L40" s="8"/>
      <c r="M40" s="9"/>
    </row>
    <row r="41" spans="1:13">
      <c r="A41" s="6" t="str">
        <f t="shared" si="0"/>
        <v/>
      </c>
      <c r="B41" s="9"/>
      <c r="C41" s="8"/>
      <c r="D41" s="8"/>
      <c r="E41" s="8"/>
      <c r="F41" s="8"/>
      <c r="G41" s="8"/>
      <c r="H41" s="9"/>
      <c r="I41" s="8"/>
      <c r="J41" s="6">
        <f>IF(OR(H41="",I41="已决策"),0,MAX(0,项目驾驶舱!$B$3-H41))</f>
        <v>0</v>
      </c>
      <c r="K41" s="8"/>
      <c r="L41" s="8"/>
      <c r="M41" s="9"/>
    </row>
    <row r="42" spans="1:13">
      <c r="A42" s="6" t="str">
        <f t="shared" si="0"/>
        <v/>
      </c>
      <c r="B42" s="9"/>
      <c r="C42" s="8"/>
      <c r="D42" s="8"/>
      <c r="E42" s="8"/>
      <c r="F42" s="8"/>
      <c r="G42" s="8"/>
      <c r="H42" s="9"/>
      <c r="I42" s="8"/>
      <c r="J42" s="6">
        <f>IF(OR(H42="",I42="已决策"),0,MAX(0,项目驾驶舱!$B$3-H42))</f>
        <v>0</v>
      </c>
      <c r="K42" s="8"/>
      <c r="L42" s="8"/>
      <c r="M42" s="9"/>
    </row>
    <row r="43" spans="1:13">
      <c r="A43" s="6" t="str">
        <f t="shared" si="0"/>
        <v/>
      </c>
      <c r="B43" s="9"/>
      <c r="C43" s="8"/>
      <c r="D43" s="8"/>
      <c r="E43" s="8"/>
      <c r="F43" s="8"/>
      <c r="G43" s="8"/>
      <c r="H43" s="9"/>
      <c r="I43" s="8"/>
      <c r="J43" s="6">
        <f>IF(OR(H43="",I43="已决策"),0,MAX(0,项目驾驶舱!$B$3-H43))</f>
        <v>0</v>
      </c>
      <c r="K43" s="8"/>
      <c r="L43" s="8"/>
      <c r="M43" s="9"/>
    </row>
    <row r="44" spans="1:13">
      <c r="A44" s="6" t="str">
        <f t="shared" si="0"/>
        <v/>
      </c>
      <c r="B44" s="9"/>
      <c r="C44" s="8"/>
      <c r="D44" s="8"/>
      <c r="E44" s="8"/>
      <c r="F44" s="8"/>
      <c r="G44" s="8"/>
      <c r="H44" s="9"/>
      <c r="I44" s="8"/>
      <c r="J44" s="6">
        <f>IF(OR(H44="",I44="已决策"),0,MAX(0,项目驾驶舱!$B$3-H44))</f>
        <v>0</v>
      </c>
      <c r="K44" s="8"/>
      <c r="L44" s="8"/>
      <c r="M44" s="9"/>
    </row>
    <row r="45" spans="1:13">
      <c r="A45" s="6" t="str">
        <f t="shared" si="0"/>
        <v/>
      </c>
      <c r="B45" s="9"/>
      <c r="C45" s="8"/>
      <c r="D45" s="8"/>
      <c r="E45" s="8"/>
      <c r="F45" s="8"/>
      <c r="G45" s="8"/>
      <c r="H45" s="9"/>
      <c r="I45" s="8"/>
      <c r="J45" s="6">
        <f>IF(OR(H45="",I45="已决策"),0,MAX(0,项目驾驶舱!$B$3-H45))</f>
        <v>0</v>
      </c>
      <c r="K45" s="8"/>
      <c r="L45" s="8"/>
      <c r="M45" s="9"/>
    </row>
    <row r="46" spans="1:13">
      <c r="A46" s="6" t="str">
        <f t="shared" si="0"/>
        <v/>
      </c>
      <c r="B46" s="9"/>
      <c r="C46" s="8"/>
      <c r="D46" s="8"/>
      <c r="E46" s="8"/>
      <c r="F46" s="8"/>
      <c r="G46" s="8"/>
      <c r="H46" s="9"/>
      <c r="I46" s="8"/>
      <c r="J46" s="6">
        <f>IF(OR(H46="",I46="已决策"),0,MAX(0,项目驾驶舱!$B$3-H46))</f>
        <v>0</v>
      </c>
      <c r="K46" s="8"/>
      <c r="L46" s="8"/>
      <c r="M46" s="9"/>
    </row>
    <row r="47" spans="1:13">
      <c r="A47" s="6" t="str">
        <f t="shared" si="0"/>
        <v/>
      </c>
      <c r="B47" s="9"/>
      <c r="C47" s="8"/>
      <c r="D47" s="8"/>
      <c r="E47" s="8"/>
      <c r="F47" s="8"/>
      <c r="G47" s="8"/>
      <c r="H47" s="9"/>
      <c r="I47" s="8"/>
      <c r="J47" s="6">
        <f>IF(OR(H47="",I47="已决策"),0,MAX(0,项目驾驶舱!$B$3-H47))</f>
        <v>0</v>
      </c>
      <c r="K47" s="8"/>
      <c r="L47" s="8"/>
      <c r="M47" s="9"/>
    </row>
    <row r="48" spans="1:13">
      <c r="A48" s="6" t="str">
        <f t="shared" si="0"/>
        <v/>
      </c>
      <c r="B48" s="9"/>
      <c r="C48" s="8"/>
      <c r="D48" s="8"/>
      <c r="E48" s="8"/>
      <c r="F48" s="8"/>
      <c r="G48" s="8"/>
      <c r="H48" s="9"/>
      <c r="I48" s="8"/>
      <c r="J48" s="6">
        <f>IF(OR(H48="",I48="已决策"),0,MAX(0,项目驾驶舱!$B$3-H48))</f>
        <v>0</v>
      </c>
      <c r="K48" s="8"/>
      <c r="L48" s="8"/>
      <c r="M48" s="9"/>
    </row>
    <row r="49" spans="1:13">
      <c r="A49" s="6" t="str">
        <f t="shared" si="0"/>
        <v/>
      </c>
      <c r="B49" s="9"/>
      <c r="C49" s="8"/>
      <c r="D49" s="8"/>
      <c r="E49" s="8"/>
      <c r="F49" s="8"/>
      <c r="G49" s="8"/>
      <c r="H49" s="9"/>
      <c r="I49" s="8"/>
      <c r="J49" s="6">
        <f>IF(OR(H49="",I49="已决策"),0,MAX(0,项目驾驶舱!$B$3-H49))</f>
        <v>0</v>
      </c>
      <c r="K49" s="8"/>
      <c r="L49" s="8"/>
      <c r="M49" s="9"/>
    </row>
    <row r="50" spans="1:13">
      <c r="A50" s="6" t="str">
        <f t="shared" si="0"/>
        <v/>
      </c>
      <c r="B50" s="9"/>
      <c r="C50" s="8"/>
      <c r="D50" s="8"/>
      <c r="E50" s="8"/>
      <c r="F50" s="8"/>
      <c r="G50" s="8"/>
      <c r="H50" s="9"/>
      <c r="I50" s="8"/>
      <c r="J50" s="6">
        <f>IF(OR(H50="",I50="已决策"),0,MAX(0,项目驾驶舱!$B$3-H50))</f>
        <v>0</v>
      </c>
      <c r="K50" s="8"/>
      <c r="L50" s="8"/>
      <c r="M50" s="9"/>
    </row>
    <row r="51" spans="1:13">
      <c r="A51" s="6" t="str">
        <f t="shared" si="0"/>
        <v/>
      </c>
      <c r="B51" s="9"/>
      <c r="C51" s="8"/>
      <c r="D51" s="8"/>
      <c r="E51" s="8"/>
      <c r="F51" s="8"/>
      <c r="G51" s="8"/>
      <c r="H51" s="9"/>
      <c r="I51" s="8"/>
      <c r="J51" s="6">
        <f>IF(OR(H51="",I51="已决策"),0,MAX(0,项目驾驶舱!$B$3-H51))</f>
        <v>0</v>
      </c>
      <c r="K51" s="8"/>
      <c r="L51" s="8"/>
      <c r="M51" s="9"/>
    </row>
    <row r="52" spans="1:13">
      <c r="A52" s="6" t="str">
        <f t="shared" si="0"/>
        <v/>
      </c>
      <c r="B52" s="9"/>
      <c r="C52" s="8"/>
      <c r="D52" s="8"/>
      <c r="E52" s="8"/>
      <c r="F52" s="8"/>
      <c r="G52" s="8"/>
      <c r="H52" s="9"/>
      <c r="I52" s="8"/>
      <c r="J52" s="6">
        <f>IF(OR(H52="",I52="已决策"),0,MAX(0,项目驾驶舱!$B$3-H52))</f>
        <v>0</v>
      </c>
      <c r="K52" s="8"/>
      <c r="L52" s="8"/>
      <c r="M52" s="9"/>
    </row>
    <row r="53" spans="1:13">
      <c r="A53" s="6" t="str">
        <f t="shared" si="0"/>
        <v/>
      </c>
      <c r="B53" s="9"/>
      <c r="C53" s="8"/>
      <c r="D53" s="8"/>
      <c r="E53" s="8"/>
      <c r="F53" s="8"/>
      <c r="G53" s="8"/>
      <c r="H53" s="9"/>
      <c r="I53" s="8"/>
      <c r="J53" s="6">
        <f>IF(OR(H53="",I53="已决策"),0,MAX(0,项目驾驶舱!$B$3-H53))</f>
        <v>0</v>
      </c>
      <c r="K53" s="8"/>
      <c r="L53" s="8"/>
      <c r="M53" s="9"/>
    </row>
    <row r="54" spans="1:13">
      <c r="A54" s="6" t="str">
        <f t="shared" si="0"/>
        <v/>
      </c>
      <c r="B54" s="9"/>
      <c r="C54" s="8"/>
      <c r="D54" s="8"/>
      <c r="E54" s="8"/>
      <c r="F54" s="8"/>
      <c r="G54" s="8"/>
      <c r="H54" s="9"/>
      <c r="I54" s="8"/>
      <c r="J54" s="6">
        <f>IF(OR(H54="",I54="已决策"),0,MAX(0,项目驾驶舱!$B$3-H54))</f>
        <v>0</v>
      </c>
      <c r="K54" s="8"/>
      <c r="L54" s="8"/>
      <c r="M54" s="9"/>
    </row>
  </sheetData>
  <autoFilter xmlns:etc="http://www.wps.cn/officeDocument/2017/etCustomData" ref="A4:M54" etc:filterBottomFollowUsedRange="0">
    <extLst/>
  </autoFilter>
  <mergeCells count="2">
    <mergeCell ref="A1:M1"/>
    <mergeCell ref="A2:M2"/>
  </mergeCells>
  <conditionalFormatting sqref="J5:J54">
    <cfRule type="expression" dxfId="6" priority="1">
      <formula>$J5&gt;0</formula>
    </cfRule>
  </conditionalFormatting>
  <dataValidations count="1">
    <dataValidation type="list" allowBlank="1" sqref="I5:I54">
      <formula1>"待提出,待决策,已决策,已关闭"</formula1>
    </dataValidation>
  </dataValidations>
  <pageMargins left="0.75" right="0.75" top="1" bottom="1" header="0.5" footer="0.5"/>
  <pageSetup paperSize="1" fitToHeight="0" orientation="landscape"/>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pageSetUpPr fitToPage="1"/>
  </sheetPr>
  <dimension ref="A1:M149"/>
  <sheetViews>
    <sheetView showGridLines="0" zoomScale="85" zoomScaleNormal="85" workbookViewId="0">
      <pane ySplit="4" topLeftCell="A5" activePane="bottomLeft" state="frozen"/>
      <selection/>
      <selection pane="bottomLeft" activeCell="A1" sqref="A1:M1"/>
    </sheetView>
  </sheetViews>
  <sheetFormatPr defaultColWidth="9" defaultRowHeight="16.8"/>
  <cols>
    <col min="1" max="2" width="11" style="1" customWidth="1"/>
    <col min="3" max="3" width="28" style="1" customWidth="1"/>
    <col min="4" max="5" width="13" style="1" customWidth="1"/>
    <col min="6" max="6" width="16" style="1" customWidth="1"/>
    <col min="7" max="7" width="13" style="1" customWidth="1"/>
    <col min="8" max="8" width="12" style="1" customWidth="1"/>
    <col min="9" max="9" width="13" style="1" customWidth="1"/>
    <col min="10" max="10" width="30" style="1" customWidth="1"/>
    <col min="11" max="11" width="34" style="1" customWidth="1"/>
    <col min="12" max="12" width="13" style="1" customWidth="1"/>
    <col min="13" max="13" width="24" style="1" customWidth="1"/>
  </cols>
  <sheetData>
    <row r="1" ht="28" customHeight="1" spans="1:13">
      <c r="A1" s="2" t="s">
        <v>749</v>
      </c>
    </row>
    <row r="2" ht="22" customHeight="1" spans="1:13">
      <c r="A2" s="3" t="s">
        <v>750</v>
      </c>
    </row>
    <row r="3" spans="1:13">
      <c r="A3" s="4"/>
      <c r="B3" s="4"/>
      <c r="C3" s="4"/>
      <c r="D3" s="4"/>
      <c r="E3" s="4"/>
      <c r="F3" s="4"/>
      <c r="G3" s="4"/>
      <c r="H3" s="4"/>
      <c r="I3" s="4"/>
      <c r="J3" s="4"/>
      <c r="K3" s="4"/>
      <c r="L3" s="4"/>
      <c r="M3" s="4"/>
    </row>
    <row r="4" ht="28" customHeight="1" spans="1:13">
      <c r="A4" s="5" t="s">
        <v>751</v>
      </c>
      <c r="B4" s="5" t="s">
        <v>31</v>
      </c>
      <c r="C4" s="5" t="s">
        <v>438</v>
      </c>
      <c r="D4" s="5" t="s">
        <v>23</v>
      </c>
      <c r="E4" s="5" t="s">
        <v>36</v>
      </c>
      <c r="F4" s="5" t="s">
        <v>37</v>
      </c>
      <c r="G4" s="5" t="s">
        <v>39</v>
      </c>
      <c r="H4" s="5" t="s">
        <v>752</v>
      </c>
      <c r="I4" s="5" t="s">
        <v>57</v>
      </c>
      <c r="J4" s="5" t="s">
        <v>58</v>
      </c>
      <c r="K4" s="5" t="s">
        <v>708</v>
      </c>
      <c r="L4" s="5" t="s">
        <v>753</v>
      </c>
      <c r="M4" s="5" t="s">
        <v>754</v>
      </c>
    </row>
    <row r="5" spans="1:13">
      <c r="A5" s="6" t="str">
        <f>IF(B5="","",IF(AND(E5&lt;&gt;"已完成",ISNUMBER(G5),G5&lt;=项目驾驶舱!$B$3+14),"是","否"))</f>
        <v>否</v>
      </c>
      <c r="B5" s="6" t="str">
        <f>项目总控台账!A4</f>
        <v>T001</v>
      </c>
      <c r="C5" s="6" t="str">
        <f>IF(AND(项目总控台账!E4&lt;&gt;"",项目总控台账!E4&lt;&gt;"/"),项目总控台账!E4,IF(AND(项目总控台账!D4&lt;&gt;"",项目总控台账!D4&lt;&gt;"/"),项目总控台账!D4,项目总控台账!C4))</f>
        <v>新增车辆信息</v>
      </c>
      <c r="D5" s="6" t="str">
        <f>项目总控台账!F4</f>
        <v>第一批次</v>
      </c>
      <c r="E5" s="6" t="str">
        <f>项目总控台账!G4</f>
        <v>已完成</v>
      </c>
      <c r="F5" s="6" t="str">
        <f>项目总控台账!H4</f>
        <v>郑士旺</v>
      </c>
      <c r="G5" s="17">
        <f>项目总控台账!J4</f>
        <v>46234</v>
      </c>
      <c r="H5" s="6">
        <f>IF(G5="","",G5-项目驾驶舱!$B$3)</f>
        <v>-34</v>
      </c>
      <c r="I5" s="6" t="str">
        <f>项目总控台账!AC4</f>
        <v>正常</v>
      </c>
      <c r="J5" s="6" t="str">
        <f>项目总控台账!AD4</f>
        <v>69</v>
      </c>
      <c r="K5" s="6" t="str">
        <f t="shared" ref="K5:K68" si="0">IF(A5&lt;&gt;"是","",IF(OR(E5="暂停",E5="挂起"),"确认暂停原因、恢复条件和责任人",IF(H5&lt;0,"立即确认延期原因、影响及补救计划",IF(H5&lt;=7,"本周确认交付承诺和完成证据","提前检查依赖与风险"))))</f>
        <v/>
      </c>
      <c r="L5" s="9"/>
      <c r="M5" s="8"/>
    </row>
    <row r="6" spans="1:13">
      <c r="A6" s="6" t="str">
        <f>IF(B6="","",IF(AND(E6&lt;&gt;"已完成",ISNUMBER(G6),G6&lt;=项目驾驶舱!$B$3+14),"是","否"))</f>
        <v>否</v>
      </c>
      <c r="B6" s="6" t="str">
        <f>项目总控台账!A5</f>
        <v>T002</v>
      </c>
      <c r="C6" s="6" t="str">
        <f>IF(AND(项目总控台账!E5&lt;&gt;"",项目总控台账!E5&lt;&gt;"/"),项目总控台账!E5,IF(AND(项目总控台账!D5&lt;&gt;"",项目总控台账!D5&lt;&gt;"/"),项目总控台账!D5,项目总控台账!C5))</f>
        <v>修改车辆信息</v>
      </c>
      <c r="D6" s="6" t="str">
        <f>项目总控台账!F5</f>
        <v>第一批次</v>
      </c>
      <c r="E6" s="6" t="str">
        <f>项目总控台账!G5</f>
        <v>已完成</v>
      </c>
      <c r="F6" s="6" t="str">
        <f>项目总控台账!H5</f>
        <v>郑士旺</v>
      </c>
      <c r="G6" s="17">
        <f>项目总控台账!J5</f>
        <v>46234</v>
      </c>
      <c r="H6" s="6">
        <f>IF(G6="","",G6-项目驾驶舱!$B$3)</f>
        <v>-34</v>
      </c>
      <c r="I6" s="6" t="str">
        <f>项目总控台账!AC5</f>
        <v>正常</v>
      </c>
      <c r="J6" s="6" t="str">
        <f>项目总控台账!AD5</f>
        <v>69</v>
      </c>
      <c r="K6" s="6" t="str">
        <f t="shared" si="0"/>
        <v/>
      </c>
      <c r="L6" s="9"/>
      <c r="M6" s="8"/>
    </row>
    <row r="7" spans="1:13">
      <c r="A7" s="6" t="str">
        <f>IF(B7="","",IF(AND(E7&lt;&gt;"已完成",ISNUMBER(G7),G7&lt;=项目驾驶舱!$B$3+14),"是","否"))</f>
        <v>否</v>
      </c>
      <c r="B7" s="6" t="str">
        <f>项目总控台账!A6</f>
        <v>T003</v>
      </c>
      <c r="C7" s="6" t="str">
        <f>IF(AND(项目总控台账!E6&lt;&gt;"",项目总控台账!E6&lt;&gt;"/"),项目总控台账!E6,IF(AND(项目总控台账!D6&lt;&gt;"",项目总控台账!D6&lt;&gt;"/"),项目总控台账!D6,项目总控台账!C6))</f>
        <v>删除车辆信息</v>
      </c>
      <c r="D7" s="6" t="str">
        <f>项目总控台账!F6</f>
        <v>第一批次</v>
      </c>
      <c r="E7" s="6" t="str">
        <f>项目总控台账!G6</f>
        <v>已完成</v>
      </c>
      <c r="F7" s="6" t="str">
        <f>项目总控台账!H6</f>
        <v>郑士旺</v>
      </c>
      <c r="G7" s="17">
        <f>项目总控台账!J6</f>
        <v>46234</v>
      </c>
      <c r="H7" s="6">
        <f>IF(G7="","",G7-项目驾驶舱!$B$3)</f>
        <v>-34</v>
      </c>
      <c r="I7" s="6" t="str">
        <f>项目总控台账!AC6</f>
        <v>正常</v>
      </c>
      <c r="J7" s="6" t="str">
        <f>项目总控台账!AD6</f>
        <v>69</v>
      </c>
      <c r="K7" s="6" t="str">
        <f t="shared" si="0"/>
        <v/>
      </c>
      <c r="L7" s="9"/>
      <c r="M7" s="8"/>
    </row>
    <row r="8" spans="1:13">
      <c r="A8" s="6" t="str">
        <f>IF(B8="","",IF(AND(E8&lt;&gt;"已完成",ISNUMBER(G8),G8&lt;=项目驾驶舱!$B$3+14),"是","否"))</f>
        <v>否</v>
      </c>
      <c r="B8" s="6" t="str">
        <f>项目总控台账!A7</f>
        <v>T004</v>
      </c>
      <c r="C8" s="6" t="str">
        <f>IF(AND(项目总控台账!E7&lt;&gt;"",项目总控台账!E7&lt;&gt;"/"),项目总控台账!E7,IF(AND(项目总控台账!D7&lt;&gt;"",项目总控台账!D7&lt;&gt;"/"),项目总控台账!D7,项目总控台账!C7))</f>
        <v>查询展示车辆信息</v>
      </c>
      <c r="D8" s="6" t="str">
        <f>项目总控台账!F7</f>
        <v>第一批次</v>
      </c>
      <c r="E8" s="6" t="str">
        <f>项目总控台账!G7</f>
        <v>已完成</v>
      </c>
      <c r="F8" s="6" t="str">
        <f>项目总控台账!H7</f>
        <v>郑士旺</v>
      </c>
      <c r="G8" s="17">
        <f>项目总控台账!J7</f>
        <v>46234</v>
      </c>
      <c r="H8" s="6">
        <f>IF(G8="","",G8-项目驾驶舱!$B$3)</f>
        <v>-34</v>
      </c>
      <c r="I8" s="6" t="str">
        <f>项目总控台账!AC7</f>
        <v>正常</v>
      </c>
      <c r="J8" s="6" t="str">
        <f>项目总控台账!AD7</f>
        <v>69</v>
      </c>
      <c r="K8" s="6" t="str">
        <f t="shared" si="0"/>
        <v/>
      </c>
      <c r="L8" s="9"/>
      <c r="M8" s="8"/>
    </row>
    <row r="9" spans="1:13">
      <c r="A9" s="6" t="str">
        <f>IF(B9="","",IF(AND(E9&lt;&gt;"已完成",ISNUMBER(G9),G9&lt;=项目驾驶舱!$B$3+14),"是","否"))</f>
        <v>否</v>
      </c>
      <c r="B9" s="6" t="str">
        <f>项目总控台账!A8</f>
        <v>T005</v>
      </c>
      <c r="C9" s="6" t="str">
        <f>IF(AND(项目总控台账!E8&lt;&gt;"",项目总控台账!E8&lt;&gt;"/"),项目总控台账!E8,IF(AND(项目总控台账!D8&lt;&gt;"",项目总控台账!D8&lt;&gt;"/"),项目总控台账!D8,项目总控台账!C8))</f>
        <v>船舶唯一性校验</v>
      </c>
      <c r="D9" s="6" t="str">
        <f>项目总控台账!F8</f>
        <v>第二批次</v>
      </c>
      <c r="E9" s="6" t="str">
        <f>项目总控台账!G8</f>
        <v>已完成</v>
      </c>
      <c r="F9" s="6" t="str">
        <f>项目总控台账!H8</f>
        <v>郑士旺</v>
      </c>
      <c r="G9" s="17">
        <f>项目总控台账!J8</f>
        <v>46353</v>
      </c>
      <c r="H9" s="6">
        <f>IF(G9="","",G9-项目驾驶舱!$B$3)</f>
        <v>85</v>
      </c>
      <c r="I9" s="6" t="str">
        <f>项目总控台账!AC8</f>
        <v>正常</v>
      </c>
      <c r="J9" s="6" t="str">
        <f>项目总控台账!AD8</f>
        <v>69</v>
      </c>
      <c r="K9" s="6" t="str">
        <f t="shared" si="0"/>
        <v/>
      </c>
      <c r="L9" s="9"/>
      <c r="M9" s="8"/>
    </row>
    <row r="10" spans="1:13">
      <c r="A10" s="6" t="str">
        <f>IF(B10="","",IF(AND(E10&lt;&gt;"已完成",ISNUMBER(G10),G10&lt;=项目驾驶舱!$B$3+14),"是","否"))</f>
        <v>否</v>
      </c>
      <c r="B10" s="6" t="str">
        <f>项目总控台账!A9</f>
        <v>T006</v>
      </c>
      <c r="C10" s="6" t="str">
        <f>IF(AND(项目总控台账!E9&lt;&gt;"",项目总控台账!E9&lt;&gt;"/"),项目总控台账!E9,IF(AND(项目总控台账!D9&lt;&gt;"",项目总控台账!D9&lt;&gt;"/"),项目总控台账!D9,项目总控台账!C9))</f>
        <v>优化收费标准（装卸费）新增</v>
      </c>
      <c r="D10" s="6" t="str">
        <f>项目总控台账!F9</f>
        <v>第一批次</v>
      </c>
      <c r="E10" s="6" t="str">
        <f>项目总控台账!G9</f>
        <v>已完成</v>
      </c>
      <c r="F10" s="6" t="str">
        <f>项目总控台账!H9</f>
        <v>郑士旺</v>
      </c>
      <c r="G10" s="17">
        <f>项目总控台账!J9</f>
        <v>46224</v>
      </c>
      <c r="H10" s="6">
        <f>IF(G10="","",G10-项目驾驶舱!$B$3)</f>
        <v>-44</v>
      </c>
      <c r="I10" s="6" t="str">
        <f>项目总控台账!AC9</f>
        <v>正常</v>
      </c>
      <c r="J10" s="6" t="str">
        <f>项目总控台账!AD9</f>
        <v>69</v>
      </c>
      <c r="K10" s="6" t="str">
        <f t="shared" si="0"/>
        <v/>
      </c>
      <c r="L10" s="9"/>
      <c r="M10" s="8"/>
    </row>
    <row r="11" spans="1:13">
      <c r="A11" s="6" t="str">
        <f>IF(B11="","",IF(AND(E11&lt;&gt;"已完成",ISNUMBER(G11),G11&lt;=项目驾驶舱!$B$3+14),"是","否"))</f>
        <v>否</v>
      </c>
      <c r="B11" s="6" t="str">
        <f>项目总控台账!A10</f>
        <v>T007</v>
      </c>
      <c r="C11" s="6" t="str">
        <f>IF(AND(项目总控台账!E10&lt;&gt;"",项目总控台账!E10&lt;&gt;"/"),项目总控台账!E10,IF(AND(项目总控台账!D10&lt;&gt;"",项目总控台账!D10&lt;&gt;"/"),项目总控台账!D10,项目总控台账!C10))</f>
        <v>优化收费标准（装卸费）编辑</v>
      </c>
      <c r="D11" s="6" t="str">
        <f>项目总控台账!F10</f>
        <v>第一批次</v>
      </c>
      <c r="E11" s="6" t="str">
        <f>项目总控台账!G10</f>
        <v>已完成</v>
      </c>
      <c r="F11" s="6" t="str">
        <f>项目总控台账!H10</f>
        <v>郑士旺</v>
      </c>
      <c r="G11" s="17">
        <f>项目总控台账!J10</f>
        <v>46224</v>
      </c>
      <c r="H11" s="6">
        <f>IF(G11="","",G11-项目驾驶舱!$B$3)</f>
        <v>-44</v>
      </c>
      <c r="I11" s="6" t="str">
        <f>项目总控台账!AC10</f>
        <v>正常</v>
      </c>
      <c r="J11" s="6" t="str">
        <f>项目总控台账!AD10</f>
        <v>69</v>
      </c>
      <c r="K11" s="6" t="str">
        <f t="shared" si="0"/>
        <v/>
      </c>
      <c r="L11" s="9"/>
      <c r="M11" s="8"/>
    </row>
    <row r="12" spans="1:13">
      <c r="A12" s="6" t="str">
        <f>IF(B12="","",IF(AND(E12&lt;&gt;"已完成",ISNUMBER(G12),G12&lt;=项目驾驶舱!$B$3+14),"是","否"))</f>
        <v>否</v>
      </c>
      <c r="B12" s="6" t="str">
        <f>项目总控台账!A11</f>
        <v>T008</v>
      </c>
      <c r="C12" s="6" t="str">
        <f>IF(AND(项目总控台账!E11&lt;&gt;"",项目总控台账!E11&lt;&gt;"/"),项目总控台账!E11,IF(AND(项目总控台账!D11&lt;&gt;"",项目总控台账!D11&lt;&gt;"/"),项目总控台账!D11,项目总控台账!C11))</f>
        <v>优化收费标准（装卸费）详情</v>
      </c>
      <c r="D12" s="6" t="str">
        <f>项目总控台账!F11</f>
        <v>第一批次</v>
      </c>
      <c r="E12" s="6" t="str">
        <f>项目总控台账!G11</f>
        <v>已完成</v>
      </c>
      <c r="F12" s="6" t="str">
        <f>项目总控台账!H11</f>
        <v>郑士旺</v>
      </c>
      <c r="G12" s="17">
        <f>项目总控台账!J11</f>
        <v>46224</v>
      </c>
      <c r="H12" s="6">
        <f>IF(G12="","",G12-项目驾驶舱!$B$3)</f>
        <v>-44</v>
      </c>
      <c r="I12" s="6" t="str">
        <f>项目总控台账!AC11</f>
        <v>正常</v>
      </c>
      <c r="J12" s="6" t="str">
        <f>项目总控台账!AD11</f>
        <v>69</v>
      </c>
      <c r="K12" s="6" t="str">
        <f t="shared" si="0"/>
        <v/>
      </c>
      <c r="L12" s="9"/>
      <c r="M12" s="8"/>
    </row>
    <row r="13" spans="1:13">
      <c r="A13" s="6" t="str">
        <f>IF(B13="","",IF(AND(E13&lt;&gt;"已完成",ISNUMBER(G13),G13&lt;=项目驾驶舱!$B$3+14),"是","否"))</f>
        <v>否</v>
      </c>
      <c r="B13" s="6" t="str">
        <f>项目总控台账!A12</f>
        <v>T009</v>
      </c>
      <c r="C13" s="6" t="str">
        <f>IF(AND(项目总控台账!E12&lt;&gt;"",项目总控台账!E12&lt;&gt;"/"),项目总控台账!E12,IF(AND(项目总控台账!D12&lt;&gt;"",项目总控台账!D12&lt;&gt;"/"),项目总控台账!D12,项目总控台账!C12))</f>
        <v>优化采样方式新增</v>
      </c>
      <c r="D13" s="6" t="str">
        <f>项目总控台账!F12</f>
        <v>第一批次</v>
      </c>
      <c r="E13" s="6" t="str">
        <f>项目总控台账!G12</f>
        <v>已完成</v>
      </c>
      <c r="F13" s="6" t="str">
        <f>项目总控台账!H12</f>
        <v>郑士旺</v>
      </c>
      <c r="G13" s="17">
        <f>项目总控台账!J12</f>
        <v>46224</v>
      </c>
      <c r="H13" s="6">
        <f>IF(G13="","",G13-项目驾驶舱!$B$3)</f>
        <v>-44</v>
      </c>
      <c r="I13" s="6" t="str">
        <f>项目总控台账!AC12</f>
        <v>正常</v>
      </c>
      <c r="J13" s="6" t="str">
        <f>项目总控台账!AD12</f>
        <v>69</v>
      </c>
      <c r="K13" s="6" t="str">
        <f t="shared" si="0"/>
        <v/>
      </c>
      <c r="L13" s="9"/>
      <c r="M13" s="8"/>
    </row>
    <row r="14" spans="1:13">
      <c r="A14" s="6" t="str">
        <f>IF(B14="","",IF(AND(E14&lt;&gt;"已完成",ISNUMBER(G14),G14&lt;=项目驾驶舱!$B$3+14),"是","否"))</f>
        <v>否</v>
      </c>
      <c r="B14" s="6" t="str">
        <f>项目总控台账!A13</f>
        <v>T010</v>
      </c>
      <c r="C14" s="6" t="str">
        <f>IF(AND(项目总控台账!E13&lt;&gt;"",项目总控台账!E13&lt;&gt;"/"),项目总控台账!E13,IF(AND(项目总控台账!D13&lt;&gt;"",项目总控台账!D13&lt;&gt;"/"),项目总控台账!D13,项目总控台账!C13))</f>
        <v>优化采样方式编辑</v>
      </c>
      <c r="D14" s="6" t="str">
        <f>项目总控台账!F13</f>
        <v>第一批次</v>
      </c>
      <c r="E14" s="6" t="str">
        <f>项目总控台账!G13</f>
        <v>已完成</v>
      </c>
      <c r="F14" s="6" t="str">
        <f>项目总控台账!H13</f>
        <v>郑士旺</v>
      </c>
      <c r="G14" s="17">
        <f>项目总控台账!J13</f>
        <v>46224</v>
      </c>
      <c r="H14" s="6">
        <f>IF(G14="","",G14-项目驾驶舱!$B$3)</f>
        <v>-44</v>
      </c>
      <c r="I14" s="6" t="str">
        <f>项目总控台账!AC13</f>
        <v>正常</v>
      </c>
      <c r="J14" s="6" t="str">
        <f>项目总控台账!AD13</f>
        <v>69</v>
      </c>
      <c r="K14" s="6" t="str">
        <f t="shared" si="0"/>
        <v/>
      </c>
      <c r="L14" s="9"/>
      <c r="M14" s="8"/>
    </row>
    <row r="15" spans="1:13">
      <c r="A15" s="6" t="str">
        <f>IF(B15="","",IF(AND(E15&lt;&gt;"已完成",ISNUMBER(G15),G15&lt;=项目驾驶舱!$B$3+14),"是","否"))</f>
        <v>否</v>
      </c>
      <c r="B15" s="6" t="str">
        <f>项目总控台账!A14</f>
        <v>T011</v>
      </c>
      <c r="C15" s="6" t="str">
        <f>IF(AND(项目总控台账!E14&lt;&gt;"",项目总控台账!E14&lt;&gt;"/"),项目总控台账!E14,IF(AND(项目总控台账!D14&lt;&gt;"",项目总控台账!D14&lt;&gt;"/"),项目总控台账!D14,项目总控台账!C14))</f>
        <v>获取报单数据及展示</v>
      </c>
      <c r="D15" s="6" t="str">
        <f>项目总控台账!F14</f>
        <v>第一批次</v>
      </c>
      <c r="E15" s="6" t="str">
        <f>项目总控台账!G14</f>
        <v>已完成</v>
      </c>
      <c r="F15" s="6" t="str">
        <f>项目总控台账!H14</f>
        <v>郑士旺</v>
      </c>
      <c r="G15" s="17">
        <f>项目总控台账!J14</f>
        <v>46224</v>
      </c>
      <c r="H15" s="6">
        <f>IF(G15="","",G15-项目驾驶舱!$B$3)</f>
        <v>-44</v>
      </c>
      <c r="I15" s="6" t="str">
        <f>项目总控台账!AC14</f>
        <v>正常</v>
      </c>
      <c r="J15" s="6" t="str">
        <f>项目总控台账!AD14</f>
        <v>69</v>
      </c>
      <c r="K15" s="6" t="str">
        <f t="shared" si="0"/>
        <v/>
      </c>
      <c r="L15" s="9"/>
      <c r="M15" s="8"/>
    </row>
    <row r="16" spans="1:13">
      <c r="A16" s="6" t="str">
        <f>IF(B16="","",IF(AND(E16&lt;&gt;"已完成",ISNUMBER(G16),G16&lt;=项目驾驶舱!$B$3+14),"是","否"))</f>
        <v>否</v>
      </c>
      <c r="B16" s="6" t="str">
        <f>项目总控台账!A15</f>
        <v>T012</v>
      </c>
      <c r="C16" s="6" t="str">
        <f>IF(AND(项目总控台账!E15&lt;&gt;"",项目总控台账!E15&lt;&gt;"/"),项目总控台账!E15,IF(AND(项目总控台账!D15&lt;&gt;"",项目总控台账!D15&lt;&gt;"/"),项目总控台账!D15,项目总控台账!C15))</f>
        <v>应单入口</v>
      </c>
      <c r="D16" s="6" t="str">
        <f>项目总控台账!F15</f>
        <v>第一批次</v>
      </c>
      <c r="E16" s="6" t="str">
        <f>项目总控台账!G15</f>
        <v>已完成</v>
      </c>
      <c r="F16" s="6" t="str">
        <f>项目总控台账!H15</f>
        <v>郑士旺</v>
      </c>
      <c r="G16" s="17">
        <f>项目总控台账!J15</f>
        <v>46224</v>
      </c>
      <c r="H16" s="6">
        <f>IF(G16="","",G16-项目驾驶舱!$B$3)</f>
        <v>-44</v>
      </c>
      <c r="I16" s="6" t="str">
        <f>项目总控台账!AC15</f>
        <v>正常</v>
      </c>
      <c r="J16" s="6" t="str">
        <f>项目总控台账!AD15</f>
        <v>69</v>
      </c>
      <c r="K16" s="6" t="str">
        <f t="shared" si="0"/>
        <v/>
      </c>
      <c r="L16" s="9"/>
      <c r="M16" s="8"/>
    </row>
    <row r="17" spans="1:13">
      <c r="A17" s="6" t="str">
        <f>IF(B17="","",IF(AND(E17&lt;&gt;"已完成",ISNUMBER(G17),G17&lt;=项目驾驶舱!$B$3+14),"是","否"))</f>
        <v>否</v>
      </c>
      <c r="B17" s="6" t="str">
        <f>项目总控台账!A16</f>
        <v>T013</v>
      </c>
      <c r="C17" s="6" t="str">
        <f>IF(AND(项目总控台账!E16&lt;&gt;"",项目总控台账!E16&lt;&gt;"/"),项目总控台账!E16,IF(AND(项目总控台账!D16&lt;&gt;"",项目总控台账!D16&lt;&gt;"/"),项目总控台账!D16,项目总控台账!C16))</f>
        <v>新增结算条款</v>
      </c>
      <c r="D17" s="6" t="str">
        <f>项目总控台账!F16</f>
        <v>第二批次</v>
      </c>
      <c r="E17" s="6" t="str">
        <f>项目总控台账!G16</f>
        <v>未开始</v>
      </c>
      <c r="F17" s="6" t="str">
        <f>项目总控台账!H16</f>
        <v>郑士旺</v>
      </c>
      <c r="G17" s="17">
        <f>项目总控台账!J16</f>
        <v>46318</v>
      </c>
      <c r="H17" s="6">
        <f>IF(G17="","",G17-项目驾驶舱!$B$3)</f>
        <v>50</v>
      </c>
      <c r="I17" s="6" t="str">
        <f>项目总控台账!AC16</f>
        <v>正常</v>
      </c>
      <c r="J17" s="6" t="str">
        <f>项目总控台账!AD16</f>
        <v>69</v>
      </c>
      <c r="K17" s="6" t="str">
        <f t="shared" si="0"/>
        <v/>
      </c>
      <c r="L17" s="9"/>
      <c r="M17" s="8"/>
    </row>
    <row r="18" spans="1:13">
      <c r="A18" s="6" t="str">
        <f>IF(B18="","",IF(AND(E18&lt;&gt;"已完成",ISNUMBER(G18),G18&lt;=项目驾驶舱!$B$3+14),"是","否"))</f>
        <v>否</v>
      </c>
      <c r="B18" s="6" t="str">
        <f>项目总控台账!A17</f>
        <v>T014</v>
      </c>
      <c r="C18" s="6" t="str">
        <f>IF(AND(项目总控台账!E17&lt;&gt;"",项目总控台账!E17&lt;&gt;"/"),项目总控台账!E17,IF(AND(项目总控台账!D17&lt;&gt;"",项目总控台账!D17&lt;&gt;"/"),项目总控台账!D17,项目总控台账!C17))</f>
        <v>结算条款审批</v>
      </c>
      <c r="D18" s="6" t="str">
        <f>项目总控台账!F17</f>
        <v>第二批次</v>
      </c>
      <c r="E18" s="6" t="str">
        <f>项目总控台账!G17</f>
        <v>未开始</v>
      </c>
      <c r="F18" s="6" t="str">
        <f>项目总控台账!H17</f>
        <v>郑士旺</v>
      </c>
      <c r="G18" s="17">
        <f>项目总控台账!J17</f>
        <v>46318</v>
      </c>
      <c r="H18" s="6">
        <f>IF(G18="","",G18-项目驾驶舱!$B$3)</f>
        <v>50</v>
      </c>
      <c r="I18" s="6" t="str">
        <f>项目总控台账!AC17</f>
        <v>正常</v>
      </c>
      <c r="J18" s="6" t="str">
        <f>项目总控台账!AD17</f>
        <v>69</v>
      </c>
      <c r="K18" s="6" t="str">
        <f t="shared" si="0"/>
        <v/>
      </c>
      <c r="L18" s="9"/>
      <c r="M18" s="8"/>
    </row>
    <row r="19" spans="1:13">
      <c r="A19" s="6" t="str">
        <f>IF(B19="","",IF(AND(E19&lt;&gt;"已完成",ISNUMBER(G19),G19&lt;=项目驾驶舱!$B$3+14),"是","否"))</f>
        <v>否</v>
      </c>
      <c r="B19" s="6" t="str">
        <f>项目总控台账!A18</f>
        <v>T015</v>
      </c>
      <c r="C19" s="6" t="str">
        <f>IF(AND(项目总控台账!E18&lt;&gt;"",项目总控台账!E18&lt;&gt;"/"),项目总控台账!E18,IF(AND(项目总控台账!D18&lt;&gt;"",项目总控台账!D18&lt;&gt;"/"),项目总控台账!D18,项目总控台账!C18))</f>
        <v>修改结算条款</v>
      </c>
      <c r="D19" s="6" t="str">
        <f>项目总控台账!F18</f>
        <v>第二批次</v>
      </c>
      <c r="E19" s="6" t="str">
        <f>项目总控台账!G18</f>
        <v>未开始</v>
      </c>
      <c r="F19" s="6" t="str">
        <f>项目总控台账!H18</f>
        <v>郑士旺</v>
      </c>
      <c r="G19" s="17">
        <f>项目总控台账!J18</f>
        <v>46318</v>
      </c>
      <c r="H19" s="6">
        <f>IF(G19="","",G19-项目驾驶舱!$B$3)</f>
        <v>50</v>
      </c>
      <c r="I19" s="6" t="str">
        <f>项目总控台账!AC18</f>
        <v>正常</v>
      </c>
      <c r="J19" s="6" t="str">
        <f>项目总控台账!AD18</f>
        <v>69</v>
      </c>
      <c r="K19" s="6" t="str">
        <f t="shared" si="0"/>
        <v/>
      </c>
      <c r="L19" s="9"/>
      <c r="M19" s="8"/>
    </row>
    <row r="20" spans="1:13">
      <c r="A20" s="6" t="str">
        <f>IF(B20="","",IF(AND(E20&lt;&gt;"已完成",ISNUMBER(G20),G20&lt;=项目驾驶舱!$B$3+14),"是","否"))</f>
        <v>否</v>
      </c>
      <c r="B20" s="6" t="str">
        <f>项目总控台账!A19</f>
        <v>T016</v>
      </c>
      <c r="C20" s="6" t="str">
        <f>IF(AND(项目总控台账!E19&lt;&gt;"",项目总控台账!E19&lt;&gt;"/"),项目总控台账!E19,IF(AND(项目总控台账!D19&lt;&gt;"",项目总控台账!D19&lt;&gt;"/"),项目总控台账!D19,项目总控台账!C19))</f>
        <v>删除结算条款</v>
      </c>
      <c r="D20" s="6" t="str">
        <f>项目总控台账!F19</f>
        <v>第二批次</v>
      </c>
      <c r="E20" s="6" t="str">
        <f>项目总控台账!G19</f>
        <v>未开始</v>
      </c>
      <c r="F20" s="6" t="str">
        <f>项目总控台账!H19</f>
        <v>郑士旺</v>
      </c>
      <c r="G20" s="17">
        <f>项目总控台账!J19</f>
        <v>46318</v>
      </c>
      <c r="H20" s="6">
        <f>IF(G20="","",G20-项目驾驶舱!$B$3)</f>
        <v>50</v>
      </c>
      <c r="I20" s="6" t="str">
        <f>项目总控台账!AC19</f>
        <v>正常</v>
      </c>
      <c r="J20" s="6" t="str">
        <f>项目总控台账!AD19</f>
        <v>69</v>
      </c>
      <c r="K20" s="6" t="str">
        <f t="shared" si="0"/>
        <v/>
      </c>
      <c r="L20" s="9"/>
      <c r="M20" s="8"/>
    </row>
    <row r="21" spans="1:13">
      <c r="A21" s="6" t="str">
        <f>IF(B21="","",IF(AND(E21&lt;&gt;"已完成",ISNUMBER(G21),G21&lt;=项目驾驶舱!$B$3+14),"是","否"))</f>
        <v>否</v>
      </c>
      <c r="B21" s="6" t="str">
        <f>项目总控台账!A20</f>
        <v>T017</v>
      </c>
      <c r="C21" s="6" t="str">
        <f>IF(AND(项目总控台账!E20&lt;&gt;"",项目总控台账!E20&lt;&gt;"/"),项目总控台账!E20,IF(AND(项目总控台账!D20&lt;&gt;"",项目总控台账!D20&lt;&gt;"/"),项目总控台账!D20,项目总控台账!C20))</f>
        <v>查询展示结算条款</v>
      </c>
      <c r="D21" s="6" t="str">
        <f>项目总控台账!F20</f>
        <v>第二批次</v>
      </c>
      <c r="E21" s="6" t="str">
        <f>项目总控台账!G20</f>
        <v>未开始</v>
      </c>
      <c r="F21" s="6" t="str">
        <f>项目总控台账!H20</f>
        <v>郑士旺</v>
      </c>
      <c r="G21" s="17">
        <f>项目总控台账!J20</f>
        <v>46318</v>
      </c>
      <c r="H21" s="6">
        <f>IF(G21="","",G21-项目驾驶舱!$B$3)</f>
        <v>50</v>
      </c>
      <c r="I21" s="6" t="str">
        <f>项目总控台账!AC20</f>
        <v>正常</v>
      </c>
      <c r="J21" s="6" t="str">
        <f>项目总控台账!AD20</f>
        <v>69</v>
      </c>
      <c r="K21" s="6" t="str">
        <f t="shared" si="0"/>
        <v/>
      </c>
      <c r="L21" s="9"/>
      <c r="M21" s="8"/>
    </row>
    <row r="22" spans="1:13">
      <c r="A22" s="6" t="str">
        <f>IF(B22="","",IF(AND(E22&lt;&gt;"已完成",ISNUMBER(G22),G22&lt;=项目驾驶舱!$B$3+14),"是","否"))</f>
        <v>否</v>
      </c>
      <c r="B22" s="6" t="str">
        <f>项目总控台账!A21</f>
        <v>T018</v>
      </c>
      <c r="C22" s="6" t="str">
        <f>IF(AND(项目总控台账!E21&lt;&gt;"",项目总控台账!E21&lt;&gt;"/"),项目总控台账!E21,IF(AND(项目总控台账!D21&lt;&gt;"",项目总控台账!D21&lt;&gt;"/"),项目总控台账!D21,项目总控台账!C21))</f>
        <v>结算条款推送法务系统</v>
      </c>
      <c r="D22" s="6" t="str">
        <f>项目总控台账!F21</f>
        <v>第二批次</v>
      </c>
      <c r="E22" s="6" t="str">
        <f>项目总控台账!G21</f>
        <v>未开始</v>
      </c>
      <c r="F22" s="6" t="str">
        <f>项目总控台账!H21</f>
        <v>郑士旺</v>
      </c>
      <c r="G22" s="17">
        <f>项目总控台账!J21</f>
        <v>46318</v>
      </c>
      <c r="H22" s="6">
        <f>IF(G22="","",G22-项目驾驶舱!$B$3)</f>
        <v>50</v>
      </c>
      <c r="I22" s="6" t="str">
        <f>项目总控台账!AC21</f>
        <v>正常</v>
      </c>
      <c r="J22" s="6" t="str">
        <f>项目总控台账!AD21</f>
        <v>69</v>
      </c>
      <c r="K22" s="6" t="str">
        <f t="shared" si="0"/>
        <v/>
      </c>
      <c r="L22" s="9"/>
      <c r="M22" s="8"/>
    </row>
    <row r="23" spans="1:13">
      <c r="A23" s="6" t="str">
        <f>IF(B23="","",IF(AND(E23&lt;&gt;"已完成",ISNUMBER(G23),G23&lt;=项目驾驶舱!$B$3+14),"是","否"))</f>
        <v>否</v>
      </c>
      <c r="B23" s="6" t="str">
        <f>项目总控台账!A22</f>
        <v>T019</v>
      </c>
      <c r="C23" s="6" t="str">
        <f>IF(AND(项目总控台账!E22&lt;&gt;"",项目总控台账!E22&lt;&gt;"/"),项目总控台账!E22,IF(AND(项目总控台账!D22&lt;&gt;"",项目总控台账!D22&lt;&gt;"/"),项目总控台账!D22,项目总控台账!C22))</f>
        <v>对接卸船计划</v>
      </c>
      <c r="D23" s="6" t="str">
        <f>项目总控台账!F22</f>
        <v>第二批次</v>
      </c>
      <c r="E23" s="6" t="str">
        <f>项目总控台账!G22</f>
        <v>进行中</v>
      </c>
      <c r="F23" s="6" t="str">
        <f>项目总控台账!H22</f>
        <v>郑士旺</v>
      </c>
      <c r="G23" s="17">
        <f>项目总控台账!J22</f>
        <v>46353</v>
      </c>
      <c r="H23" s="6">
        <f>IF(G23="","",G23-项目驾驶舱!$B$3)</f>
        <v>85</v>
      </c>
      <c r="I23" s="6" t="str">
        <f>项目总控台账!AC22</f>
        <v>正常</v>
      </c>
      <c r="J23" s="6" t="str">
        <f>项目总控台账!AD22</f>
        <v>69</v>
      </c>
      <c r="K23" s="6" t="str">
        <f t="shared" si="0"/>
        <v/>
      </c>
      <c r="L23" s="9"/>
      <c r="M23" s="8"/>
    </row>
    <row r="24" spans="1:13">
      <c r="A24" s="6" t="str">
        <f>IF(B24="","",IF(AND(E24&lt;&gt;"已完成",ISNUMBER(G24),G24&lt;=项目驾驶舱!$B$3+14),"是","否"))</f>
        <v>否</v>
      </c>
      <c r="B24" s="6" t="str">
        <f>项目总控台账!A23</f>
        <v>T020</v>
      </c>
      <c r="C24" s="6" t="str">
        <f>IF(AND(项目总控台账!E23&lt;&gt;"",项目总控台账!E23&lt;&gt;"/"),项目总控台账!E23,IF(AND(项目总控台账!D23&lt;&gt;"",项目总控台账!D23&lt;&gt;"/"),项目总控台账!D23,项目总控台账!C23))</f>
        <v>查询卸车计划</v>
      </c>
      <c r="D24" s="6" t="str">
        <f>项目总控台账!F23</f>
        <v>第二批次</v>
      </c>
      <c r="E24" s="6" t="str">
        <f>项目总控台账!G23</f>
        <v>进行中</v>
      </c>
      <c r="F24" s="6" t="str">
        <f>项目总控台账!H23</f>
        <v>郑士旺</v>
      </c>
      <c r="G24" s="17">
        <f>项目总控台账!J23</f>
        <v>46353</v>
      </c>
      <c r="H24" s="6">
        <f>IF(G24="","",G24-项目驾驶舱!$B$3)</f>
        <v>85</v>
      </c>
      <c r="I24" s="6" t="str">
        <f>项目总控台账!AC23</f>
        <v>正常</v>
      </c>
      <c r="J24" s="6" t="str">
        <f>项目总控台账!AD23</f>
        <v>69</v>
      </c>
      <c r="K24" s="6" t="str">
        <f t="shared" si="0"/>
        <v/>
      </c>
      <c r="L24" s="9"/>
      <c r="M24" s="8"/>
    </row>
    <row r="25" spans="1:13">
      <c r="A25" s="6" t="str">
        <f>IF(B25="","",IF(AND(E25&lt;&gt;"已完成",ISNUMBER(G25),G25&lt;=项目驾驶舱!$B$3+14),"是","否"))</f>
        <v>否</v>
      </c>
      <c r="B25" s="6" t="str">
        <f>项目总控台账!A24</f>
        <v>T021</v>
      </c>
      <c r="C25" s="6" t="str">
        <f>IF(AND(项目总控台账!E24&lt;&gt;"",项目总控台账!E24&lt;&gt;"/"),项目总控台账!E24,IF(AND(项目总控台账!D24&lt;&gt;"",项目总控台账!D24&lt;&gt;"/"),项目总控台账!D24,项目总控台账!C24))</f>
        <v>外部客户确认</v>
      </c>
      <c r="D25" s="6" t="str">
        <f>项目总控台账!F24</f>
        <v>第二批次</v>
      </c>
      <c r="E25" s="6" t="str">
        <f>项目总控台账!G24</f>
        <v>进行中</v>
      </c>
      <c r="F25" s="6" t="str">
        <f>项目总控台账!H24</f>
        <v>郑士旺</v>
      </c>
      <c r="G25" s="17">
        <f>项目总控台账!J24</f>
        <v>46353</v>
      </c>
      <c r="H25" s="6">
        <f>IF(G25="","",G25-项目驾驶舱!$B$3)</f>
        <v>85</v>
      </c>
      <c r="I25" s="6" t="str">
        <f>项目总控台账!AC24</f>
        <v>正常</v>
      </c>
      <c r="J25" s="6" t="str">
        <f>项目总控台账!AD24</f>
        <v>69</v>
      </c>
      <c r="K25" s="6" t="str">
        <f t="shared" si="0"/>
        <v/>
      </c>
      <c r="L25" s="9"/>
      <c r="M25" s="8"/>
    </row>
    <row r="26" spans="1:13">
      <c r="A26" s="6" t="str">
        <f>IF(B26="","",IF(AND(E26&lt;&gt;"已完成",ISNUMBER(G26),G26&lt;=项目驾驶舱!$B$3+14),"是","否"))</f>
        <v>否</v>
      </c>
      <c r="B26" s="6" t="str">
        <f>项目总控台账!A25</f>
        <v>T022</v>
      </c>
      <c r="C26" s="6" t="str">
        <f>IF(AND(项目总控台账!E25&lt;&gt;"",项目总控台账!E25&lt;&gt;"/"),项目总控台账!E25,IF(AND(项目总控台账!D25&lt;&gt;"",项目总控台账!D25&lt;&gt;"/"),项目总控台账!D25,项目总控台账!C25))</f>
        <v>对接卸船作业信息</v>
      </c>
      <c r="D26" s="6" t="str">
        <f>项目总控台账!F25</f>
        <v>第二批次</v>
      </c>
      <c r="E26" s="6" t="str">
        <f>项目总控台账!G25</f>
        <v>未开始</v>
      </c>
      <c r="F26" s="6" t="str">
        <f>项目总控台账!H25</f>
        <v>郑士旺</v>
      </c>
      <c r="G26" s="17">
        <f>项目总控台账!J25</f>
        <v>46353</v>
      </c>
      <c r="H26" s="6">
        <f>IF(G26="","",G26-项目驾驶舱!$B$3)</f>
        <v>85</v>
      </c>
      <c r="I26" s="6" t="str">
        <f>项目总控台账!AC25</f>
        <v>正常</v>
      </c>
      <c r="J26" s="6" t="str">
        <f>项目总控台账!AD25</f>
        <v>69</v>
      </c>
      <c r="K26" s="6" t="str">
        <f t="shared" si="0"/>
        <v/>
      </c>
      <c r="L26" s="9"/>
      <c r="M26" s="8"/>
    </row>
    <row r="27" spans="1:13">
      <c r="A27" s="6" t="str">
        <f>IF(B27="","",IF(AND(E27&lt;&gt;"已完成",ISNUMBER(G27),G27&lt;=项目驾驶舱!$B$3+14),"是","否"))</f>
        <v>否</v>
      </c>
      <c r="B27" s="6" t="str">
        <f>项目总控台账!A26</f>
        <v>T023</v>
      </c>
      <c r="C27" s="6" t="str">
        <f>IF(AND(项目总控台账!E26&lt;&gt;"",项目总控台账!E26&lt;&gt;"/"),项目总控台账!E26,IF(AND(项目总控台账!D26&lt;&gt;"",项目总控台账!D26&lt;&gt;"/"),项目总控台账!D26,项目总控台账!C26))</f>
        <v>查询卸船作业信息</v>
      </c>
      <c r="D27" s="6" t="str">
        <f>项目总控台账!F26</f>
        <v>第二批次</v>
      </c>
      <c r="E27" s="6" t="str">
        <f>项目总控台账!G26</f>
        <v>未开始</v>
      </c>
      <c r="F27" s="6" t="str">
        <f>项目总控台账!H26</f>
        <v>郑士旺</v>
      </c>
      <c r="G27" s="17">
        <f>项目总控台账!J26</f>
        <v>46353</v>
      </c>
      <c r="H27" s="6">
        <f>IF(G27="","",G27-项目驾驶舱!$B$3)</f>
        <v>85</v>
      </c>
      <c r="I27" s="6" t="str">
        <f>项目总控台账!AC26</f>
        <v>正常</v>
      </c>
      <c r="J27" s="6" t="str">
        <f>项目总控台账!AD26</f>
        <v>69</v>
      </c>
      <c r="K27" s="6" t="str">
        <f t="shared" si="0"/>
        <v/>
      </c>
      <c r="L27" s="9"/>
      <c r="M27" s="8"/>
    </row>
    <row r="28" spans="1:13">
      <c r="A28" s="6" t="str">
        <f>IF(B28="","",IF(AND(E28&lt;&gt;"已完成",ISNUMBER(G28),G28&lt;=项目驾驶舱!$B$3+14),"是","否"))</f>
        <v>否</v>
      </c>
      <c r="B28" s="6" t="str">
        <f>项目总控台账!A27</f>
        <v>T024</v>
      </c>
      <c r="C28" s="6" t="str">
        <f>IF(AND(项目总控台账!E27&lt;&gt;"",项目总控台账!E27&lt;&gt;"/"),项目总控台账!E27,IF(AND(项目总控台账!D27&lt;&gt;"",项目总控台账!D27&lt;&gt;"/"),项目总控台账!D27,项目总控台账!C27))</f>
        <v>卸船查询列表</v>
      </c>
      <c r="D28" s="6" t="str">
        <f>项目总控台账!F27</f>
        <v>第二批次</v>
      </c>
      <c r="E28" s="6" t="str">
        <f>项目总控台账!G27</f>
        <v>未开始</v>
      </c>
      <c r="F28" s="6" t="str">
        <f>项目总控台账!H27</f>
        <v>郑士旺</v>
      </c>
      <c r="G28" s="17">
        <f>项目总控台账!J27</f>
        <v>46353</v>
      </c>
      <c r="H28" s="6">
        <f>IF(G28="","",G28-项目驾驶舱!$B$3)</f>
        <v>85</v>
      </c>
      <c r="I28" s="6" t="str">
        <f>项目总控台账!AC27</f>
        <v>正常</v>
      </c>
      <c r="J28" s="6" t="str">
        <f>项目总控台账!AD27</f>
        <v>69</v>
      </c>
      <c r="K28" s="6" t="str">
        <f t="shared" si="0"/>
        <v/>
      </c>
      <c r="L28" s="9"/>
      <c r="M28" s="8"/>
    </row>
    <row r="29" spans="1:13">
      <c r="A29" s="6" t="str">
        <f>IF(B29="","",IF(AND(E29&lt;&gt;"已完成",ISNUMBER(G29),G29&lt;=项目驾驶舱!$B$3+14),"是","否"))</f>
        <v>是</v>
      </c>
      <c r="B29" s="6" t="str">
        <f>项目总控台账!A28</f>
        <v>T025</v>
      </c>
      <c r="C29" s="6" t="str">
        <f>IF(AND(项目总控台账!E28&lt;&gt;"",项目总控台账!E28&lt;&gt;"/"),项目总控台账!E28,IF(AND(项目总控台账!D28&lt;&gt;"",项目总控台账!D28&lt;&gt;"/"),项目总控台账!D28,项目总控台账!C28))</f>
        <v>卸船查询详情</v>
      </c>
      <c r="D29" s="6" t="str">
        <f>项目总控台账!F28</f>
        <v>第二批次</v>
      </c>
      <c r="E29" s="6" t="str">
        <f>项目总控台账!G28</f>
        <v>未开始</v>
      </c>
      <c r="F29" s="6" t="str">
        <f>项目总控台账!H28</f>
        <v>郑士旺</v>
      </c>
      <c r="G29" s="17">
        <f>项目总控台账!J28</f>
        <v>46261</v>
      </c>
      <c r="H29" s="6">
        <f>IF(G29="","",G29-项目驾驶舱!$B$3)</f>
        <v>-7</v>
      </c>
      <c r="I29" s="6" t="str">
        <f>项目总控台账!AC28</f>
        <v>已延期</v>
      </c>
      <c r="J29" s="6" t="str">
        <f>项目总控台账!AD28</f>
        <v>69</v>
      </c>
      <c r="K29" s="6" t="str">
        <f t="shared" si="0"/>
        <v>立即确认延期原因、影响及补救计划</v>
      </c>
      <c r="L29" s="9"/>
      <c r="M29" s="8"/>
    </row>
    <row r="30" spans="1:13">
      <c r="A30" s="6" t="str">
        <f>IF(B30="","",IF(AND(E30&lt;&gt;"已完成",ISNUMBER(G30),G30&lt;=项目驾驶舱!$B$3+14),"是","否"))</f>
        <v>是</v>
      </c>
      <c r="B30" s="6" t="str">
        <f>项目总控台账!A29</f>
        <v>T026</v>
      </c>
      <c r="C30" s="6" t="str">
        <f>IF(AND(项目总控台账!E29&lt;&gt;"",项目总控台账!E29&lt;&gt;"/"),项目总控台账!E29,IF(AND(项目总控台账!D29&lt;&gt;"",项目总控台账!D29&lt;&gt;"/"),项目总控台账!D29,项目总控台账!C29))</f>
        <v>创建卸船作业委托信息</v>
      </c>
      <c r="D30" s="6" t="str">
        <f>项目总控台账!F29</f>
        <v>第二批次</v>
      </c>
      <c r="E30" s="6" t="str">
        <f>项目总控台账!G29</f>
        <v>进行中</v>
      </c>
      <c r="F30" s="6" t="str">
        <f>项目总控台账!H29</f>
        <v>郑士旺</v>
      </c>
      <c r="G30" s="17">
        <f>项目总控台账!J29</f>
        <v>46261</v>
      </c>
      <c r="H30" s="6">
        <f>IF(G30="","",G30-项目驾驶舱!$B$3)</f>
        <v>-7</v>
      </c>
      <c r="I30" s="6" t="str">
        <f>项目总控台账!AC29</f>
        <v>已延期</v>
      </c>
      <c r="J30" s="6" t="str">
        <f>项目总控台账!AD29</f>
        <v>69</v>
      </c>
      <c r="K30" s="6" t="str">
        <f t="shared" si="0"/>
        <v>立即确认延期原因、影响及补救计划</v>
      </c>
      <c r="L30" s="9"/>
      <c r="M30" s="8"/>
    </row>
    <row r="31" spans="1:13">
      <c r="A31" s="6" t="str">
        <f>IF(B31="","",IF(AND(E31&lt;&gt;"已完成",ISNUMBER(G31),G31&lt;=项目驾驶舱!$B$3+14),"是","否"))</f>
        <v>是</v>
      </c>
      <c r="B31" s="6" t="str">
        <f>项目总控台账!A30</f>
        <v>T027</v>
      </c>
      <c r="C31" s="6" t="str">
        <f>IF(AND(项目总控台账!E30&lt;&gt;"",项目总控台账!E30&lt;&gt;"/"),项目总控台账!E30,IF(AND(项目总控台账!D30&lt;&gt;"",项目总控台账!D30&lt;&gt;"/"),项目总控台账!D30,项目总控台账!C30))</f>
        <v>修改卸船作业委托信息</v>
      </c>
      <c r="D31" s="6" t="str">
        <f>项目总控台账!F30</f>
        <v>第二批次</v>
      </c>
      <c r="E31" s="6" t="str">
        <f>项目总控台账!G30</f>
        <v>进行中</v>
      </c>
      <c r="F31" s="6" t="str">
        <f>项目总控台账!H30</f>
        <v>郑士旺</v>
      </c>
      <c r="G31" s="17">
        <f>项目总控台账!J30</f>
        <v>46261</v>
      </c>
      <c r="H31" s="6">
        <f>IF(G31="","",G31-项目驾驶舱!$B$3)</f>
        <v>-7</v>
      </c>
      <c r="I31" s="6" t="str">
        <f>项目总控台账!AC30</f>
        <v>已延期</v>
      </c>
      <c r="J31" s="6" t="str">
        <f>项目总控台账!AD30</f>
        <v>69</v>
      </c>
      <c r="K31" s="6" t="str">
        <f t="shared" si="0"/>
        <v>立即确认延期原因、影响及补救计划</v>
      </c>
      <c r="L31" s="9"/>
      <c r="M31" s="8"/>
    </row>
    <row r="32" spans="1:13">
      <c r="A32" s="6" t="str">
        <f>IF(B32="","",IF(AND(E32&lt;&gt;"已完成",ISNUMBER(G32),G32&lt;=项目驾驶舱!$B$3+14),"是","否"))</f>
        <v>是</v>
      </c>
      <c r="B32" s="6" t="str">
        <f>项目总控台账!A31</f>
        <v>T028</v>
      </c>
      <c r="C32" s="6" t="str">
        <f>IF(AND(项目总控台账!E31&lt;&gt;"",项目总控台账!E31&lt;&gt;"/"),项目总控台账!E31,IF(AND(项目总控台账!D31&lt;&gt;"",项目总控台账!D31&lt;&gt;"/"),项目总控台账!D31,项目总控台账!C31))</f>
        <v>作废卸船作业委托信息</v>
      </c>
      <c r="D32" s="6" t="str">
        <f>项目总控台账!F31</f>
        <v>第二批次</v>
      </c>
      <c r="E32" s="6" t="str">
        <f>项目总控台账!G31</f>
        <v>进行中</v>
      </c>
      <c r="F32" s="6" t="str">
        <f>项目总控台账!H31</f>
        <v>郑士旺</v>
      </c>
      <c r="G32" s="17">
        <f>项目总控台账!J31</f>
        <v>46261</v>
      </c>
      <c r="H32" s="6">
        <f>IF(G32="","",G32-项目驾驶舱!$B$3)</f>
        <v>-7</v>
      </c>
      <c r="I32" s="6" t="str">
        <f>项目总控台账!AC31</f>
        <v>已延期</v>
      </c>
      <c r="J32" s="6" t="str">
        <f>项目总控台账!AD31</f>
        <v>69</v>
      </c>
      <c r="K32" s="6" t="str">
        <f t="shared" si="0"/>
        <v>立即确认延期原因、影响及补救计划</v>
      </c>
      <c r="L32" s="9"/>
      <c r="M32" s="8"/>
    </row>
    <row r="33" spans="1:13">
      <c r="A33" s="6" t="str">
        <f>IF(B33="","",IF(AND(E33&lt;&gt;"已完成",ISNUMBER(G33),G33&lt;=项目驾驶舱!$B$3+14),"是","否"))</f>
        <v>是</v>
      </c>
      <c r="B33" s="6" t="str">
        <f>项目总控台账!A32</f>
        <v>T029</v>
      </c>
      <c r="C33" s="6" t="str">
        <f>IF(AND(项目总控台账!E32&lt;&gt;"",项目总控台账!E32&lt;&gt;"/"),项目总控台账!E32,IF(AND(项目总控台账!D32&lt;&gt;"",项目总控台账!D32&lt;&gt;"/"),项目总控台账!D32,项目总控台账!C32))</f>
        <v>推送卸船作业委托信息</v>
      </c>
      <c r="D33" s="6" t="str">
        <f>项目总控台账!F32</f>
        <v>第二批次</v>
      </c>
      <c r="E33" s="6" t="str">
        <f>项目总控台账!G32</f>
        <v>进行中</v>
      </c>
      <c r="F33" s="6" t="str">
        <f>项目总控台账!H32</f>
        <v>郑士旺</v>
      </c>
      <c r="G33" s="17">
        <f>项目总控台账!J32</f>
        <v>46261</v>
      </c>
      <c r="H33" s="6">
        <f>IF(G33="","",G33-项目驾驶舱!$B$3)</f>
        <v>-7</v>
      </c>
      <c r="I33" s="6" t="str">
        <f>项目总控台账!AC32</f>
        <v>已延期</v>
      </c>
      <c r="J33" s="6" t="str">
        <f>项目总控台账!AD32</f>
        <v>69</v>
      </c>
      <c r="K33" s="6" t="str">
        <f t="shared" si="0"/>
        <v>立即确认延期原因、影响及补救计划</v>
      </c>
      <c r="L33" s="9"/>
      <c r="M33" s="8"/>
    </row>
    <row r="34" spans="1:13">
      <c r="A34" s="6" t="str">
        <f>IF(B34="","",IF(AND(E34&lt;&gt;"已完成",ISNUMBER(G34),G34&lt;=项目驾驶舱!$B$3+14),"是","否"))</f>
        <v>是</v>
      </c>
      <c r="B34" s="6" t="str">
        <f>项目总控台账!A33</f>
        <v>T030</v>
      </c>
      <c r="C34" s="6" t="str">
        <f>IF(AND(项目总控台账!E33&lt;&gt;"",项目总控台账!E33&lt;&gt;"/"),项目总控台账!E33,IF(AND(项目总控台账!D33&lt;&gt;"",项目总控台账!D33&lt;&gt;"/"),项目总控台账!D33,项目总控台账!C33))</f>
        <v>查询卸船作业委托信息</v>
      </c>
      <c r="D34" s="6" t="str">
        <f>项目总控台账!F33</f>
        <v>第二批次</v>
      </c>
      <c r="E34" s="6" t="str">
        <f>项目总控台账!G33</f>
        <v>进行中</v>
      </c>
      <c r="F34" s="6" t="str">
        <f>项目总控台账!H33</f>
        <v>郑士旺</v>
      </c>
      <c r="G34" s="17">
        <f>项目总控台账!J33</f>
        <v>46261</v>
      </c>
      <c r="H34" s="6">
        <f>IF(G34="","",G34-项目驾驶舱!$B$3)</f>
        <v>-7</v>
      </c>
      <c r="I34" s="6" t="str">
        <f>项目总控台账!AC33</f>
        <v>已延期</v>
      </c>
      <c r="J34" s="6" t="str">
        <f>项目总控台账!AD33</f>
        <v>69</v>
      </c>
      <c r="K34" s="6" t="str">
        <f t="shared" si="0"/>
        <v>立即确认延期原因、影响及补救计划</v>
      </c>
      <c r="L34" s="9"/>
      <c r="M34" s="8"/>
    </row>
    <row r="35" spans="1:13">
      <c r="A35" s="6" t="str">
        <f>IF(B35="","",IF(AND(E35&lt;&gt;"已完成",ISNUMBER(G35),G35&lt;=项目驾驶舱!$B$3+14),"是","否"))</f>
        <v>否</v>
      </c>
      <c r="B35" s="6" t="str">
        <f>项目总控台账!A34</f>
        <v>T031</v>
      </c>
      <c r="C35" s="6" t="str">
        <f>IF(AND(项目总控台账!E34&lt;&gt;"",项目总控台账!E34&lt;&gt;"/"),项目总控台账!E34,IF(AND(项目总控台账!D34&lt;&gt;"",项目总控台账!D34&lt;&gt;"/"),项目总控台账!D34,项目总控台账!C34))</f>
        <v>创建外轮转内贸业务信息</v>
      </c>
      <c r="D35" s="6" t="str">
        <f>项目总控台账!F34</f>
        <v>第二批次</v>
      </c>
      <c r="E35" s="6" t="str">
        <f>项目总控台账!G34</f>
        <v>未开始</v>
      </c>
      <c r="F35" s="6" t="str">
        <f>项目总控台账!H34</f>
        <v>郑士旺</v>
      </c>
      <c r="G35" s="17">
        <f>项目总控台账!J34</f>
        <v>46353</v>
      </c>
      <c r="H35" s="6">
        <f>IF(G35="","",G35-项目驾驶舱!$B$3)</f>
        <v>85</v>
      </c>
      <c r="I35" s="6" t="str">
        <f>项目总控台账!AC34</f>
        <v>正常</v>
      </c>
      <c r="J35" s="6" t="str">
        <f>项目总控台账!AD34</f>
        <v>69</v>
      </c>
      <c r="K35" s="6" t="str">
        <f t="shared" si="0"/>
        <v/>
      </c>
      <c r="L35" s="9"/>
      <c r="M35" s="8"/>
    </row>
    <row r="36" spans="1:13">
      <c r="A36" s="6" t="str">
        <f>IF(B36="","",IF(AND(E36&lt;&gt;"已完成",ISNUMBER(G36),G36&lt;=项目驾驶舱!$B$3+14),"是","否"))</f>
        <v>否</v>
      </c>
      <c r="B36" s="6" t="str">
        <f>项目总控台账!A35</f>
        <v>T032</v>
      </c>
      <c r="C36" s="6" t="str">
        <f>IF(AND(项目总控台账!E35&lt;&gt;"",项目总控台账!E35&lt;&gt;"/"),项目总控台账!E35,IF(AND(项目总控台账!D35&lt;&gt;"",项目总控台账!D35&lt;&gt;"/"),项目总控台账!D35,项目总控台账!C35))</f>
        <v>作废外轮转内贸业务信息</v>
      </c>
      <c r="D36" s="6" t="str">
        <f>项目总控台账!F35</f>
        <v>第二批次</v>
      </c>
      <c r="E36" s="6" t="str">
        <f>项目总控台账!G35</f>
        <v>未开始</v>
      </c>
      <c r="F36" s="6" t="str">
        <f>项目总控台账!H35</f>
        <v>郑士旺</v>
      </c>
      <c r="G36" s="17">
        <f>项目总控台账!J35</f>
        <v>46353</v>
      </c>
      <c r="H36" s="6">
        <f>IF(G36="","",G36-项目驾驶舱!$B$3)</f>
        <v>85</v>
      </c>
      <c r="I36" s="6" t="str">
        <f>项目总控台账!AC35</f>
        <v>正常</v>
      </c>
      <c r="J36" s="6" t="str">
        <f>项目总控台账!AD35</f>
        <v>69</v>
      </c>
      <c r="K36" s="6" t="str">
        <f t="shared" si="0"/>
        <v/>
      </c>
      <c r="L36" s="9"/>
      <c r="M36" s="8"/>
    </row>
    <row r="37" spans="1:13">
      <c r="A37" s="6" t="str">
        <f>IF(B37="","",IF(AND(E37&lt;&gt;"已完成",ISNUMBER(G37),G37&lt;=项目驾驶舱!$B$3+14),"是","否"))</f>
        <v>否</v>
      </c>
      <c r="B37" s="6" t="str">
        <f>项目总控台账!A36</f>
        <v>T033</v>
      </c>
      <c r="C37" s="6" t="str">
        <f>IF(AND(项目总控台账!E36&lt;&gt;"",项目总控台账!E36&lt;&gt;"/"),项目总控台账!E36,IF(AND(项目总控台账!D36&lt;&gt;"",项目总控台账!D36&lt;&gt;"/"),项目总控台账!D36,项目总控台账!C36))</f>
        <v>查询外轮转内贸业务信息</v>
      </c>
      <c r="D37" s="6" t="str">
        <f>项目总控台账!F36</f>
        <v>第二批次</v>
      </c>
      <c r="E37" s="6" t="str">
        <f>项目总控台账!G36</f>
        <v>未开始</v>
      </c>
      <c r="F37" s="6" t="str">
        <f>项目总控台账!H36</f>
        <v>郑士旺</v>
      </c>
      <c r="G37" s="17">
        <f>项目总控台账!J36</f>
        <v>46353</v>
      </c>
      <c r="H37" s="6">
        <f>IF(G37="","",G37-项目驾驶舱!$B$3)</f>
        <v>85</v>
      </c>
      <c r="I37" s="6" t="str">
        <f>项目总控台账!AC36</f>
        <v>正常</v>
      </c>
      <c r="J37" s="6" t="str">
        <f>项目总控台账!AD36</f>
        <v>69</v>
      </c>
      <c r="K37" s="6" t="str">
        <f t="shared" si="0"/>
        <v/>
      </c>
      <c r="L37" s="9"/>
      <c r="M37" s="8"/>
    </row>
    <row r="38" spans="1:13">
      <c r="A38" s="6" t="str">
        <f>IF(B38="","",IF(AND(E38&lt;&gt;"已完成",ISNUMBER(G38),G38&lt;=项目驾驶舱!$B$3+14),"是","否"))</f>
        <v>否</v>
      </c>
      <c r="B38" s="6" t="str">
        <f>项目总控台账!A37</f>
        <v>T034</v>
      </c>
      <c r="C38" s="6" t="str">
        <f>IF(AND(项目总控台账!E37&lt;&gt;"",项目总控台账!E37&lt;&gt;"/"),项目总控台账!E37,IF(AND(项目总控台账!D37&lt;&gt;"",项目总控台账!D37&lt;&gt;"/"),项目总控台账!D37,项目总控台账!C37))</f>
        <v>新增船舶靠泊通知单</v>
      </c>
      <c r="D38" s="6" t="str">
        <f>项目总控台账!F37</f>
        <v>第二批次</v>
      </c>
      <c r="E38" s="6" t="str">
        <f>项目总控台账!G37</f>
        <v>进行中</v>
      </c>
      <c r="F38" s="6" t="str">
        <f>项目总控台账!H37</f>
        <v>郑士旺</v>
      </c>
      <c r="G38" s="17">
        <f>项目总控台账!J37</f>
        <v>46353</v>
      </c>
      <c r="H38" s="6">
        <f>IF(G38="","",G38-项目驾驶舱!$B$3)</f>
        <v>85</v>
      </c>
      <c r="I38" s="6" t="str">
        <f>项目总控台账!AC37</f>
        <v>正常</v>
      </c>
      <c r="J38" s="6" t="str">
        <f>项目总控台账!AD37</f>
        <v>69</v>
      </c>
      <c r="K38" s="6" t="str">
        <f t="shared" si="0"/>
        <v/>
      </c>
      <c r="L38" s="9"/>
      <c r="M38" s="8"/>
    </row>
    <row r="39" spans="1:13">
      <c r="A39" s="6" t="str">
        <f>IF(B39="","",IF(AND(E39&lt;&gt;"已完成",ISNUMBER(G39),G39&lt;=项目驾驶舱!$B$3+14),"是","否"))</f>
        <v>否</v>
      </c>
      <c r="B39" s="6" t="str">
        <f>项目总控台账!A38</f>
        <v>T035</v>
      </c>
      <c r="C39" s="6" t="str">
        <f>IF(AND(项目总控台账!E38&lt;&gt;"",项目总控台账!E38&lt;&gt;"/"),项目总控台账!E38,IF(AND(项目总控台账!D38&lt;&gt;"",项目总控台账!D38&lt;&gt;"/"),项目总控台账!D38,项目总控台账!C38))</f>
        <v>审批船舶靠泊通知单</v>
      </c>
      <c r="D39" s="6" t="str">
        <f>项目总控台账!F38</f>
        <v>第二批次</v>
      </c>
      <c r="E39" s="6" t="str">
        <f>项目总控台账!G38</f>
        <v>进行中</v>
      </c>
      <c r="F39" s="6" t="str">
        <f>项目总控台账!H38</f>
        <v>郑士旺</v>
      </c>
      <c r="G39" s="17">
        <f>项目总控台账!J38</f>
        <v>46353</v>
      </c>
      <c r="H39" s="6">
        <f>IF(G39="","",G39-项目驾驶舱!$B$3)</f>
        <v>85</v>
      </c>
      <c r="I39" s="6" t="str">
        <f>项目总控台账!AC38</f>
        <v>正常</v>
      </c>
      <c r="J39" s="6" t="str">
        <f>项目总控台账!AD38</f>
        <v>69</v>
      </c>
      <c r="K39" s="6" t="str">
        <f t="shared" si="0"/>
        <v/>
      </c>
      <c r="L39" s="9"/>
      <c r="M39" s="8"/>
    </row>
    <row r="40" spans="1:13">
      <c r="A40" s="6" t="str">
        <f>IF(B40="","",IF(AND(E40&lt;&gt;"已完成",ISNUMBER(G40),G40&lt;=项目驾驶舱!$B$3+14),"是","否"))</f>
        <v>否</v>
      </c>
      <c r="B40" s="6" t="str">
        <f>项目总控台账!A39</f>
        <v>T036</v>
      </c>
      <c r="C40" s="6" t="str">
        <f>IF(AND(项目总控台账!E39&lt;&gt;"",项目总控台账!E39&lt;&gt;"/"),项目总控台账!E39,IF(AND(项目总控台账!D39&lt;&gt;"",项目总控台账!D39&lt;&gt;"/"),项目总控台账!D39,项目总控台账!C39))</f>
        <v>查询船舶靠泊通知单</v>
      </c>
      <c r="D40" s="6" t="str">
        <f>项目总控台账!F39</f>
        <v>第二批次</v>
      </c>
      <c r="E40" s="6" t="str">
        <f>项目总控台账!G39</f>
        <v>进行中</v>
      </c>
      <c r="F40" s="6" t="str">
        <f>项目总控台账!H39</f>
        <v>郑士旺</v>
      </c>
      <c r="G40" s="17">
        <f>项目总控台账!J39</f>
        <v>46353</v>
      </c>
      <c r="H40" s="6">
        <f>IF(G40="","",G40-项目驾驶舱!$B$3)</f>
        <v>85</v>
      </c>
      <c r="I40" s="6" t="str">
        <f>项目总控台账!AC39</f>
        <v>正常</v>
      </c>
      <c r="J40" s="6" t="str">
        <f>项目总控台账!AD39</f>
        <v>69</v>
      </c>
      <c r="K40" s="6" t="str">
        <f t="shared" si="0"/>
        <v/>
      </c>
      <c r="L40" s="9"/>
      <c r="M40" s="8"/>
    </row>
    <row r="41" spans="1:13">
      <c r="A41" s="6" t="str">
        <f>IF(B41="","",IF(AND(E41&lt;&gt;"已完成",ISNUMBER(G41),G41&lt;=项目驾驶舱!$B$3+14),"是","否"))</f>
        <v>否</v>
      </c>
      <c r="B41" s="6" t="str">
        <f>项目总控台账!A40</f>
        <v>T037</v>
      </c>
      <c r="C41" s="6" t="str">
        <f>IF(AND(项目总控台账!E40&lt;&gt;"",项目总控台账!E40&lt;&gt;"/"),项目总控台账!E40,IF(AND(项目总控台账!D40&lt;&gt;"",项目总控台账!D40&lt;&gt;"/"),项目总控台账!D40,项目总控台账!C40))</f>
        <v>创建卸车流程</v>
      </c>
      <c r="D41" s="6" t="str">
        <f>项目总控台账!F40</f>
        <v>第一批次</v>
      </c>
      <c r="E41" s="6" t="str">
        <f>项目总控台账!G40</f>
        <v>已完成</v>
      </c>
      <c r="F41" s="6" t="str">
        <f>项目总控台账!H40</f>
        <v>郑士旺</v>
      </c>
      <c r="G41" s="17">
        <f>项目总控台账!J40</f>
        <v>46261</v>
      </c>
      <c r="H41" s="6">
        <f>IF(G41="","",G41-项目驾驶舱!$B$3)</f>
        <v>-7</v>
      </c>
      <c r="I41" s="6" t="str">
        <f>项目总控台账!AC40</f>
        <v>正常</v>
      </c>
      <c r="J41" s="6" t="str">
        <f>项目总控台账!AD40</f>
        <v>69</v>
      </c>
      <c r="K41" s="6" t="str">
        <f t="shared" si="0"/>
        <v/>
      </c>
      <c r="L41" s="9"/>
      <c r="M41" s="8"/>
    </row>
    <row r="42" spans="1:13">
      <c r="A42" s="6" t="str">
        <f>IF(B42="","",IF(AND(E42&lt;&gt;"已完成",ISNUMBER(G42),G42&lt;=项目驾驶舱!$B$3+14),"是","否"))</f>
        <v>否</v>
      </c>
      <c r="B42" s="6" t="str">
        <f>项目总控台账!A41</f>
        <v>T038</v>
      </c>
      <c r="C42" s="6" t="str">
        <f>IF(AND(项目总控台账!E41&lt;&gt;"",项目总控台账!E41&lt;&gt;"/"),项目总控台账!E41,IF(AND(项目总控台账!D41&lt;&gt;"",项目总控台账!D41&lt;&gt;"/"),项目总控台账!D41,项目总控台账!C41))</f>
        <v>查询卸车流程</v>
      </c>
      <c r="D42" s="6" t="str">
        <f>项目总控台账!F41</f>
        <v>第一批次</v>
      </c>
      <c r="E42" s="6" t="str">
        <f>项目总控台账!G41</f>
        <v>已完成</v>
      </c>
      <c r="F42" s="6" t="str">
        <f>项目总控台账!H41</f>
        <v>郑士旺</v>
      </c>
      <c r="G42" s="17">
        <f>项目总控台账!J41</f>
        <v>46261</v>
      </c>
      <c r="H42" s="6">
        <f>IF(G42="","",G42-项目驾驶舱!$B$3)</f>
        <v>-7</v>
      </c>
      <c r="I42" s="6" t="str">
        <f>项目总控台账!AC41</f>
        <v>正常</v>
      </c>
      <c r="J42" s="6" t="str">
        <f>项目总控台账!AD41</f>
        <v>69</v>
      </c>
      <c r="K42" s="6" t="str">
        <f t="shared" si="0"/>
        <v/>
      </c>
      <c r="L42" s="9"/>
      <c r="M42" s="8"/>
    </row>
    <row r="43" spans="1:13">
      <c r="A43" s="6" t="str">
        <f>IF(B43="","",IF(AND(E43&lt;&gt;"已完成",ISNUMBER(G43),G43&lt;=项目驾驶舱!$B$3+14),"是","否"))</f>
        <v>否</v>
      </c>
      <c r="B43" s="6" t="str">
        <f>项目总控台账!A42</f>
        <v>T039</v>
      </c>
      <c r="C43" s="6" t="str">
        <f>IF(AND(项目总控台账!E42&lt;&gt;"",项目总控台账!E42&lt;&gt;"/"),项目总控台账!E42,IF(AND(项目总控台账!D42&lt;&gt;"",项目总控台账!D42&lt;&gt;"/"),项目总控台账!D42,项目总控台账!C42))</f>
        <v>修改卸车流程</v>
      </c>
      <c r="D43" s="6" t="str">
        <f>项目总控台账!F42</f>
        <v>第一批次</v>
      </c>
      <c r="E43" s="6" t="str">
        <f>项目总控台账!G42</f>
        <v>已完成</v>
      </c>
      <c r="F43" s="6" t="str">
        <f>项目总控台账!H42</f>
        <v>郑士旺</v>
      </c>
      <c r="G43" s="17">
        <f>项目总控台账!J42</f>
        <v>46261</v>
      </c>
      <c r="H43" s="6">
        <f>IF(G43="","",G43-项目驾驶舱!$B$3)</f>
        <v>-7</v>
      </c>
      <c r="I43" s="6" t="str">
        <f>项目总控台账!AC42</f>
        <v>正常</v>
      </c>
      <c r="J43" s="6" t="str">
        <f>项目总控台账!AD42</f>
        <v>69</v>
      </c>
      <c r="K43" s="6" t="str">
        <f t="shared" si="0"/>
        <v/>
      </c>
      <c r="L43" s="9"/>
      <c r="M43" s="8"/>
    </row>
    <row r="44" spans="1:13">
      <c r="A44" s="6" t="str">
        <f>IF(B44="","",IF(AND(E44&lt;&gt;"已完成",ISNUMBER(G44),G44&lt;=项目驾驶舱!$B$3+14),"是","否"))</f>
        <v>否</v>
      </c>
      <c r="B44" s="6" t="str">
        <f>项目总控台账!A43</f>
        <v>T040</v>
      </c>
      <c r="C44" s="6" t="str">
        <f>IF(AND(项目总控台账!E43&lt;&gt;"",项目总控台账!E43&lt;&gt;"/"),项目总控台账!E43,IF(AND(项目总控台账!D43&lt;&gt;"",项目总控台账!D43&lt;&gt;"/"),项目总控台账!D43,项目总控台账!C43))</f>
        <v>创建装船流程</v>
      </c>
      <c r="D44" s="6" t="str">
        <f>项目总控台账!F43</f>
        <v>第一批次</v>
      </c>
      <c r="E44" s="6" t="str">
        <f>项目总控台账!G43</f>
        <v>已完成</v>
      </c>
      <c r="F44" s="6" t="str">
        <f>项目总控台账!H43</f>
        <v>郑士旺</v>
      </c>
      <c r="G44" s="17">
        <f>项目总控台账!J43</f>
        <v>46261</v>
      </c>
      <c r="H44" s="6">
        <f>IF(G44="","",G44-项目驾驶舱!$B$3)</f>
        <v>-7</v>
      </c>
      <c r="I44" s="6" t="str">
        <f>项目总控台账!AC43</f>
        <v>正常</v>
      </c>
      <c r="J44" s="6" t="str">
        <f>项目总控台账!AD43</f>
        <v>69</v>
      </c>
      <c r="K44" s="6" t="str">
        <f t="shared" si="0"/>
        <v/>
      </c>
      <c r="L44" s="9"/>
      <c r="M44" s="8"/>
    </row>
    <row r="45" spans="1:13">
      <c r="A45" s="6" t="str">
        <f>IF(B45="","",IF(AND(E45&lt;&gt;"已完成",ISNUMBER(G45),G45&lt;=项目驾驶舱!$B$3+14),"是","否"))</f>
        <v>否</v>
      </c>
      <c r="B45" s="6" t="str">
        <f>项目总控台账!A44</f>
        <v>T041</v>
      </c>
      <c r="C45" s="6" t="str">
        <f>IF(AND(项目总控台账!E44&lt;&gt;"",项目总控台账!E44&lt;&gt;"/"),项目总控台账!E44,IF(AND(项目总控台账!D44&lt;&gt;"",项目总控台账!D44&lt;&gt;"/"),项目总控台账!D44,项目总控台账!C44))</f>
        <v>查询装船流程</v>
      </c>
      <c r="D45" s="6" t="str">
        <f>项目总控台账!F44</f>
        <v>第一批次</v>
      </c>
      <c r="E45" s="6" t="str">
        <f>项目总控台账!G44</f>
        <v>已完成</v>
      </c>
      <c r="F45" s="6" t="str">
        <f>项目总控台账!H44</f>
        <v>郑士旺</v>
      </c>
      <c r="G45" s="17">
        <f>项目总控台账!J44</f>
        <v>46261</v>
      </c>
      <c r="H45" s="6">
        <f>IF(G45="","",G45-项目驾驶舱!$B$3)</f>
        <v>-7</v>
      </c>
      <c r="I45" s="6" t="str">
        <f>项目总控台账!AC44</f>
        <v>正常</v>
      </c>
      <c r="J45" s="6" t="str">
        <f>项目总控台账!AD44</f>
        <v>69</v>
      </c>
      <c r="K45" s="6" t="str">
        <f t="shared" si="0"/>
        <v/>
      </c>
      <c r="L45" s="9"/>
      <c r="M45" s="8"/>
    </row>
    <row r="46" spans="1:13">
      <c r="A46" s="6" t="str">
        <f>IF(B46="","",IF(AND(E46&lt;&gt;"已完成",ISNUMBER(G46),G46&lt;=项目驾驶舱!$B$3+14),"是","否"))</f>
        <v>否</v>
      </c>
      <c r="B46" s="6" t="str">
        <f>项目总控台账!A45</f>
        <v>T042</v>
      </c>
      <c r="C46" s="6" t="str">
        <f>IF(AND(项目总控台账!E45&lt;&gt;"",项目总控台账!E45&lt;&gt;"/"),项目总控台账!E45,IF(AND(项目总控台账!D45&lt;&gt;"",项目总控台账!D45&lt;&gt;"/"),项目总控台账!D45,项目总控台账!C45))</f>
        <v>修改装船流程</v>
      </c>
      <c r="D46" s="6" t="str">
        <f>项目总控台账!F45</f>
        <v>第一批次</v>
      </c>
      <c r="E46" s="6" t="str">
        <f>项目总控台账!G45</f>
        <v>已完成</v>
      </c>
      <c r="F46" s="6" t="str">
        <f>项目总控台账!H45</f>
        <v>郑士旺</v>
      </c>
      <c r="G46" s="17">
        <f>项目总控台账!J45</f>
        <v>46261</v>
      </c>
      <c r="H46" s="6">
        <f>IF(G46="","",G46-项目驾驶舱!$B$3)</f>
        <v>-7</v>
      </c>
      <c r="I46" s="6" t="str">
        <f>项目总控台账!AC45</f>
        <v>正常</v>
      </c>
      <c r="J46" s="6" t="str">
        <f>项目总控台账!AD45</f>
        <v>69</v>
      </c>
      <c r="K46" s="6" t="str">
        <f t="shared" si="0"/>
        <v/>
      </c>
      <c r="L46" s="9"/>
      <c r="M46" s="8"/>
    </row>
    <row r="47" spans="1:13">
      <c r="A47" s="6" t="str">
        <f>IF(B47="","",IF(AND(E47&lt;&gt;"已完成",ISNUMBER(G47),G47&lt;=项目驾驶舱!$B$3+14),"是","否"))</f>
        <v>否</v>
      </c>
      <c r="B47" s="6" t="str">
        <f>项目总控台账!A46</f>
        <v>T043</v>
      </c>
      <c r="C47" s="6" t="str">
        <f>IF(AND(项目总控台账!E46&lt;&gt;"",项目总控台账!E46&lt;&gt;"/"),项目总控台账!E46,IF(AND(项目总控台账!D46&lt;&gt;"",项目总控台账!D46&lt;&gt;"/"),项目总控台账!D46,项目总控台账!C46))</f>
        <v>创建卸船流程</v>
      </c>
      <c r="D47" s="6" t="str">
        <f>项目总控台账!F46</f>
        <v>第二批次</v>
      </c>
      <c r="E47" s="6" t="str">
        <f>项目总控台账!G46</f>
        <v>已完成</v>
      </c>
      <c r="F47" s="6" t="str">
        <f>项目总控台账!H46</f>
        <v>郑士旺</v>
      </c>
      <c r="G47" s="17">
        <f>项目总控台账!J46</f>
        <v>46269</v>
      </c>
      <c r="H47" s="6">
        <f>IF(G47="","",G47-项目驾驶舱!$B$3)</f>
        <v>1</v>
      </c>
      <c r="I47" s="6" t="str">
        <f>项目总控台账!AC46</f>
        <v>正常</v>
      </c>
      <c r="J47" s="6" t="str">
        <f>项目总控台账!AD46</f>
        <v>69</v>
      </c>
      <c r="K47" s="6" t="str">
        <f t="shared" si="0"/>
        <v/>
      </c>
      <c r="L47" s="9"/>
      <c r="M47" s="8"/>
    </row>
    <row r="48" spans="1:13">
      <c r="A48" s="6" t="str">
        <f>IF(B48="","",IF(AND(E48&lt;&gt;"已完成",ISNUMBER(G48),G48&lt;=项目驾驶舱!$B$3+14),"是","否"))</f>
        <v>否</v>
      </c>
      <c r="B48" s="6" t="str">
        <f>项目总控台账!A47</f>
        <v>T044</v>
      </c>
      <c r="C48" s="6" t="str">
        <f>IF(AND(项目总控台账!E47&lt;&gt;"",项目总控台账!E47&lt;&gt;"/"),项目总控台账!E47,IF(AND(项目总控台账!D47&lt;&gt;"",项目总控台账!D47&lt;&gt;"/"),项目总控台账!D47,项目总控台账!C47))</f>
        <v>查询卸船流程</v>
      </c>
      <c r="D48" s="6" t="str">
        <f>项目总控台账!F47</f>
        <v>第二批次</v>
      </c>
      <c r="E48" s="6" t="str">
        <f>项目总控台账!G47</f>
        <v>已完成</v>
      </c>
      <c r="F48" s="6" t="str">
        <f>项目总控台账!H47</f>
        <v>郑士旺</v>
      </c>
      <c r="G48" s="17">
        <f>项目总控台账!J47</f>
        <v>46269</v>
      </c>
      <c r="H48" s="6">
        <f>IF(G48="","",G48-项目驾驶舱!$B$3)</f>
        <v>1</v>
      </c>
      <c r="I48" s="6" t="str">
        <f>项目总控台账!AC47</f>
        <v>正常</v>
      </c>
      <c r="J48" s="6" t="str">
        <f>项目总控台账!AD47</f>
        <v>69</v>
      </c>
      <c r="K48" s="6" t="str">
        <f t="shared" si="0"/>
        <v/>
      </c>
      <c r="L48" s="9"/>
      <c r="M48" s="8"/>
    </row>
    <row r="49" spans="1:13">
      <c r="A49" s="6" t="str">
        <f>IF(B49="","",IF(AND(E49&lt;&gt;"已完成",ISNUMBER(G49),G49&lt;=项目驾驶舱!$B$3+14),"是","否"))</f>
        <v>否</v>
      </c>
      <c r="B49" s="6" t="str">
        <f>项目总控台账!A48</f>
        <v>T045</v>
      </c>
      <c r="C49" s="6" t="str">
        <f>IF(AND(项目总控台账!E48&lt;&gt;"",项目总控台账!E48&lt;&gt;"/"),项目总控台账!E48,IF(AND(项目总控台账!D48&lt;&gt;"",项目总控台账!D48&lt;&gt;"/"),项目总控台账!D48,项目总控台账!C48))</f>
        <v>修改卸船流程</v>
      </c>
      <c r="D49" s="6" t="str">
        <f>项目总控台账!F48</f>
        <v>第二批次</v>
      </c>
      <c r="E49" s="6" t="str">
        <f>项目总控台账!G48</f>
        <v>已完成</v>
      </c>
      <c r="F49" s="6" t="str">
        <f>项目总控台账!H48</f>
        <v>郑士旺</v>
      </c>
      <c r="G49" s="17">
        <f>项目总控台账!J48</f>
        <v>46269</v>
      </c>
      <c r="H49" s="6">
        <f>IF(G49="","",G49-项目驾驶舱!$B$3)</f>
        <v>1</v>
      </c>
      <c r="I49" s="6" t="str">
        <f>项目总控台账!AC48</f>
        <v>正常</v>
      </c>
      <c r="J49" s="6" t="str">
        <f>项目总控台账!AD48</f>
        <v>69</v>
      </c>
      <c r="K49" s="6" t="str">
        <f t="shared" si="0"/>
        <v/>
      </c>
      <c r="L49" s="9"/>
      <c r="M49" s="8"/>
    </row>
    <row r="50" spans="1:13">
      <c r="A50" s="6" t="str">
        <f>IF(B50="","",IF(AND(E50&lt;&gt;"已完成",ISNUMBER(G50),G50&lt;=项目驾驶舱!$B$3+14),"是","否"))</f>
        <v>否</v>
      </c>
      <c r="B50" s="6" t="str">
        <f>项目总控台账!A49</f>
        <v>T046</v>
      </c>
      <c r="C50" s="6" t="str">
        <f>IF(AND(项目总控台账!E49&lt;&gt;"",项目总控台账!E49&lt;&gt;"/"),项目总控台账!E49,IF(AND(项目总控台账!D49&lt;&gt;"",项目总控台账!D49&lt;&gt;"/"),项目总控台账!D49,项目总控台账!C49))</f>
        <v>新增船舶预到（外贸）</v>
      </c>
      <c r="D50" s="6" t="str">
        <f>项目总控台账!F49</f>
        <v>第二批次</v>
      </c>
      <c r="E50" s="6" t="str">
        <f>项目总控台账!G49</f>
        <v>已完成</v>
      </c>
      <c r="F50" s="6" t="str">
        <f>项目总控台账!H49</f>
        <v>郑士旺</v>
      </c>
      <c r="G50" s="17">
        <f>项目总控台账!J49</f>
        <v>46353</v>
      </c>
      <c r="H50" s="6">
        <f>IF(G50="","",G50-项目驾驶舱!$B$3)</f>
        <v>85</v>
      </c>
      <c r="I50" s="6" t="str">
        <f>项目总控台账!AC49</f>
        <v>正常</v>
      </c>
      <c r="J50" s="6" t="str">
        <f>项目总控台账!AD49</f>
        <v>69</v>
      </c>
      <c r="K50" s="6" t="str">
        <f t="shared" si="0"/>
        <v/>
      </c>
      <c r="L50" s="9"/>
      <c r="M50" s="8"/>
    </row>
    <row r="51" spans="1:13">
      <c r="A51" s="6" t="str">
        <f>IF(B51="","",IF(AND(E51&lt;&gt;"已完成",ISNUMBER(G51),G51&lt;=项目驾驶舱!$B$3+14),"是","否"))</f>
        <v>否</v>
      </c>
      <c r="B51" s="6" t="str">
        <f>项目总控台账!A50</f>
        <v>T047</v>
      </c>
      <c r="C51" s="6" t="str">
        <f>IF(AND(项目总控台账!E50&lt;&gt;"",项目总控台账!E50&lt;&gt;"/"),项目总控台账!E50,IF(AND(项目总控台账!D50&lt;&gt;"",项目总控台账!D50&lt;&gt;"/"),项目总控台账!D50,项目总控台账!C50))</f>
        <v>退回船舶预到（外贸）</v>
      </c>
      <c r="D51" s="6" t="str">
        <f>项目总控台账!F50</f>
        <v>第二批次</v>
      </c>
      <c r="E51" s="6" t="str">
        <f>项目总控台账!G50</f>
        <v>未开始</v>
      </c>
      <c r="F51" s="6" t="str">
        <f>项目总控台账!H50</f>
        <v>郑士旺</v>
      </c>
      <c r="G51" s="17">
        <f>项目总控台账!J50</f>
        <v>46353</v>
      </c>
      <c r="H51" s="6">
        <f>IF(G51="","",G51-项目驾驶舱!$B$3)</f>
        <v>85</v>
      </c>
      <c r="I51" s="6" t="str">
        <f>项目总控台账!AC50</f>
        <v>正常</v>
      </c>
      <c r="J51" s="6" t="str">
        <f>项目总控台账!AD50</f>
        <v>69</v>
      </c>
      <c r="K51" s="6" t="str">
        <f t="shared" si="0"/>
        <v/>
      </c>
      <c r="L51" s="9"/>
      <c r="M51" s="8"/>
    </row>
    <row r="52" spans="1:13">
      <c r="A52" s="6" t="str">
        <f>IF(B52="","",IF(AND(E52&lt;&gt;"已完成",ISNUMBER(G52),G52&lt;=项目驾驶舱!$B$3+14),"是","否"))</f>
        <v>是</v>
      </c>
      <c r="B52" s="6" t="str">
        <f>项目总控台账!A51</f>
        <v>T048</v>
      </c>
      <c r="C52" s="6" t="str">
        <f>IF(AND(项目总控台账!E51&lt;&gt;"",项目总控台账!E51&lt;&gt;"/"),项目总控台账!E51,IF(AND(项目总控台账!D51&lt;&gt;"",项目总控台账!D51&lt;&gt;"/"),项目总控台账!D51,项目总控台账!C51))</f>
        <v>退回船舶预到（外贸）</v>
      </c>
      <c r="D52" s="6" t="str">
        <f>项目总控台账!F51</f>
        <v>第二批次</v>
      </c>
      <c r="E52" s="6" t="str">
        <f>项目总控台账!G51</f>
        <v>未开始</v>
      </c>
      <c r="F52" s="6" t="str">
        <f>项目总控台账!H51</f>
        <v>郑士旺</v>
      </c>
      <c r="G52" s="17">
        <f>项目总控台账!J51</f>
        <v>46261</v>
      </c>
      <c r="H52" s="6">
        <f>IF(G52="","",G52-项目驾驶舱!$B$3)</f>
        <v>-7</v>
      </c>
      <c r="I52" s="6" t="str">
        <f>项目总控台账!AC51</f>
        <v>已延期</v>
      </c>
      <c r="J52" s="6" t="str">
        <f>项目总控台账!AD51</f>
        <v>69</v>
      </c>
      <c r="K52" s="6" t="str">
        <f t="shared" si="0"/>
        <v>立即确认延期原因、影响及补救计划</v>
      </c>
      <c r="L52" s="9"/>
      <c r="M52" s="8"/>
    </row>
    <row r="53" spans="1:13">
      <c r="A53" s="6" t="str">
        <f>IF(B53="","",IF(AND(E53&lt;&gt;"已完成",ISNUMBER(G53),G53&lt;=项目驾驶舱!$B$3+14),"是","否"))</f>
        <v>否</v>
      </c>
      <c r="B53" s="6" t="str">
        <f>项目总控台账!A52</f>
        <v>T049</v>
      </c>
      <c r="C53" s="6" t="str">
        <f>IF(AND(项目总控台账!E52&lt;&gt;"",项目总控台账!E52&lt;&gt;"/"),项目总控台账!E52,IF(AND(项目总控台账!D52&lt;&gt;"",项目总控台账!D52&lt;&gt;"/"),项目总控台账!D52,项目总控台账!C52))</f>
        <v>申请采样申请（外贸）</v>
      </c>
      <c r="D53" s="6" t="str">
        <f>项目总控台账!F52</f>
        <v>第二批次</v>
      </c>
      <c r="E53" s="6" t="str">
        <f>项目总控台账!G52</f>
        <v>已完成</v>
      </c>
      <c r="F53" s="6" t="str">
        <f>项目总控台账!H52</f>
        <v>郑士旺</v>
      </c>
      <c r="G53" s="17">
        <f>项目总控台账!J52</f>
        <v>46261</v>
      </c>
      <c r="H53" s="6">
        <f>IF(G53="","",G53-项目驾驶舱!$B$3)</f>
        <v>-7</v>
      </c>
      <c r="I53" s="6" t="str">
        <f>项目总控台账!AC52</f>
        <v>正常</v>
      </c>
      <c r="J53" s="6" t="str">
        <f>项目总控台账!AD52</f>
        <v>69</v>
      </c>
      <c r="K53" s="6" t="str">
        <f t="shared" si="0"/>
        <v/>
      </c>
      <c r="L53" s="9"/>
      <c r="M53" s="8"/>
    </row>
    <row r="54" spans="1:13">
      <c r="A54" s="6" t="str">
        <f>IF(B54="","",IF(AND(E54&lt;&gt;"已完成",ISNUMBER(G54),G54&lt;=项目驾驶舱!$B$3+14),"是","否"))</f>
        <v>是</v>
      </c>
      <c r="B54" s="6" t="str">
        <f>项目总控台账!A53</f>
        <v>T050</v>
      </c>
      <c r="C54" s="6" t="str">
        <f>IF(AND(项目总控台账!E53&lt;&gt;"",项目总控台账!E53&lt;&gt;"/"),项目总控台账!E53,IF(AND(项目总控台账!D53&lt;&gt;"",项目总控台账!D53&lt;&gt;"/"),项目总控台账!D53,项目总控台账!C53))</f>
        <v>维护需跟踪船舶清单</v>
      </c>
      <c r="D54" s="6" t="str">
        <f>项目总控台账!F53</f>
        <v>第一批次</v>
      </c>
      <c r="E54" s="6" t="str">
        <f>项目总控台账!G53</f>
        <v>进行中</v>
      </c>
      <c r="F54" s="6" t="str">
        <f>项目总控台账!H53</f>
        <v>郑士旺</v>
      </c>
      <c r="G54" s="17">
        <f>项目总控台账!J53</f>
        <v>46234</v>
      </c>
      <c r="H54" s="6">
        <f>IF(G54="","",G54-项目驾驶舱!$B$3)</f>
        <v>-34</v>
      </c>
      <c r="I54" s="6" t="str">
        <f>项目总控台账!AC53</f>
        <v>已延期</v>
      </c>
      <c r="J54" s="6" t="str">
        <f>项目总控台账!AD53</f>
        <v>69</v>
      </c>
      <c r="K54" s="6" t="str">
        <f t="shared" si="0"/>
        <v>立即确认延期原因、影响及补救计划</v>
      </c>
      <c r="L54" s="9"/>
      <c r="M54" s="8"/>
    </row>
    <row r="55" spans="1:13">
      <c r="A55" s="6" t="str">
        <f>IF(B55="","",IF(AND(E55&lt;&gt;"已完成",ISNUMBER(G55),G55&lt;=项目驾驶舱!$B$3+14),"是","否"))</f>
        <v>是</v>
      </c>
      <c r="B55" s="6" t="str">
        <f>项目总控台账!A54</f>
        <v>T051</v>
      </c>
      <c r="C55" s="6" t="str">
        <f>IF(AND(项目总控台账!E54&lt;&gt;"",项目总控台账!E54&lt;&gt;"/"),项目总控台账!E54,IF(AND(项目总控台账!D54&lt;&gt;"",项目总控台账!D54&lt;&gt;"/"),项目总控台账!D54,项目总控台账!C54))</f>
        <v>根据船舶清单更新第三方系统推送数据船舶清单</v>
      </c>
      <c r="D55" s="6" t="str">
        <f>项目总控台账!F54</f>
        <v>第一批次</v>
      </c>
      <c r="E55" s="6" t="str">
        <f>项目总控台账!G54</f>
        <v>进行中</v>
      </c>
      <c r="F55" s="6" t="str">
        <f>项目总控台账!H54</f>
        <v>郑士旺</v>
      </c>
      <c r="G55" s="17">
        <f>项目总控台账!J54</f>
        <v>46261</v>
      </c>
      <c r="H55" s="6">
        <f>IF(G55="","",G55-项目驾驶舱!$B$3)</f>
        <v>-7</v>
      </c>
      <c r="I55" s="6" t="str">
        <f>项目总控台账!AC54</f>
        <v>已延期</v>
      </c>
      <c r="J55" s="6" t="str">
        <f>项目总控台账!AD54</f>
        <v>69</v>
      </c>
      <c r="K55" s="6" t="str">
        <f t="shared" si="0"/>
        <v>立即确认延期原因、影响及补救计划</v>
      </c>
      <c r="L55" s="9"/>
      <c r="M55" s="8"/>
    </row>
    <row r="56" spans="1:13">
      <c r="A56" s="6" t="str">
        <f>IF(B56="","",IF(AND(E56&lt;&gt;"已完成",ISNUMBER(G56),G56&lt;=项目驾驶舱!$B$3+14),"是","否"))</f>
        <v>是</v>
      </c>
      <c r="B56" s="6" t="str">
        <f>项目总控台账!A55</f>
        <v>T052</v>
      </c>
      <c r="C56" s="6" t="str">
        <f>IF(AND(项目总控台账!E55&lt;&gt;"",项目总控台账!E55&lt;&gt;"/"),项目总控台账!E55,IF(AND(项目总控台账!D55&lt;&gt;"",项目总控台账!D55&lt;&gt;"/"),项目总控台账!D55,项目总控台账!C55))</f>
        <v>船舶轨迹跟踪</v>
      </c>
      <c r="D56" s="6" t="str">
        <f>项目总控台账!F55</f>
        <v>第一批次</v>
      </c>
      <c r="E56" s="6" t="str">
        <f>项目总控台账!G55</f>
        <v>进行中</v>
      </c>
      <c r="F56" s="6" t="str">
        <f>项目总控台账!H55</f>
        <v>郑士旺</v>
      </c>
      <c r="G56" s="17">
        <f>项目总控台账!J55</f>
        <v>46261</v>
      </c>
      <c r="H56" s="6">
        <f>IF(G56="","",G56-项目驾驶舱!$B$3)</f>
        <v>-7</v>
      </c>
      <c r="I56" s="6" t="str">
        <f>项目总控台账!AC55</f>
        <v>已延期</v>
      </c>
      <c r="J56" s="6" t="str">
        <f>项目总控台账!AD55</f>
        <v>69</v>
      </c>
      <c r="K56" s="6" t="str">
        <f t="shared" si="0"/>
        <v>立即确认延期原因、影响及补救计划</v>
      </c>
      <c r="L56" s="9"/>
      <c r="M56" s="8"/>
    </row>
    <row r="57" spans="1:13">
      <c r="A57" s="6" t="str">
        <f>IF(B57="","",IF(AND(E57&lt;&gt;"已完成",ISNUMBER(G57),G57&lt;=项目驾驶舱!$B$3+14),"是","否"))</f>
        <v>是</v>
      </c>
      <c r="B57" s="6" t="str">
        <f>项目总控台账!A56</f>
        <v>T053</v>
      </c>
      <c r="C57" s="6" t="str">
        <f>IF(AND(项目总控台账!E56&lt;&gt;"",项目总控台账!E56&lt;&gt;"/"),项目总控台账!E56,IF(AND(项目总控台账!D56&lt;&gt;"",项目总控台账!D56&lt;&gt;"/"),项目总控台账!D56,项目总控台账!C56))</f>
        <v>接入港口侧视频监控</v>
      </c>
      <c r="D57" s="6" t="str">
        <f>项目总控台账!F56</f>
        <v>第二批次</v>
      </c>
      <c r="E57" s="6" t="str">
        <f>项目总控台账!G56</f>
        <v>未开始</v>
      </c>
      <c r="F57" s="6" t="str">
        <f>项目总控台账!H56</f>
        <v>郑士旺</v>
      </c>
      <c r="G57" s="17">
        <f>项目总控台账!J56</f>
        <v>46224</v>
      </c>
      <c r="H57" s="6">
        <f>IF(G57="","",G57-项目驾驶舱!$B$3)</f>
        <v>-44</v>
      </c>
      <c r="I57" s="6" t="str">
        <f>项目总控台账!AC56</f>
        <v>已延期</v>
      </c>
      <c r="J57" s="6" t="str">
        <f>项目总控台账!AD56</f>
        <v>69</v>
      </c>
      <c r="K57" s="6" t="str">
        <f t="shared" si="0"/>
        <v>立即确认延期原因、影响及补救计划</v>
      </c>
      <c r="L57" s="9"/>
      <c r="M57" s="8"/>
    </row>
    <row r="58" spans="1:13">
      <c r="A58" s="6" t="str">
        <f>IF(B58="","",IF(AND(E58&lt;&gt;"已完成",ISNUMBER(G58),G58&lt;=项目驾驶舱!$B$3+14),"是","否"))</f>
        <v>是</v>
      </c>
      <c r="B58" s="6" t="str">
        <f>项目总控台账!A57</f>
        <v>T054</v>
      </c>
      <c r="C58" s="6" t="str">
        <f>IF(AND(项目总控台账!E57&lt;&gt;"",项目总控台账!E57&lt;&gt;"/"),项目总控台账!E57,IF(AND(项目总控台账!D57&lt;&gt;"",项目总控台账!D57&lt;&gt;"/"),项目总控台账!D57,项目总控台账!C57))</f>
        <v>视频查看权限申请</v>
      </c>
      <c r="D58" s="6" t="str">
        <f>项目总控台账!F57</f>
        <v>第二批次</v>
      </c>
      <c r="E58" s="6" t="str">
        <f>项目总控台账!G57</f>
        <v>未开始</v>
      </c>
      <c r="F58" s="6" t="str">
        <f>项目总控台账!H57</f>
        <v>郑士旺</v>
      </c>
      <c r="G58" s="17">
        <f>项目总控台账!J57</f>
        <v>46224</v>
      </c>
      <c r="H58" s="6">
        <f>IF(G58="","",G58-项目驾驶舱!$B$3)</f>
        <v>-44</v>
      </c>
      <c r="I58" s="6" t="str">
        <f>项目总控台账!AC57</f>
        <v>已延期</v>
      </c>
      <c r="J58" s="6" t="str">
        <f>项目总控台账!AD57</f>
        <v>69</v>
      </c>
      <c r="K58" s="6" t="str">
        <f t="shared" si="0"/>
        <v>立即确认延期原因、影响及补救计划</v>
      </c>
      <c r="L58" s="9"/>
      <c r="M58" s="8"/>
    </row>
    <row r="59" spans="1:13">
      <c r="A59" s="6" t="str">
        <f>IF(B59="","",IF(AND(E59&lt;&gt;"已完成",ISNUMBER(G59),G59&lt;=项目驾驶舱!$B$3+14),"是","否"))</f>
        <v>是</v>
      </c>
      <c r="B59" s="6" t="str">
        <f>项目总控台账!A58</f>
        <v>T055</v>
      </c>
      <c r="C59" s="6" t="str">
        <f>IF(AND(项目总控台账!E58&lt;&gt;"",项目总控台账!E58&lt;&gt;"/"),项目总控台账!E58,IF(AND(项目总控台账!D58&lt;&gt;"",项目总控台账!D58&lt;&gt;"/"),项目总控台账!D58,项目总控台账!C58))</f>
        <v>视频查看权限审批</v>
      </c>
      <c r="D59" s="6" t="str">
        <f>项目总控台账!F58</f>
        <v>第二批次</v>
      </c>
      <c r="E59" s="6" t="str">
        <f>项目总控台账!G58</f>
        <v>未开始</v>
      </c>
      <c r="F59" s="6" t="str">
        <f>项目总控台账!H58</f>
        <v>郑士旺</v>
      </c>
      <c r="G59" s="17">
        <f>项目总控台账!J58</f>
        <v>46224</v>
      </c>
      <c r="H59" s="6">
        <f>IF(G59="","",G59-项目驾驶舱!$B$3)</f>
        <v>-44</v>
      </c>
      <c r="I59" s="6" t="str">
        <f>项目总控台账!AC58</f>
        <v>已延期</v>
      </c>
      <c r="J59" s="6" t="str">
        <f>项目总控台账!AD58</f>
        <v>69</v>
      </c>
      <c r="K59" s="6" t="str">
        <f t="shared" si="0"/>
        <v>立即确认延期原因、影响及补救计划</v>
      </c>
      <c r="L59" s="9"/>
      <c r="M59" s="8"/>
    </row>
    <row r="60" spans="1:13">
      <c r="A60" s="6" t="str">
        <f>IF(B60="","",IF(AND(E60&lt;&gt;"已完成",ISNUMBER(G60),G60&lt;=项目驾驶舱!$B$3+14),"是","否"))</f>
        <v>否</v>
      </c>
      <c r="B60" s="6" t="str">
        <f>项目总控台账!A59</f>
        <v>T056</v>
      </c>
      <c r="C60" s="6" t="str">
        <f>IF(AND(项目总控台账!E59&lt;&gt;"",项目总控台账!E59&lt;&gt;"/"),项目总控台账!E59,IF(AND(项目总控台账!D59&lt;&gt;"",项目总控台账!D59&lt;&gt;"/"),项目总控台账!D59,项目总控台账!C59))</f>
        <v>视频查看权限有效期控制</v>
      </c>
      <c r="D60" s="6" t="str">
        <f>项目总控台账!F59</f>
        <v>第二批次</v>
      </c>
      <c r="E60" s="6" t="str">
        <f>项目总控台账!G59</f>
        <v>未开始</v>
      </c>
      <c r="F60" s="6" t="str">
        <f>项目总控台账!H59</f>
        <v>郑士旺</v>
      </c>
      <c r="G60" s="17">
        <f>项目总控台账!J59</f>
        <v>46318</v>
      </c>
      <c r="H60" s="6">
        <f>IF(G60="","",G60-项目驾驶舱!$B$3)</f>
        <v>50</v>
      </c>
      <c r="I60" s="6" t="str">
        <f>项目总控台账!AC59</f>
        <v>正常</v>
      </c>
      <c r="J60" s="6" t="str">
        <f>项目总控台账!AD59</f>
        <v>69</v>
      </c>
      <c r="K60" s="6" t="str">
        <f t="shared" si="0"/>
        <v/>
      </c>
      <c r="L60" s="9"/>
      <c r="M60" s="8"/>
    </row>
    <row r="61" spans="1:13">
      <c r="A61" s="6" t="str">
        <f>IF(B61="","",IF(AND(E61&lt;&gt;"已完成",ISNUMBER(G61),G61&lt;=项目驾驶舱!$B$3+14),"是","否"))</f>
        <v>是</v>
      </c>
      <c r="B61" s="6" t="str">
        <f>项目总控台账!A60</f>
        <v>T057</v>
      </c>
      <c r="C61" s="6" t="str">
        <f>IF(AND(项目总控台账!E60&lt;&gt;"",项目总控台账!E60&lt;&gt;"/"),项目总控台账!E60,IF(AND(项目总控台账!D60&lt;&gt;"",项目总控台账!D60&lt;&gt;"/"),项目总控台账!D60,项目总控台账!C60))</f>
        <v>外网PC端视频监控查询</v>
      </c>
      <c r="D61" s="6" t="str">
        <f>项目总控台账!F60</f>
        <v>第二批次</v>
      </c>
      <c r="E61" s="6" t="str">
        <f>项目总控台账!G60</f>
        <v>未开始</v>
      </c>
      <c r="F61" s="6" t="str">
        <f>项目总控台账!H60</f>
        <v>郑士旺</v>
      </c>
      <c r="G61" s="17">
        <f>项目总控台账!J60</f>
        <v>46224</v>
      </c>
      <c r="H61" s="6">
        <f>IF(G61="","",G61-项目驾驶舱!$B$3)</f>
        <v>-44</v>
      </c>
      <c r="I61" s="6" t="str">
        <f>项目总控台账!AC60</f>
        <v>已延期</v>
      </c>
      <c r="J61" s="6" t="str">
        <f>项目总控台账!AD60</f>
        <v>69</v>
      </c>
      <c r="K61" s="6" t="str">
        <f t="shared" si="0"/>
        <v>立即确认延期原因、影响及补救计划</v>
      </c>
      <c r="L61" s="9"/>
      <c r="M61" s="8"/>
    </row>
    <row r="62" spans="1:13">
      <c r="A62" s="6" t="str">
        <f>IF(B62="","",IF(AND(E62&lt;&gt;"已完成",ISNUMBER(G62),G62&lt;=项目驾驶舱!$B$3+14),"是","否"))</f>
        <v>否</v>
      </c>
      <c r="B62" s="6" t="str">
        <f>项目总控台账!A61</f>
        <v>T058</v>
      </c>
      <c r="C62" s="6" t="str">
        <f>IF(AND(项目总控台账!E61&lt;&gt;"",项目总控台账!E61&lt;&gt;"/"),项目总控台账!E61,IF(AND(项目总控台账!D61&lt;&gt;"",项目总控台账!D61&lt;&gt;"/"),项目总控台账!D61,项目总控台账!C61))</f>
        <v>OCR识别及编辑</v>
      </c>
      <c r="D62" s="6" t="str">
        <f>项目总控台账!F61</f>
        <v>第一批次</v>
      </c>
      <c r="E62" s="6" t="str">
        <f>项目总控台账!G61</f>
        <v>已完成</v>
      </c>
      <c r="F62" s="6" t="str">
        <f>项目总控台账!H61</f>
        <v>郑士旺</v>
      </c>
      <c r="G62" s="17">
        <f>项目总控台账!J61</f>
        <v>46224</v>
      </c>
      <c r="H62" s="6">
        <f>IF(G62="","",G62-项目驾驶舱!$B$3)</f>
        <v>-44</v>
      </c>
      <c r="I62" s="6" t="str">
        <f>项目总控台账!AC61</f>
        <v>正常</v>
      </c>
      <c r="J62" s="6" t="str">
        <f>项目总控台账!AD61</f>
        <v>69</v>
      </c>
      <c r="K62" s="6" t="str">
        <f t="shared" si="0"/>
        <v/>
      </c>
      <c r="L62" s="9"/>
      <c r="M62" s="8"/>
    </row>
    <row r="63" spans="1:13">
      <c r="A63" s="6" t="str">
        <f>IF(B63="","",IF(AND(E63&lt;&gt;"已完成",ISNUMBER(G63),G63&lt;=项目驾驶舱!$B$3+14),"是","否"))</f>
        <v>否</v>
      </c>
      <c r="B63" s="6" t="str">
        <f>项目总控台账!A62</f>
        <v>T059</v>
      </c>
      <c r="C63" s="6" t="str">
        <f>IF(AND(项目总控台账!E62&lt;&gt;"",项目总控台账!E62&lt;&gt;"/"),项目总控台账!E62,IF(AND(项目总控台账!D62&lt;&gt;"",项目总控台账!D62&lt;&gt;"/"),项目总控台账!D62,项目总控台账!C62))</f>
        <v>优化新增装车作业信息</v>
      </c>
      <c r="D63" s="6" t="str">
        <f>项目总控台账!F62</f>
        <v>第一批次</v>
      </c>
      <c r="E63" s="6" t="str">
        <f>项目总控台账!G62</f>
        <v>已完成</v>
      </c>
      <c r="F63" s="6" t="str">
        <f>项目总控台账!H62</f>
        <v>郑士旺</v>
      </c>
      <c r="G63" s="17">
        <f>项目总控台账!J62</f>
        <v>46318</v>
      </c>
      <c r="H63" s="6">
        <f>IF(G63="","",G63-项目驾驶舱!$B$3)</f>
        <v>50</v>
      </c>
      <c r="I63" s="6" t="str">
        <f>项目总控台账!AC62</f>
        <v>正常</v>
      </c>
      <c r="J63" s="6" t="str">
        <f>项目总控台账!AD62</f>
        <v>69</v>
      </c>
      <c r="K63" s="6" t="str">
        <f t="shared" si="0"/>
        <v/>
      </c>
      <c r="L63" s="9"/>
      <c r="M63" s="8"/>
    </row>
    <row r="64" spans="1:13">
      <c r="A64" s="6" t="str">
        <f>IF(B64="","",IF(AND(E64&lt;&gt;"已完成",ISNUMBER(G64),G64&lt;=项目驾驶舱!$B$3+14),"是","否"))</f>
        <v>否</v>
      </c>
      <c r="B64" s="6" t="str">
        <f>项目总控台账!A63</f>
        <v>T060</v>
      </c>
      <c r="C64" s="6" t="str">
        <f>IF(AND(项目总控台账!E63&lt;&gt;"",项目总控台账!E63&lt;&gt;"/"),项目总控台账!E63,IF(AND(项目总控台账!D63&lt;&gt;"",项目总控台账!D63&lt;&gt;"/"),项目总控台账!D63,项目总控台账!C63))</f>
        <v>货权录入</v>
      </c>
      <c r="D64" s="6" t="str">
        <f>项目总控台账!F63</f>
        <v>第一批次</v>
      </c>
      <c r="E64" s="6" t="str">
        <f>项目总控台账!G63</f>
        <v>已完成</v>
      </c>
      <c r="F64" s="6" t="str">
        <f>项目总控台账!H63</f>
        <v>郑士旺</v>
      </c>
      <c r="G64" s="17">
        <f>项目总控台账!J63</f>
        <v>46261</v>
      </c>
      <c r="H64" s="6">
        <f>IF(G64="","",G64-项目驾驶舱!$B$3)</f>
        <v>-7</v>
      </c>
      <c r="I64" s="6" t="str">
        <f>项目总控台账!AC63</f>
        <v>正常</v>
      </c>
      <c r="J64" s="6" t="str">
        <f>项目总控台账!AD63</f>
        <v>69</v>
      </c>
      <c r="K64" s="6" t="str">
        <f t="shared" si="0"/>
        <v/>
      </c>
      <c r="L64" s="9"/>
      <c r="M64" s="8"/>
    </row>
    <row r="65" spans="1:13">
      <c r="A65" s="6" t="str">
        <f>IF(B65="","",IF(AND(E65&lt;&gt;"已完成",ISNUMBER(G65),G65&lt;=项目驾驶舱!$B$3+14),"是","否"))</f>
        <v>否</v>
      </c>
      <c r="B65" s="6" t="str">
        <f>项目总控台账!A64</f>
        <v>T061</v>
      </c>
      <c r="C65" s="6" t="str">
        <f>IF(AND(项目总控台账!E64&lt;&gt;"",项目总控台账!E64&lt;&gt;"/"),项目总控台账!E64,IF(AND(项目总控台账!D64&lt;&gt;"",项目总控台账!D64&lt;&gt;"/"),项目总控台账!D64,项目总控台账!C64))</f>
        <v>货权修改</v>
      </c>
      <c r="D65" s="6" t="str">
        <f>项目总控台账!F64</f>
        <v>第一批次</v>
      </c>
      <c r="E65" s="6" t="str">
        <f>项目总控台账!G64</f>
        <v>已完成</v>
      </c>
      <c r="F65" s="6" t="str">
        <f>项目总控台账!H64</f>
        <v>郑士旺</v>
      </c>
      <c r="G65" s="17">
        <f>项目总控台账!J64</f>
        <v>46261</v>
      </c>
      <c r="H65" s="6">
        <f>IF(G65="","",G65-项目驾驶舱!$B$3)</f>
        <v>-7</v>
      </c>
      <c r="I65" s="6" t="str">
        <f>项目总控台账!AC64</f>
        <v>正常</v>
      </c>
      <c r="J65" s="6" t="str">
        <f>项目总控台账!AD64</f>
        <v>69</v>
      </c>
      <c r="K65" s="6" t="str">
        <f t="shared" si="0"/>
        <v/>
      </c>
      <c r="L65" s="9"/>
      <c r="M65" s="8"/>
    </row>
    <row r="66" spans="1:13">
      <c r="A66" s="6" t="str">
        <f>IF(B66="","",IF(AND(E66&lt;&gt;"已完成",ISNUMBER(G66),G66&lt;=项目驾驶舱!$B$3+14),"是","否"))</f>
        <v>否</v>
      </c>
      <c r="B66" s="6" t="str">
        <f>项目总控台账!A65</f>
        <v>T062</v>
      </c>
      <c r="C66" s="6" t="str">
        <f>IF(AND(项目总控台账!E65&lt;&gt;"",项目总控台账!E65&lt;&gt;"/"),项目总控台账!E65,IF(AND(项目总控台账!D65&lt;&gt;"",项目总控台账!D65&lt;&gt;"/"),项目总控台账!D65,项目总控台账!C65))</f>
        <v>获取查询</v>
      </c>
      <c r="D66" s="6" t="str">
        <f>项目总控台账!F65</f>
        <v>第一批次</v>
      </c>
      <c r="E66" s="6" t="str">
        <f>项目总控台账!G65</f>
        <v>已完成</v>
      </c>
      <c r="F66" s="6" t="str">
        <f>项目总控台账!H65</f>
        <v>郑士旺</v>
      </c>
      <c r="G66" s="17">
        <f>项目总控台账!J65</f>
        <v>46261</v>
      </c>
      <c r="H66" s="6">
        <f>IF(G66="","",G66-项目驾驶舱!$B$3)</f>
        <v>-7</v>
      </c>
      <c r="I66" s="6" t="str">
        <f>项目总控台账!AC65</f>
        <v>正常</v>
      </c>
      <c r="J66" s="6" t="str">
        <f>项目总控台账!AD65</f>
        <v>69</v>
      </c>
      <c r="K66" s="6" t="str">
        <f t="shared" si="0"/>
        <v/>
      </c>
      <c r="L66" s="9"/>
      <c r="M66" s="8"/>
    </row>
    <row r="67" spans="1:13">
      <c r="A67" s="6" t="str">
        <f>IF(B67="","",IF(AND(E67&lt;&gt;"已完成",ISNUMBER(G67),G67&lt;=项目驾驶舱!$B$3+14),"是","否"))</f>
        <v>否</v>
      </c>
      <c r="B67" s="6" t="str">
        <f>项目总控台账!A66</f>
        <v>T063</v>
      </c>
      <c r="C67" s="6" t="str">
        <f>IF(AND(项目总控台账!E66&lt;&gt;"",项目总控台账!E66&lt;&gt;"/"),项目总控台账!E66,IF(AND(项目总控台账!D66&lt;&gt;"",项目总控台账!D66&lt;&gt;"/"),项目总控台账!D66,项目总控台账!C66))</f>
        <v>卸船作业货权跟踪</v>
      </c>
      <c r="D67" s="6" t="str">
        <f>项目总控台账!F66</f>
        <v>第一批次</v>
      </c>
      <c r="E67" s="6" t="str">
        <f>项目总控台账!G66</f>
        <v>已完成</v>
      </c>
      <c r="F67" s="6" t="str">
        <f>项目总控台账!H66</f>
        <v>郑士旺</v>
      </c>
      <c r="G67" s="17">
        <f>项目总控台账!J66</f>
        <v>46261</v>
      </c>
      <c r="H67" s="6">
        <f>IF(G67="","",G67-项目驾驶舱!$B$3)</f>
        <v>-7</v>
      </c>
      <c r="I67" s="6" t="str">
        <f>项目总控台账!AC66</f>
        <v>正常</v>
      </c>
      <c r="J67" s="6" t="str">
        <f>项目总控台账!AD66</f>
        <v>69</v>
      </c>
      <c r="K67" s="6" t="str">
        <f t="shared" si="0"/>
        <v/>
      </c>
      <c r="L67" s="9"/>
      <c r="M67" s="8"/>
    </row>
    <row r="68" spans="1:13">
      <c r="A68" s="6" t="str">
        <f>IF(B68="","",IF(AND(E68&lt;&gt;"已完成",ISNUMBER(G68),G68&lt;=项目驾驶舱!$B$3+14),"是","否"))</f>
        <v>否</v>
      </c>
      <c r="B68" s="6" t="str">
        <f>项目总控台账!A67</f>
        <v>T064</v>
      </c>
      <c r="C68" s="6" t="str">
        <f>IF(AND(项目总控台账!E67&lt;&gt;"",项目总控台账!E67&lt;&gt;"/"),项目总控台账!E67,IF(AND(项目总控台账!D67&lt;&gt;"",项目总控台账!D67&lt;&gt;"/"),项目总控台账!D67,项目总控台账!C67))</f>
        <v>卸船作业货权跟踪</v>
      </c>
      <c r="D68" s="6" t="str">
        <f>项目总控台账!F67</f>
        <v>第一批次</v>
      </c>
      <c r="E68" s="6" t="str">
        <f>项目总控台账!G67</f>
        <v>已完成</v>
      </c>
      <c r="F68" s="6" t="str">
        <f>项目总控台账!H67</f>
        <v>郑士旺</v>
      </c>
      <c r="G68" s="17">
        <f>项目总控台账!J67</f>
        <v>46261</v>
      </c>
      <c r="H68" s="6">
        <f>IF(G68="","",G68-项目驾驶舱!$B$3)</f>
        <v>-7</v>
      </c>
      <c r="I68" s="6" t="str">
        <f>项目总控台账!AC67</f>
        <v>正常</v>
      </c>
      <c r="J68" s="6" t="str">
        <f>项目总控台账!AD67</f>
        <v>69</v>
      </c>
      <c r="K68" s="6" t="str">
        <f t="shared" si="0"/>
        <v/>
      </c>
      <c r="L68" s="9"/>
      <c r="M68" s="8"/>
    </row>
    <row r="69" spans="1:13">
      <c r="A69" s="6" t="str">
        <f>IF(B69="","",IF(AND(E69&lt;&gt;"已完成",ISNUMBER(G69),G69&lt;=项目驾驶舱!$B$3+14),"是","否"))</f>
        <v>否</v>
      </c>
      <c r="B69" s="6" t="str">
        <f>项目总控台账!A68</f>
        <v>T065</v>
      </c>
      <c r="C69" s="6" t="str">
        <f>IF(AND(项目总控台账!E68&lt;&gt;"",项目总控台账!E68&lt;&gt;"/"),项目总控台账!E68,IF(AND(项目总控台账!D68&lt;&gt;"",项目总控台账!D68&lt;&gt;"/"),项目总控台账!D68,项目总控台账!C68))</f>
        <v>装船作业货权跟踪</v>
      </c>
      <c r="D69" s="6" t="str">
        <f>项目总控台账!F68</f>
        <v>第一批次</v>
      </c>
      <c r="E69" s="6" t="str">
        <f>项目总控台账!G68</f>
        <v>已完成</v>
      </c>
      <c r="F69" s="6" t="str">
        <f>项目总控台账!H68</f>
        <v>郑士旺</v>
      </c>
      <c r="G69" s="17">
        <f>项目总控台账!J68</f>
        <v>46261</v>
      </c>
      <c r="H69" s="6">
        <f>IF(G69="","",G69-项目驾驶舱!$B$3)</f>
        <v>-7</v>
      </c>
      <c r="I69" s="6" t="str">
        <f>项目总控台账!AC68</f>
        <v>正常</v>
      </c>
      <c r="J69" s="6" t="str">
        <f>项目总控台账!AD68</f>
        <v>69</v>
      </c>
      <c r="K69" s="6" t="str">
        <f t="shared" ref="K69:K132" si="1">IF(A69&lt;&gt;"是","",IF(OR(E69="暂停",E69="挂起"),"确认暂停原因、恢复条件和责任人",IF(H69&lt;0,"立即确认延期原因、影响及补救计划",IF(H69&lt;=7,"本周确认交付承诺和完成证据","提前检查依赖与风险"))))</f>
        <v/>
      </c>
      <c r="L69" s="9"/>
      <c r="M69" s="8"/>
    </row>
    <row r="70" spans="1:13">
      <c r="A70" s="6" t="str">
        <f>IF(B70="","",IF(AND(E70&lt;&gt;"已完成",ISNUMBER(G70),G70&lt;=项目驾驶舱!$B$3+14),"是","否"))</f>
        <v>否</v>
      </c>
      <c r="B70" s="6" t="str">
        <f>项目总控台账!A69</f>
        <v>T066</v>
      </c>
      <c r="C70" s="6" t="str">
        <f>IF(AND(项目总控台账!E69&lt;&gt;"",项目总控台账!E69&lt;&gt;"/"),项目总控台账!E69,IF(AND(项目总控台账!D69&lt;&gt;"",项目总控台账!D69&lt;&gt;"/"),项目总控台账!D69,项目总控台账!C69))</f>
        <v>装船作业货权跟踪</v>
      </c>
      <c r="D70" s="6" t="str">
        <f>项目总控台账!F69</f>
        <v>第一批次</v>
      </c>
      <c r="E70" s="6" t="str">
        <f>项目总控台账!G69</f>
        <v>已完成</v>
      </c>
      <c r="F70" s="6" t="str">
        <f>项目总控台账!H69</f>
        <v>郑士旺</v>
      </c>
      <c r="G70" s="17">
        <f>项目总控台账!J69</f>
        <v>46261</v>
      </c>
      <c r="H70" s="6">
        <f>IF(G70="","",G70-项目驾驶舱!$B$3)</f>
        <v>-7</v>
      </c>
      <c r="I70" s="6" t="str">
        <f>项目总控台账!AC69</f>
        <v>正常</v>
      </c>
      <c r="J70" s="6" t="str">
        <f>项目总控台账!AD69</f>
        <v>69</v>
      </c>
      <c r="K70" s="6" t="str">
        <f t="shared" si="1"/>
        <v/>
      </c>
      <c r="L70" s="9"/>
      <c r="M70" s="8"/>
    </row>
    <row r="71" spans="1:13">
      <c r="A71" s="6" t="str">
        <f>IF(B71="","",IF(AND(E71&lt;&gt;"已完成",ISNUMBER(G71),G71&lt;=项目驾驶舱!$B$3+14),"是","否"))</f>
        <v>否</v>
      </c>
      <c r="B71" s="6" t="str">
        <f>项目总控台账!A70</f>
        <v>T067</v>
      </c>
      <c r="C71" s="6" t="str">
        <f>IF(AND(项目总控台账!E70&lt;&gt;"",项目总控台账!E70&lt;&gt;"/"),项目总控台账!E70,IF(AND(项目总控台账!D70&lt;&gt;"",项目总控台账!D70&lt;&gt;"/"),项目总控台账!D70,项目总控台账!C70))</f>
        <v>装船作业货权跟踪</v>
      </c>
      <c r="D71" s="6" t="str">
        <f>项目总控台账!F70</f>
        <v>第一批次</v>
      </c>
      <c r="E71" s="6" t="str">
        <f>项目总控台账!G70</f>
        <v>已完成</v>
      </c>
      <c r="F71" s="6" t="str">
        <f>项目总控台账!H70</f>
        <v>郑士旺</v>
      </c>
      <c r="G71" s="17">
        <f>项目总控台账!J70</f>
        <v>46261</v>
      </c>
      <c r="H71" s="6">
        <f>IF(G71="","",G71-项目驾驶舱!$B$3)</f>
        <v>-7</v>
      </c>
      <c r="I71" s="6" t="str">
        <f>项目总控台账!AC70</f>
        <v>正常</v>
      </c>
      <c r="J71" s="6" t="str">
        <f>项目总控台账!AD70</f>
        <v>69</v>
      </c>
      <c r="K71" s="6" t="str">
        <f t="shared" si="1"/>
        <v/>
      </c>
      <c r="L71" s="9"/>
      <c r="M71" s="8"/>
    </row>
    <row r="72" spans="1:13">
      <c r="A72" s="6" t="str">
        <f>IF(B72="","",IF(AND(E72&lt;&gt;"已完成",ISNUMBER(G72),G72&lt;=项目驾驶舱!$B$3+14),"是","否"))</f>
        <v>否</v>
      </c>
      <c r="B72" s="6" t="str">
        <f>项目总控台账!A71</f>
        <v>T068</v>
      </c>
      <c r="C72" s="6" t="str">
        <f>IF(AND(项目总控台账!E71&lt;&gt;"",项目总控台账!E71&lt;&gt;"/"),项目总控台账!E71,IF(AND(项目总控台账!D71&lt;&gt;"",项目总控台账!D71&lt;&gt;"/"),项目总控台账!D71,项目总控台账!C71))</f>
        <v>装船作业货权跟踪</v>
      </c>
      <c r="D72" s="6" t="str">
        <f>项目总控台账!F71</f>
        <v>第一批次</v>
      </c>
      <c r="E72" s="6" t="str">
        <f>项目总控台账!G71</f>
        <v>已完成</v>
      </c>
      <c r="F72" s="6" t="str">
        <f>项目总控台账!H71</f>
        <v>郑士旺</v>
      </c>
      <c r="G72" s="17">
        <f>项目总控台账!J71</f>
        <v>46261</v>
      </c>
      <c r="H72" s="6">
        <f>IF(G72="","",G72-项目驾驶舱!$B$3)</f>
        <v>-7</v>
      </c>
      <c r="I72" s="6" t="str">
        <f>项目总控台账!AC71</f>
        <v>正常</v>
      </c>
      <c r="J72" s="6" t="str">
        <f>项目总控台账!AD71</f>
        <v>69</v>
      </c>
      <c r="K72" s="6" t="str">
        <f t="shared" si="1"/>
        <v/>
      </c>
      <c r="L72" s="9"/>
      <c r="M72" s="8"/>
    </row>
    <row r="73" spans="1:13">
      <c r="A73" s="6" t="str">
        <f>IF(B73="","",IF(AND(E73&lt;&gt;"已完成",ISNUMBER(G73),G73&lt;=项目驾驶舱!$B$3+14),"是","否"))</f>
        <v>否</v>
      </c>
      <c r="B73" s="6" t="str">
        <f>项目总控台账!A72</f>
        <v>T069</v>
      </c>
      <c r="C73" s="6" t="str">
        <f>IF(AND(项目总控台账!E72&lt;&gt;"",项目总控台账!E72&lt;&gt;"/"),项目总控台账!E72,IF(AND(项目总控台账!D72&lt;&gt;"",项目总控台账!D72&lt;&gt;"/"),项目总控台账!D72,项目总控台账!C72))</f>
        <v>新增、详情、修改页内容调整</v>
      </c>
      <c r="D73" s="6" t="str">
        <f>项目总控台账!F72</f>
        <v>第一批次</v>
      </c>
      <c r="E73" s="6" t="str">
        <f>项目总控台账!G72</f>
        <v>已完成</v>
      </c>
      <c r="F73" s="6" t="str">
        <f>项目总控台账!H72</f>
        <v>郑士旺</v>
      </c>
      <c r="G73" s="17">
        <f>项目总控台账!J72</f>
        <v>46224</v>
      </c>
      <c r="H73" s="6">
        <f>IF(G73="","",G73-项目驾驶舱!$B$3)</f>
        <v>-44</v>
      </c>
      <c r="I73" s="6" t="str">
        <f>项目总控台账!AC72</f>
        <v>正常</v>
      </c>
      <c r="J73" s="6" t="str">
        <f>项目总控台账!AD72</f>
        <v>69</v>
      </c>
      <c r="K73" s="6" t="str">
        <f t="shared" si="1"/>
        <v/>
      </c>
      <c r="L73" s="9"/>
      <c r="M73" s="8"/>
    </row>
    <row r="74" spans="1:13">
      <c r="A74" s="6" t="str">
        <f>IF(B74="","",IF(AND(E74&lt;&gt;"已完成",ISNUMBER(G74),G74&lt;=项目驾驶舱!$B$3+14),"是","否"))</f>
        <v>否</v>
      </c>
      <c r="B74" s="6" t="str">
        <f>项目总控台账!A73</f>
        <v>T070</v>
      </c>
      <c r="C74" s="6" t="str">
        <f>IF(AND(项目总控台账!E73&lt;&gt;"",项目总控台账!E73&lt;&gt;"/"),项目总控台账!E73,IF(AND(项目总控台账!D73&lt;&gt;"",项目总控台账!D73&lt;&gt;"/"),项目总控台账!D73,项目总控台账!C73))</f>
        <v>生成报告</v>
      </c>
      <c r="D74" s="6" t="str">
        <f>项目总控台账!F73</f>
        <v>第一批次</v>
      </c>
      <c r="E74" s="6" t="str">
        <f>项目总控台账!G73</f>
        <v>已完成</v>
      </c>
      <c r="F74" s="6" t="str">
        <f>项目总控台账!H73</f>
        <v>郑士旺</v>
      </c>
      <c r="G74" s="17">
        <f>项目总控台账!J73</f>
        <v>46224</v>
      </c>
      <c r="H74" s="6">
        <f>IF(G74="","",G74-项目驾驶舱!$B$3)</f>
        <v>-44</v>
      </c>
      <c r="I74" s="6" t="str">
        <f>项目总控台账!AC73</f>
        <v>正常</v>
      </c>
      <c r="J74" s="6" t="str">
        <f>项目总控台账!AD73</f>
        <v>69</v>
      </c>
      <c r="K74" s="6" t="str">
        <f t="shared" si="1"/>
        <v/>
      </c>
      <c r="L74" s="9"/>
      <c r="M74" s="8"/>
    </row>
    <row r="75" spans="1:13">
      <c r="A75" s="6" t="str">
        <f>IF(B75="","",IF(AND(E75&lt;&gt;"已完成",ISNUMBER(G75),G75&lt;=项目驾驶舱!$B$3+14),"是","否"))</f>
        <v>否</v>
      </c>
      <c r="B75" s="6" t="str">
        <f>项目总控台账!A74</f>
        <v>T071</v>
      </c>
      <c r="C75" s="6" t="str">
        <f>IF(AND(项目总控台账!E74&lt;&gt;"",项目总控台账!E74&lt;&gt;"/"),项目总控台账!E74,IF(AND(项目总控台账!D74&lt;&gt;"",项目总控台账!D74&lt;&gt;"/"),项目总控台账!D74,项目总控台账!C74))</f>
        <v>装船作业信息录入优化（太仓）</v>
      </c>
      <c r="D75" s="6" t="str">
        <f>项目总控台账!F74</f>
        <v>第一批次</v>
      </c>
      <c r="E75" s="6" t="str">
        <f>项目总控台账!G74</f>
        <v>已完成</v>
      </c>
      <c r="F75" s="6" t="str">
        <f>项目总控台账!H74</f>
        <v>郑士旺</v>
      </c>
      <c r="G75" s="17">
        <f>项目总控台账!J74</f>
        <v>46224</v>
      </c>
      <c r="H75" s="6">
        <f>IF(G75="","",G75-项目驾驶舱!$B$3)</f>
        <v>-44</v>
      </c>
      <c r="I75" s="6" t="str">
        <f>项目总控台账!AC74</f>
        <v>正常</v>
      </c>
      <c r="J75" s="6" t="str">
        <f>项目总控台账!AD74</f>
        <v>69</v>
      </c>
      <c r="K75" s="6" t="str">
        <f t="shared" si="1"/>
        <v/>
      </c>
      <c r="L75" s="9"/>
      <c r="M75" s="8"/>
    </row>
    <row r="76" spans="1:13">
      <c r="A76" s="6" t="str">
        <f>IF(B76="","",IF(AND(E76&lt;&gt;"已完成",ISNUMBER(G76),G76&lt;=项目驾驶舱!$B$3+14),"是","否"))</f>
        <v>否</v>
      </c>
      <c r="B76" s="6" t="str">
        <f>项目总控台账!A75</f>
        <v>T072</v>
      </c>
      <c r="C76" s="6" t="str">
        <f>IF(AND(项目总控台账!E75&lt;&gt;"",项目总控台账!E75&lt;&gt;"/"),项目总控台账!E75,IF(AND(项目总控台账!D75&lt;&gt;"",项目总控台账!D75&lt;&gt;"/"),项目总控台账!D75,项目总控台账!C75))</f>
        <v>OCR识别</v>
      </c>
      <c r="D76" s="6" t="str">
        <f>项目总控台账!F75</f>
        <v>第一批次</v>
      </c>
      <c r="E76" s="6" t="str">
        <f>项目总控台账!G75</f>
        <v>已完成</v>
      </c>
      <c r="F76" s="6" t="str">
        <f>项目总控台账!H75</f>
        <v>郑士旺</v>
      </c>
      <c r="G76" s="17">
        <f>项目总控台账!J75</f>
        <v>46234</v>
      </c>
      <c r="H76" s="6">
        <f>IF(G76="","",G76-项目驾驶舱!$B$3)</f>
        <v>-34</v>
      </c>
      <c r="I76" s="6" t="str">
        <f>项目总控台账!AC75</f>
        <v>正常</v>
      </c>
      <c r="J76" s="6" t="str">
        <f>项目总控台账!AD75</f>
        <v>69</v>
      </c>
      <c r="K76" s="6" t="str">
        <f t="shared" si="1"/>
        <v/>
      </c>
      <c r="L76" s="9"/>
      <c r="M76" s="8"/>
    </row>
    <row r="77" spans="1:13">
      <c r="A77" s="6" t="str">
        <f>IF(B77="","",IF(AND(E77&lt;&gt;"已完成",ISNUMBER(G77),G77&lt;=项目驾驶舱!$B$3+14),"是","否"))</f>
        <v>否</v>
      </c>
      <c r="B77" s="6" t="str">
        <f>项目总控台账!A76</f>
        <v>T073</v>
      </c>
      <c r="C77" s="6" t="str">
        <f>IF(AND(项目总控台账!E76&lt;&gt;"",项目总控台账!E76&lt;&gt;"/"),项目总控台账!E76,IF(AND(项目总控台账!D76&lt;&gt;"",项目总控台账!D76&lt;&gt;"/"),项目总控台账!D76,项目总控台账!C76))</f>
        <v>采样作业信息录入新增</v>
      </c>
      <c r="D77" s="6" t="str">
        <f>项目总控台账!F76</f>
        <v>第一批次</v>
      </c>
      <c r="E77" s="6" t="str">
        <f>项目总控台账!G76</f>
        <v>已完成</v>
      </c>
      <c r="F77" s="6" t="str">
        <f>项目总控台账!H76</f>
        <v>郑士旺</v>
      </c>
      <c r="G77" s="17">
        <f>项目总控台账!J76</f>
        <v>46224</v>
      </c>
      <c r="H77" s="6">
        <f>IF(G77="","",G77-项目驾驶舱!$B$3)</f>
        <v>-44</v>
      </c>
      <c r="I77" s="6" t="str">
        <f>项目总控台账!AC76</f>
        <v>正常</v>
      </c>
      <c r="J77" s="6" t="str">
        <f>项目总控台账!AD76</f>
        <v>69</v>
      </c>
      <c r="K77" s="6" t="str">
        <f t="shared" si="1"/>
        <v/>
      </c>
      <c r="L77" s="9"/>
      <c r="M77" s="8"/>
    </row>
    <row r="78" spans="1:13">
      <c r="A78" s="6" t="str">
        <f>IF(B78="","",IF(AND(E78&lt;&gt;"已完成",ISNUMBER(G78),G78&lt;=项目驾驶舱!$B$3+14),"是","否"))</f>
        <v>否</v>
      </c>
      <c r="B78" s="6" t="str">
        <f>项目总控台账!A77</f>
        <v>T074</v>
      </c>
      <c r="C78" s="6" t="str">
        <f>IF(AND(项目总控台账!E77&lt;&gt;"",项目总控台账!E77&lt;&gt;"/"),项目总控台账!E77,IF(AND(项目总控台账!D77&lt;&gt;"",项目总控台账!D77&lt;&gt;"/"),项目总控台账!D77,项目总控台账!C77))</f>
        <v>采样作业信息录入编辑</v>
      </c>
      <c r="D78" s="6" t="str">
        <f>项目总控台账!F77</f>
        <v>第一批次</v>
      </c>
      <c r="E78" s="6" t="str">
        <f>项目总控台账!G77</f>
        <v>已完成</v>
      </c>
      <c r="F78" s="6" t="str">
        <f>项目总控台账!H77</f>
        <v>郑士旺</v>
      </c>
      <c r="G78" s="17">
        <f>项目总控台账!J77</f>
        <v>46224</v>
      </c>
      <c r="H78" s="6">
        <f>IF(G78="","",G78-项目驾驶舱!$B$3)</f>
        <v>-44</v>
      </c>
      <c r="I78" s="6" t="str">
        <f>项目总控台账!AC77</f>
        <v>正常</v>
      </c>
      <c r="J78" s="6" t="str">
        <f>项目总控台账!AD77</f>
        <v>69</v>
      </c>
      <c r="K78" s="6" t="str">
        <f t="shared" si="1"/>
        <v/>
      </c>
      <c r="L78" s="9"/>
      <c r="M78" s="8"/>
    </row>
    <row r="79" spans="1:13">
      <c r="A79" s="6" t="str">
        <f>IF(B79="","",IF(AND(E79&lt;&gt;"已完成",ISNUMBER(G79),G79&lt;=项目驾驶舱!$B$3+14),"是","否"))</f>
        <v>否</v>
      </c>
      <c r="B79" s="6" t="str">
        <f>项目总控台账!A78</f>
        <v>T075</v>
      </c>
      <c r="C79" s="6" t="str">
        <f>IF(AND(项目总控台账!E78&lt;&gt;"",项目总控台账!E78&lt;&gt;"/"),项目总控台账!E78,IF(AND(项目总控台账!D78&lt;&gt;"",项目总控台账!D78&lt;&gt;"/"),项目总控台账!D78,项目总控台账!C78))</f>
        <v>采样作业信息录入详情</v>
      </c>
      <c r="D79" s="6" t="str">
        <f>项目总控台账!F78</f>
        <v>第一批次</v>
      </c>
      <c r="E79" s="6" t="str">
        <f>项目总控台账!G78</f>
        <v>已完成</v>
      </c>
      <c r="F79" s="6" t="str">
        <f>项目总控台账!H78</f>
        <v>郑士旺</v>
      </c>
      <c r="G79" s="17">
        <f>项目总控台账!J78</f>
        <v>46224</v>
      </c>
      <c r="H79" s="6">
        <f>IF(G79="","",G79-项目驾驶舱!$B$3)</f>
        <v>-44</v>
      </c>
      <c r="I79" s="6" t="str">
        <f>项目总控台账!AC78</f>
        <v>正常</v>
      </c>
      <c r="J79" s="6" t="str">
        <f>项目总控台账!AD78</f>
        <v>69</v>
      </c>
      <c r="K79" s="6" t="str">
        <f t="shared" si="1"/>
        <v/>
      </c>
      <c r="L79" s="9"/>
      <c r="M79" s="8"/>
    </row>
    <row r="80" spans="1:13">
      <c r="A80" s="6" t="str">
        <f>IF(B80="","",IF(AND(E80&lt;&gt;"已完成",ISNUMBER(G80),G80&lt;=项目驾驶舱!$B$3+14),"是","否"))</f>
        <v>否</v>
      </c>
      <c r="B80" s="6" t="str">
        <f>项目总控台账!A79</f>
        <v>T076</v>
      </c>
      <c r="C80" s="6" t="str">
        <f>IF(AND(项目总控台账!E79&lt;&gt;"",项目总控台账!E79&lt;&gt;"/"),项目总控台账!E79,IF(AND(项目总控台账!D79&lt;&gt;"",项目总控台账!D79&lt;&gt;"/"),项目总控台账!D79,项目总控台账!C79))</f>
        <v>采样作业信息录入删除</v>
      </c>
      <c r="D80" s="6" t="str">
        <f>项目总控台账!F79</f>
        <v>第一批次</v>
      </c>
      <c r="E80" s="6" t="str">
        <f>项目总控台账!G79</f>
        <v>已完成</v>
      </c>
      <c r="F80" s="6" t="str">
        <f>项目总控台账!H79</f>
        <v>郑士旺</v>
      </c>
      <c r="G80" s="17">
        <f>项目总控台账!J79</f>
        <v>46224</v>
      </c>
      <c r="H80" s="6">
        <f>IF(G80="","",G80-项目驾驶舱!$B$3)</f>
        <v>-44</v>
      </c>
      <c r="I80" s="6" t="str">
        <f>项目总控台账!AC79</f>
        <v>正常</v>
      </c>
      <c r="J80" s="6" t="str">
        <f>项目总控台账!AD79</f>
        <v>69</v>
      </c>
      <c r="K80" s="6" t="str">
        <f t="shared" si="1"/>
        <v/>
      </c>
      <c r="L80" s="9"/>
      <c r="M80" s="8"/>
    </row>
    <row r="81" spans="1:13">
      <c r="A81" s="6" t="str">
        <f>IF(B81="","",IF(AND(E81&lt;&gt;"已完成",ISNUMBER(G81),G81&lt;=项目驾驶舱!$B$3+14),"是","否"))</f>
        <v>否</v>
      </c>
      <c r="B81" s="6" t="str">
        <f>项目总控台账!A80</f>
        <v>T077</v>
      </c>
      <c r="C81" s="6" t="str">
        <f>IF(AND(项目总控台账!E80&lt;&gt;"",项目总控台账!E80&lt;&gt;"/"),项目总控台账!E80,IF(AND(项目总控台账!D80&lt;&gt;"",项目总控台账!D80&lt;&gt;"/"),项目总控台账!D80,项目总控台账!C80))</f>
        <v>采样作业信息录入列表</v>
      </c>
      <c r="D81" s="6" t="str">
        <f>项目总控台账!F80</f>
        <v>第一批次</v>
      </c>
      <c r="E81" s="6" t="str">
        <f>项目总控台账!G80</f>
        <v>已完成</v>
      </c>
      <c r="F81" s="6" t="str">
        <f>项目总控台账!H80</f>
        <v>郑士旺</v>
      </c>
      <c r="G81" s="17">
        <f>项目总控台账!J80</f>
        <v>46224</v>
      </c>
      <c r="H81" s="6">
        <f>IF(G81="","",G81-项目驾驶舱!$B$3)</f>
        <v>-44</v>
      </c>
      <c r="I81" s="6" t="str">
        <f>项目总控台账!AC80</f>
        <v>正常</v>
      </c>
      <c r="J81" s="6" t="str">
        <f>项目总控台账!AD80</f>
        <v>69</v>
      </c>
      <c r="K81" s="6" t="str">
        <f t="shared" si="1"/>
        <v/>
      </c>
      <c r="L81" s="9"/>
      <c r="M81" s="8"/>
    </row>
    <row r="82" spans="1:13">
      <c r="A82" s="6" t="str">
        <f>IF(B82="","",IF(AND(E82&lt;&gt;"已完成",ISNUMBER(G82),G82&lt;=项目驾驶舱!$B$3+14),"是","否"))</f>
        <v>否</v>
      </c>
      <c r="B82" s="6" t="str">
        <f>项目总控台账!A81</f>
        <v>T078</v>
      </c>
      <c r="C82" s="6" t="str">
        <f>IF(AND(项目总控台账!E81&lt;&gt;"",项目总控台账!E81&lt;&gt;"/"),项目总控台账!E81,IF(AND(项目总控台账!D81&lt;&gt;"",项目总控台账!D81&lt;&gt;"/"),项目总控台账!D81,项目总控台账!C81))</f>
        <v>业务数据合同签订校验</v>
      </c>
      <c r="D82" s="6" t="str">
        <f>项目总控台账!F81</f>
        <v>第二批次</v>
      </c>
      <c r="E82" s="6" t="str">
        <f>项目总控台账!G81</f>
        <v>未开始</v>
      </c>
      <c r="F82" s="6" t="str">
        <f>项目总控台账!H81</f>
        <v>郑士旺</v>
      </c>
      <c r="G82" s="17">
        <f>项目总控台账!J81</f>
        <v>46339</v>
      </c>
      <c r="H82" s="6">
        <f>IF(G82="","",G82-项目驾驶舱!$B$3)</f>
        <v>71</v>
      </c>
      <c r="I82" s="6" t="str">
        <f>项目总控台账!AC81</f>
        <v>正常</v>
      </c>
      <c r="J82" s="6" t="str">
        <f>项目总控台账!AD81</f>
        <v>69</v>
      </c>
      <c r="K82" s="6" t="str">
        <f t="shared" si="1"/>
        <v/>
      </c>
      <c r="L82" s="9"/>
      <c r="M82" s="8"/>
    </row>
    <row r="83" spans="1:13">
      <c r="A83" s="6" t="str">
        <f>IF(B83="","",IF(AND(E83&lt;&gt;"已完成",ISNUMBER(G83),G83&lt;=项目驾驶舱!$B$3+14),"是","否"))</f>
        <v>否</v>
      </c>
      <c r="B83" s="6" t="str">
        <f>项目总控台账!A82</f>
        <v>T079</v>
      </c>
      <c r="C83" s="6" t="str">
        <f>IF(AND(项目总控台账!E82&lt;&gt;"",项目总控台账!E82&lt;&gt;"/"),项目总控台账!E82,IF(AND(项目总控台账!D82&lt;&gt;"",项目总控台账!D82&lt;&gt;"/"),项目总控台账!D82,项目总控台账!C82))</f>
        <v>结算数据合同签订校验</v>
      </c>
      <c r="D83" s="6" t="str">
        <f>项目总控台账!F82</f>
        <v>第二批次</v>
      </c>
      <c r="E83" s="6" t="str">
        <f>项目总控台账!G82</f>
        <v>未开始</v>
      </c>
      <c r="F83" s="6" t="str">
        <f>项目总控台账!H82</f>
        <v>郑士旺</v>
      </c>
      <c r="G83" s="17">
        <f>项目总控台账!J82</f>
        <v>46339</v>
      </c>
      <c r="H83" s="6">
        <f>IF(G83="","",G83-项目驾驶舱!$B$3)</f>
        <v>71</v>
      </c>
      <c r="I83" s="6" t="str">
        <f>项目总控台账!AC82</f>
        <v>正常</v>
      </c>
      <c r="J83" s="6" t="str">
        <f>项目总控台账!AD82</f>
        <v>69</v>
      </c>
      <c r="K83" s="6" t="str">
        <f t="shared" si="1"/>
        <v/>
      </c>
      <c r="L83" s="9"/>
      <c r="M83" s="8"/>
    </row>
    <row r="84" spans="1:13">
      <c r="A84" s="6" t="str">
        <f>IF(B84="","",IF(AND(E84&lt;&gt;"已完成",ISNUMBER(G84),G84&lt;=项目驾驶舱!$B$3+14),"是","否"))</f>
        <v>是</v>
      </c>
      <c r="B84" s="6" t="str">
        <f>项目总控台账!A83</f>
        <v>T080</v>
      </c>
      <c r="C84" s="6" t="str">
        <f>IF(AND(项目总控台账!E83&lt;&gt;"",项目总控台账!E83&lt;&gt;"/"),项目总控台账!E83,IF(AND(项目总控台账!D83&lt;&gt;"",项目总控台账!D83&lt;&gt;"/"),项目总控台账!D83,项目总控台账!C83))</f>
        <v>合同校验结果查询</v>
      </c>
      <c r="D84" s="6" t="str">
        <f>项目总控台账!F83</f>
        <v>第二批次</v>
      </c>
      <c r="E84" s="6" t="str">
        <f>项目总控台账!G83</f>
        <v>未开始</v>
      </c>
      <c r="F84" s="6" t="str">
        <f>项目总控台账!H83</f>
        <v>郑士旺</v>
      </c>
      <c r="G84" s="17">
        <f>项目总控台账!J83</f>
        <v>46261</v>
      </c>
      <c r="H84" s="6">
        <f>IF(G84="","",G84-项目驾驶舱!$B$3)</f>
        <v>-7</v>
      </c>
      <c r="I84" s="6" t="str">
        <f>项目总控台账!AC83</f>
        <v>已延期</v>
      </c>
      <c r="J84" s="6" t="str">
        <f>项目总控台账!AD83</f>
        <v>69</v>
      </c>
      <c r="K84" s="6" t="str">
        <f t="shared" si="1"/>
        <v>立即确认延期原因、影响及补救计划</v>
      </c>
      <c r="L84" s="9"/>
      <c r="M84" s="8"/>
    </row>
    <row r="85" spans="1:13">
      <c r="A85" s="6" t="str">
        <f>IF(B85="","",IF(AND(E85&lt;&gt;"已完成",ISNUMBER(G85),G85&lt;=项目驾驶舱!$B$3+14),"是","否"))</f>
        <v>否</v>
      </c>
      <c r="B85" s="6" t="str">
        <f>项目总控台账!A84</f>
        <v>T081</v>
      </c>
      <c r="C85" s="6" t="str">
        <f>IF(AND(项目总控台账!E84&lt;&gt;"",项目总控台账!E84&lt;&gt;"/"),项目总控台账!E84,IF(AND(项目总控台账!D84&lt;&gt;"",项目总控台账!D84&lt;&gt;"/"),项目总控台账!D84,项目总控台账!C84))</f>
        <v>数据对接</v>
      </c>
      <c r="D85" s="6" t="str">
        <f>项目总控台账!F84</f>
        <v>第二批次</v>
      </c>
      <c r="E85" s="6" t="str">
        <f>项目总控台账!G84</f>
        <v>未开始</v>
      </c>
      <c r="F85" s="6" t="str">
        <f>项目总控台账!H84</f>
        <v>郑士旺</v>
      </c>
      <c r="G85" s="17">
        <f>项目总控台账!J84</f>
        <v>46353</v>
      </c>
      <c r="H85" s="6">
        <f>IF(G85="","",G85-项目驾驶舱!$B$3)</f>
        <v>85</v>
      </c>
      <c r="I85" s="6" t="str">
        <f>项目总控台账!AC84</f>
        <v>正常</v>
      </c>
      <c r="J85" s="6" t="str">
        <f>项目总控台账!AD84</f>
        <v>69</v>
      </c>
      <c r="K85" s="6" t="str">
        <f t="shared" si="1"/>
        <v/>
      </c>
      <c r="L85" s="9"/>
      <c r="M85" s="8"/>
    </row>
    <row r="86" spans="1:13">
      <c r="A86" s="6" t="str">
        <f>IF(B86="","",IF(AND(E86&lt;&gt;"已完成",ISNUMBER(G86),G86&lt;=项目驾驶舱!$B$3+14),"是","否"))</f>
        <v>是</v>
      </c>
      <c r="B86" s="6" t="str">
        <f>项目总控台账!A85</f>
        <v>T082</v>
      </c>
      <c r="C86" s="6" t="str">
        <f>IF(AND(项目总控台账!E85&lt;&gt;"",项目总控台账!E85&lt;&gt;"/"),项目总控台账!E85,IF(AND(项目总控台账!D85&lt;&gt;"",项目总控台账!D85&lt;&gt;"/"),项目总控台账!D85,项目总控台账!C85))</f>
        <v>数据展示</v>
      </c>
      <c r="D86" s="6" t="str">
        <f>项目总控台账!F85</f>
        <v>第二批次</v>
      </c>
      <c r="E86" s="6" t="str">
        <f>项目总控台账!G85</f>
        <v>未开始</v>
      </c>
      <c r="F86" s="6" t="str">
        <f>项目总控台账!H85</f>
        <v>郑士旺</v>
      </c>
      <c r="G86" s="17">
        <f>项目总控台账!J85</f>
        <v>46224</v>
      </c>
      <c r="H86" s="6">
        <f>IF(G86="","",G86-项目驾驶舱!$B$3)</f>
        <v>-44</v>
      </c>
      <c r="I86" s="6" t="str">
        <f>项目总控台账!AC85</f>
        <v>已延期</v>
      </c>
      <c r="J86" s="6" t="str">
        <f>项目总控台账!AD85</f>
        <v>69</v>
      </c>
      <c r="K86" s="6" t="str">
        <f t="shared" si="1"/>
        <v>立即确认延期原因、影响及补救计划</v>
      </c>
      <c r="L86" s="9"/>
      <c r="M86" s="8"/>
    </row>
    <row r="87" spans="1:13">
      <c r="A87" s="6" t="str">
        <f>IF(B87="","",IF(AND(E87&lt;&gt;"已完成",ISNUMBER(G87),G87&lt;=项目驾驶舱!$B$3+14),"是","否"))</f>
        <v>是</v>
      </c>
      <c r="B87" s="6" t="str">
        <f>项目总控台账!A86</f>
        <v>T083</v>
      </c>
      <c r="C87" s="6" t="str">
        <f>IF(AND(项目总控台账!E86&lt;&gt;"",项目总控台账!E86&lt;&gt;"/"),项目总控台账!E86,IF(AND(项目总控台账!D86&lt;&gt;"",项目总控台账!D86&lt;&gt;"/"),项目总控台账!D86,项目总控台账!C86))</f>
        <v>数据对接</v>
      </c>
      <c r="D87" s="6" t="str">
        <f>项目总控台账!F86</f>
        <v>第二批次</v>
      </c>
      <c r="E87" s="6" t="str">
        <f>项目总控台账!G86</f>
        <v>未开始</v>
      </c>
      <c r="F87" s="6" t="str">
        <f>项目总控台账!H86</f>
        <v>郑士旺</v>
      </c>
      <c r="G87" s="17">
        <f>项目总控台账!J86</f>
        <v>46224</v>
      </c>
      <c r="H87" s="6">
        <f>IF(G87="","",G87-项目驾驶舱!$B$3)</f>
        <v>-44</v>
      </c>
      <c r="I87" s="6" t="str">
        <f>项目总控台账!AC86</f>
        <v>已延期</v>
      </c>
      <c r="J87" s="6" t="str">
        <f>项目总控台账!AD86</f>
        <v>69</v>
      </c>
      <c r="K87" s="6" t="str">
        <f t="shared" si="1"/>
        <v>立即确认延期原因、影响及补救计划</v>
      </c>
      <c r="L87" s="9"/>
      <c r="M87" s="8"/>
    </row>
    <row r="88" spans="1:13">
      <c r="A88" s="6" t="str">
        <f>IF(B88="","",IF(AND(E88&lt;&gt;"已完成",ISNUMBER(G88),G88&lt;=项目驾驶舱!$B$3+14),"是","否"))</f>
        <v>是</v>
      </c>
      <c r="B88" s="6" t="str">
        <f>项目总控台账!A87</f>
        <v>T084</v>
      </c>
      <c r="C88" s="6" t="str">
        <f>IF(AND(项目总控台账!E87&lt;&gt;"",项目总控台账!E87&lt;&gt;"/"),项目总控台账!E87,IF(AND(项目总控台账!D87&lt;&gt;"",项目总控台账!D87&lt;&gt;"/"),项目总控台账!D87,项目总控台账!C87))</f>
        <v>数据产生</v>
      </c>
      <c r="D88" s="6" t="str">
        <f>项目总控台账!F87</f>
        <v>第二批次</v>
      </c>
      <c r="E88" s="6" t="str">
        <f>项目总控台账!G87</f>
        <v>未开始</v>
      </c>
      <c r="F88" s="6" t="str">
        <f>项目总控台账!H87</f>
        <v>郑士旺</v>
      </c>
      <c r="G88" s="17">
        <f>项目总控台账!J87</f>
        <v>46224</v>
      </c>
      <c r="H88" s="6">
        <f>IF(G88="","",G88-项目驾驶舱!$B$3)</f>
        <v>-44</v>
      </c>
      <c r="I88" s="6" t="str">
        <f>项目总控台账!AC87</f>
        <v>已延期</v>
      </c>
      <c r="J88" s="6" t="str">
        <f>项目总控台账!AD87</f>
        <v>69</v>
      </c>
      <c r="K88" s="6" t="str">
        <f t="shared" si="1"/>
        <v>立即确认延期原因、影响及补救计划</v>
      </c>
      <c r="L88" s="9"/>
      <c r="M88" s="8"/>
    </row>
    <row r="89" spans="1:13">
      <c r="A89" s="6" t="str">
        <f>IF(B89="","",IF(AND(E89&lt;&gt;"已完成",ISNUMBER(G89),G89&lt;=项目驾驶舱!$B$3+14),"是","否"))</f>
        <v>是</v>
      </c>
      <c r="B89" s="6" t="str">
        <f>项目总控台账!A88</f>
        <v>T085</v>
      </c>
      <c r="C89" s="6" t="str">
        <f>IF(AND(项目总控台账!E88&lt;&gt;"",项目总控台账!E88&lt;&gt;"/"),项目总控台账!E88,IF(AND(项目总控台账!D88&lt;&gt;"",项目总控台账!D88&lt;&gt;"/"),项目总控台账!D88,项目总控台账!C88))</f>
        <v>数据对接</v>
      </c>
      <c r="D89" s="6" t="str">
        <f>项目总控台账!F88</f>
        <v>第二批次</v>
      </c>
      <c r="E89" s="6" t="str">
        <f>项目总控台账!G88</f>
        <v>未开始</v>
      </c>
      <c r="F89" s="6" t="str">
        <f>项目总控台账!H88</f>
        <v>郑士旺</v>
      </c>
      <c r="G89" s="17">
        <f>项目总控台账!J88</f>
        <v>46224</v>
      </c>
      <c r="H89" s="6">
        <f>IF(G89="","",G89-项目驾驶舱!$B$3)</f>
        <v>-44</v>
      </c>
      <c r="I89" s="6" t="str">
        <f>项目总控台账!AC88</f>
        <v>已延期</v>
      </c>
      <c r="J89" s="6" t="str">
        <f>项目总控台账!AD88</f>
        <v>69</v>
      </c>
      <c r="K89" s="6" t="str">
        <f t="shared" si="1"/>
        <v>立即确认延期原因、影响及补救计划</v>
      </c>
      <c r="L89" s="9"/>
      <c r="M89" s="8"/>
    </row>
    <row r="90" spans="1:13">
      <c r="A90" s="6" t="str">
        <f>IF(B90="","",IF(AND(E90&lt;&gt;"已完成",ISNUMBER(G90),G90&lt;=项目驾驶舱!$B$3+14),"是","否"))</f>
        <v>是</v>
      </c>
      <c r="B90" s="6" t="str">
        <f>项目总控台账!A89</f>
        <v>T086</v>
      </c>
      <c r="C90" s="6" t="str">
        <f>IF(AND(项目总控台账!E89&lt;&gt;"",项目总控台账!E89&lt;&gt;"/"),项目总控台账!E89,IF(AND(项目总控台账!D89&lt;&gt;"",项目总控台账!D89&lt;&gt;"/"),项目总控台账!D89,项目总控台账!C89))</f>
        <v>数据展示</v>
      </c>
      <c r="D90" s="6" t="str">
        <f>项目总控台账!F89</f>
        <v>第二批次</v>
      </c>
      <c r="E90" s="6" t="str">
        <f>项目总控台账!G89</f>
        <v>未开始</v>
      </c>
      <c r="F90" s="6" t="str">
        <f>项目总控台账!H89</f>
        <v>郑士旺</v>
      </c>
      <c r="G90" s="17">
        <f>项目总控台账!J89</f>
        <v>46224</v>
      </c>
      <c r="H90" s="6">
        <f>IF(G90="","",G90-项目驾驶舱!$B$3)</f>
        <v>-44</v>
      </c>
      <c r="I90" s="6" t="str">
        <f>项目总控台账!AC89</f>
        <v>已延期</v>
      </c>
      <c r="J90" s="6" t="str">
        <f>项目总控台账!AD89</f>
        <v>69</v>
      </c>
      <c r="K90" s="6" t="str">
        <f t="shared" si="1"/>
        <v>立即确认延期原因、影响及补救计划</v>
      </c>
      <c r="L90" s="9"/>
      <c r="M90" s="8"/>
    </row>
    <row r="91" spans="1:13">
      <c r="A91" s="6" t="str">
        <f>IF(B91="","",IF(AND(E91&lt;&gt;"已完成",ISNUMBER(G91),G91&lt;=项目驾驶舱!$B$3+14),"是","否"))</f>
        <v>是</v>
      </c>
      <c r="B91" s="6" t="str">
        <f>项目总控台账!A90</f>
        <v>T087</v>
      </c>
      <c r="C91" s="6" t="str">
        <f>IF(AND(项目总控台账!E90&lt;&gt;"",项目总控台账!E90&lt;&gt;"/"),项目总控台账!E90,IF(AND(项目总控台账!D90&lt;&gt;"",项目总控台账!D90&lt;&gt;"/"),项目总控台账!D90,项目总控台账!C90))</f>
        <v>数据对接</v>
      </c>
      <c r="D91" s="6" t="str">
        <f>项目总控台账!F90</f>
        <v>第二批次</v>
      </c>
      <c r="E91" s="6" t="str">
        <f>项目总控台账!G90</f>
        <v>未开始</v>
      </c>
      <c r="F91" s="6" t="str">
        <f>项目总控台账!H90</f>
        <v>郑士旺</v>
      </c>
      <c r="G91" s="17">
        <f>项目总控台账!J90</f>
        <v>46224</v>
      </c>
      <c r="H91" s="6">
        <f>IF(G91="","",G91-项目驾驶舱!$B$3)</f>
        <v>-44</v>
      </c>
      <c r="I91" s="6" t="str">
        <f>项目总控台账!AC90</f>
        <v>已延期</v>
      </c>
      <c r="J91" s="6" t="str">
        <f>项目总控台账!AD90</f>
        <v>69</v>
      </c>
      <c r="K91" s="6" t="str">
        <f t="shared" si="1"/>
        <v>立即确认延期原因、影响及补救计划</v>
      </c>
      <c r="L91" s="9"/>
      <c r="M91" s="8"/>
    </row>
    <row r="92" spans="1:13">
      <c r="A92" s="6" t="str">
        <f>IF(B92="","",IF(AND(E92&lt;&gt;"已完成",ISNUMBER(G92),G92&lt;=项目驾驶舱!$B$3+14),"是","否"))</f>
        <v>否</v>
      </c>
      <c r="B92" s="6" t="str">
        <f>项目总控台账!A91</f>
        <v>T088</v>
      </c>
      <c r="C92" s="6" t="str">
        <f>IF(AND(项目总控台账!E91&lt;&gt;"",项目总控台账!E91&lt;&gt;"/"),项目总控台账!E91,IF(AND(项目总控台账!D91&lt;&gt;"",项目总控台账!D91&lt;&gt;"/"),项目总控台账!D91,项目总控台账!C91))</f>
        <v>数据展示</v>
      </c>
      <c r="D92" s="6" t="str">
        <f>项目总控台账!F91</f>
        <v>第二批次</v>
      </c>
      <c r="E92" s="6" t="str">
        <f>项目总控台账!G91</f>
        <v>未开始</v>
      </c>
      <c r="F92" s="6" t="str">
        <f>项目总控台账!H91</f>
        <v>郑士旺</v>
      </c>
      <c r="G92" s="17">
        <f>项目总控台账!J91</f>
        <v>46353</v>
      </c>
      <c r="H92" s="6">
        <f>IF(G92="","",G92-项目驾驶舱!$B$3)</f>
        <v>85</v>
      </c>
      <c r="I92" s="6" t="str">
        <f>项目总控台账!AC91</f>
        <v>正常</v>
      </c>
      <c r="J92" s="6" t="str">
        <f>项目总控台账!AD91</f>
        <v>69</v>
      </c>
      <c r="K92" s="6" t="str">
        <f t="shared" si="1"/>
        <v/>
      </c>
      <c r="L92" s="9"/>
      <c r="M92" s="8"/>
    </row>
    <row r="93" spans="1:13">
      <c r="A93" s="6" t="str">
        <f>IF(B93="","",IF(AND(E93&lt;&gt;"已完成",ISNUMBER(G93),G93&lt;=项目驾驶舱!$B$3+14),"是","否"))</f>
        <v>否</v>
      </c>
      <c r="B93" s="6" t="str">
        <f>项目总控台账!A92</f>
        <v>T089</v>
      </c>
      <c r="C93" s="6" t="str">
        <f>IF(AND(项目总控台账!E92&lt;&gt;"",项目总控台账!E92&lt;&gt;"/"),项目总控台账!E92,IF(AND(项目总控台账!D92&lt;&gt;"",项目总控台账!D92&lt;&gt;"/"),项目总控台账!D92,项目总控台账!C92))</f>
        <v>新增采样服务费（外贸）</v>
      </c>
      <c r="D93" s="6" t="str">
        <f>项目总控台账!F92</f>
        <v>第二批次</v>
      </c>
      <c r="E93" s="6" t="str">
        <f>项目总控台账!G92</f>
        <v>未开始</v>
      </c>
      <c r="F93" s="6" t="str">
        <f>项目总控台账!H92</f>
        <v>郑士旺</v>
      </c>
      <c r="G93" s="17">
        <f>项目总控台账!J92</f>
        <v>46353</v>
      </c>
      <c r="H93" s="6">
        <f>IF(G93="","",G93-项目驾驶舱!$B$3)</f>
        <v>85</v>
      </c>
      <c r="I93" s="6" t="str">
        <f>项目总控台账!AC92</f>
        <v>正常</v>
      </c>
      <c r="J93" s="6" t="str">
        <f>项目总控台账!AD92</f>
        <v>69</v>
      </c>
      <c r="K93" s="6" t="str">
        <f t="shared" si="1"/>
        <v/>
      </c>
      <c r="L93" s="9"/>
      <c r="M93" s="8"/>
    </row>
    <row r="94" spans="1:13">
      <c r="A94" s="6" t="str">
        <f>IF(B94="","",IF(AND(E94&lt;&gt;"已完成",ISNUMBER(G94),G94&lt;=项目驾驶舱!$B$3+14),"是","否"))</f>
        <v>否</v>
      </c>
      <c r="B94" s="6" t="str">
        <f>项目总控台账!A93</f>
        <v>T090</v>
      </c>
      <c r="C94" s="6" t="str">
        <f>IF(AND(项目总控台账!E93&lt;&gt;"",项目总控台账!E93&lt;&gt;"/"),项目总控台账!E93,IF(AND(项目总控台账!D93&lt;&gt;"",项目总控台账!D93&lt;&gt;"/"),项目总控台账!D93,项目总控台账!C93))</f>
        <v>审批采样服务费（外贸）</v>
      </c>
      <c r="D94" s="6" t="str">
        <f>项目总控台账!F93</f>
        <v>第二批次</v>
      </c>
      <c r="E94" s="6" t="str">
        <f>项目总控台账!G93</f>
        <v>未开始</v>
      </c>
      <c r="F94" s="6" t="str">
        <f>项目总控台账!H93</f>
        <v>郑士旺</v>
      </c>
      <c r="G94" s="17">
        <f>项目总控台账!J93</f>
        <v>46353</v>
      </c>
      <c r="H94" s="6">
        <f>IF(G94="","",G94-项目驾驶舱!$B$3)</f>
        <v>85</v>
      </c>
      <c r="I94" s="6" t="str">
        <f>项目总控台账!AC93</f>
        <v>正常</v>
      </c>
      <c r="J94" s="6" t="str">
        <f>项目总控台账!AD93</f>
        <v>69</v>
      </c>
      <c r="K94" s="6" t="str">
        <f t="shared" si="1"/>
        <v/>
      </c>
      <c r="L94" s="9"/>
      <c r="M94" s="8"/>
    </row>
    <row r="95" spans="1:13">
      <c r="A95" s="6" t="str">
        <f>IF(B95="","",IF(AND(E95&lt;&gt;"已完成",ISNUMBER(G95),G95&lt;=项目驾驶舱!$B$3+14),"是","否"))</f>
        <v>否</v>
      </c>
      <c r="B95" s="6" t="str">
        <f>项目总控台账!A94</f>
        <v>T091</v>
      </c>
      <c r="C95" s="6" t="str">
        <f>IF(AND(项目总控台账!E94&lt;&gt;"",项目总控台账!E94&lt;&gt;"/"),项目总控台账!E94,IF(AND(项目总控台账!D94&lt;&gt;"",项目总控台账!D94&lt;&gt;"/"),项目总控台账!D94,项目总控台账!C94))</f>
        <v>单据签章</v>
      </c>
      <c r="D95" s="6" t="str">
        <f>项目总控台账!F94</f>
        <v>第二批次</v>
      </c>
      <c r="E95" s="6" t="str">
        <f>项目总控台账!G94</f>
        <v>未开始</v>
      </c>
      <c r="F95" s="6" t="str">
        <f>项目总控台账!H94</f>
        <v>郑士旺</v>
      </c>
      <c r="G95" s="17">
        <f>项目总控台账!J94</f>
        <v>46353</v>
      </c>
      <c r="H95" s="6">
        <f>IF(G95="","",G95-项目驾驶舱!$B$3)</f>
        <v>85</v>
      </c>
      <c r="I95" s="6" t="str">
        <f>项目总控台账!AC94</f>
        <v>正常</v>
      </c>
      <c r="J95" s="6" t="str">
        <f>项目总控台账!AD94</f>
        <v>69</v>
      </c>
      <c r="K95" s="6" t="str">
        <f t="shared" si="1"/>
        <v/>
      </c>
      <c r="L95" s="9"/>
      <c r="M95" s="8"/>
    </row>
    <row r="96" spans="1:13">
      <c r="A96" s="6" t="str">
        <f>IF(B96="","",IF(AND(E96&lt;&gt;"已完成",ISNUMBER(G96),G96&lt;=项目驾驶舱!$B$3+14),"是","否"))</f>
        <v>否</v>
      </c>
      <c r="B96" s="6" t="str">
        <f>项目总控台账!A95</f>
        <v>T092</v>
      </c>
      <c r="C96" s="6" t="str">
        <f>IF(AND(项目总控台账!E95&lt;&gt;"",项目总控台账!E95&lt;&gt;"/"),项目总控台账!E95,IF(AND(项目总控台账!D95&lt;&gt;"",项目总控台账!D95&lt;&gt;"/"),项目总控台账!D95,项目总控台账!C95))</f>
        <v>数据推送</v>
      </c>
      <c r="D96" s="6" t="str">
        <f>项目总控台账!F95</f>
        <v>第二批次</v>
      </c>
      <c r="E96" s="6" t="str">
        <f>项目总控台账!G95</f>
        <v>未开始</v>
      </c>
      <c r="F96" s="6" t="str">
        <f>项目总控台账!H95</f>
        <v>郑士旺</v>
      </c>
      <c r="G96" s="17">
        <f>项目总控台账!J95</f>
        <v>46353</v>
      </c>
      <c r="H96" s="6">
        <f>IF(G96="","",G96-项目驾驶舱!$B$3)</f>
        <v>85</v>
      </c>
      <c r="I96" s="6" t="str">
        <f>项目总控台账!AC95</f>
        <v>正常</v>
      </c>
      <c r="J96" s="6" t="str">
        <f>项目总控台账!AD95</f>
        <v>69</v>
      </c>
      <c r="K96" s="6" t="str">
        <f t="shared" si="1"/>
        <v/>
      </c>
      <c r="L96" s="9"/>
      <c r="M96" s="8"/>
    </row>
    <row r="97" spans="1:13">
      <c r="A97" s="6" t="str">
        <f>IF(B97="","",IF(AND(E97&lt;&gt;"已完成",ISNUMBER(G97),G97&lt;=项目驾驶舱!$B$3+14),"是","否"))</f>
        <v>否</v>
      </c>
      <c r="B97" s="6" t="str">
        <f>项目总控台账!A96</f>
        <v>T093</v>
      </c>
      <c r="C97" s="6" t="str">
        <f>IF(AND(项目总控台账!E96&lt;&gt;"",项目总控台账!E96&lt;&gt;"/"),项目总控台账!E96,IF(AND(项目总控台账!D96&lt;&gt;"",项目总控台账!D96&lt;&gt;"/"),项目总控台账!D96,项目总控台账!C96))</f>
        <v>数据对接</v>
      </c>
      <c r="D97" s="6" t="str">
        <f>项目总控台账!F96</f>
        <v>第二批次</v>
      </c>
      <c r="E97" s="6" t="str">
        <f>项目总控台账!G96</f>
        <v>未开始</v>
      </c>
      <c r="F97" s="6" t="str">
        <f>项目总控台账!H96</f>
        <v>郑士旺</v>
      </c>
      <c r="G97" s="17">
        <f>项目总控台账!J96</f>
        <v>46353</v>
      </c>
      <c r="H97" s="6">
        <f>IF(G97="","",G97-项目驾驶舱!$B$3)</f>
        <v>85</v>
      </c>
      <c r="I97" s="6" t="str">
        <f>项目总控台账!AC96</f>
        <v>正常</v>
      </c>
      <c r="J97" s="6" t="str">
        <f>项目总控台账!AD96</f>
        <v>69</v>
      </c>
      <c r="K97" s="6" t="str">
        <f t="shared" si="1"/>
        <v/>
      </c>
      <c r="L97" s="9"/>
      <c r="M97" s="8"/>
    </row>
    <row r="98" spans="1:13">
      <c r="A98" s="6" t="str">
        <f>IF(B98="","",IF(AND(E98&lt;&gt;"已完成",ISNUMBER(G98),G98&lt;=项目驾驶舱!$B$3+14),"是","否"))</f>
        <v>否</v>
      </c>
      <c r="B98" s="6" t="str">
        <f>项目总控台账!A97</f>
        <v>T094</v>
      </c>
      <c r="C98" s="6" t="str">
        <f>IF(AND(项目总控台账!E97&lt;&gt;"",项目总控台账!E97&lt;&gt;"/"),项目总控台账!E97,IF(AND(项目总控台账!D97&lt;&gt;"",项目总控台账!D97&lt;&gt;"/"),项目总控台账!D97,项目总控台账!C97))</f>
        <v>数据展示</v>
      </c>
      <c r="D98" s="6" t="str">
        <f>项目总控台账!F97</f>
        <v>第二批次</v>
      </c>
      <c r="E98" s="6" t="str">
        <f>项目总控台账!G97</f>
        <v>未开始</v>
      </c>
      <c r="F98" s="6" t="str">
        <f>项目总控台账!H97</f>
        <v>郑士旺</v>
      </c>
      <c r="G98" s="17">
        <f>项目总控台账!J97</f>
        <v>46353</v>
      </c>
      <c r="H98" s="6">
        <f>IF(G98="","",G98-项目驾驶舱!$B$3)</f>
        <v>85</v>
      </c>
      <c r="I98" s="6" t="str">
        <f>项目总控台账!AC97</f>
        <v>正常</v>
      </c>
      <c r="J98" s="6" t="str">
        <f>项目总控台账!AD97</f>
        <v>69</v>
      </c>
      <c r="K98" s="6" t="str">
        <f t="shared" si="1"/>
        <v/>
      </c>
      <c r="L98" s="9"/>
      <c r="M98" s="8"/>
    </row>
    <row r="99" spans="1:13">
      <c r="A99" s="6" t="str">
        <f>IF(B99="","",IF(AND(E99&lt;&gt;"已完成",ISNUMBER(G99),G99&lt;=项目驾驶舱!$B$3+14),"是","否"))</f>
        <v>是</v>
      </c>
      <c r="B99" s="6" t="str">
        <f>项目总控台账!A98</f>
        <v>T095</v>
      </c>
      <c r="C99" s="6" t="str">
        <f>IF(AND(项目总控台账!E98&lt;&gt;"",项目总控台账!E98&lt;&gt;"/"),项目总控台账!E98,IF(AND(项目总控台账!D98&lt;&gt;"",项目总控台账!D98&lt;&gt;"/"),项目总控台账!D98,项目总控台账!C98))</f>
        <v>自动生成堆存费</v>
      </c>
      <c r="D99" s="6" t="str">
        <f>项目总控台账!F98</f>
        <v>第一批次</v>
      </c>
      <c r="E99" s="6" t="str">
        <f>项目总控台账!G98</f>
        <v>进行中</v>
      </c>
      <c r="F99" s="6" t="str">
        <f>项目总控台账!H98</f>
        <v>郑士旺</v>
      </c>
      <c r="G99" s="17">
        <f>项目总控台账!J98</f>
        <v>46234</v>
      </c>
      <c r="H99" s="6">
        <f>IF(G99="","",G99-项目驾驶舱!$B$3)</f>
        <v>-34</v>
      </c>
      <c r="I99" s="6" t="str">
        <f>项目总控台账!AC98</f>
        <v>已延期</v>
      </c>
      <c r="J99" s="6" t="str">
        <f>项目总控台账!AD98</f>
        <v>69</v>
      </c>
      <c r="K99" s="6" t="str">
        <f t="shared" si="1"/>
        <v>立即确认延期原因、影响及补救计划</v>
      </c>
      <c r="L99" s="9"/>
      <c r="M99" s="8"/>
    </row>
    <row r="100" spans="1:13">
      <c r="A100" s="6" t="str">
        <f>IF(B100="","",IF(AND(E100&lt;&gt;"已完成",ISNUMBER(G100),G100&lt;=项目驾驶舱!$B$3+14),"是","否"))</f>
        <v>否</v>
      </c>
      <c r="B100" s="6" t="str">
        <f>项目总控台账!A99</f>
        <v>T096</v>
      </c>
      <c r="C100" s="6" t="str">
        <f>IF(AND(项目总控台账!E99&lt;&gt;"",项目总控台账!E99&lt;&gt;"/"),项目总控台账!E99,IF(AND(项目总控台账!D99&lt;&gt;"",项目总控台账!D99&lt;&gt;"/"),项目总控台账!D99,项目总控台账!C99))</f>
        <v>自动生成装船港杂费</v>
      </c>
      <c r="D100" s="6" t="str">
        <f>项目总控台账!F99</f>
        <v>第一批次</v>
      </c>
      <c r="E100" s="6" t="str">
        <f>项目总控台账!G99</f>
        <v>已完成</v>
      </c>
      <c r="F100" s="6" t="str">
        <f>项目总控台账!H99</f>
        <v>郑士旺</v>
      </c>
      <c r="G100" s="17">
        <f>项目总控台账!J99</f>
        <v>46261</v>
      </c>
      <c r="H100" s="6">
        <f>IF(G100="","",G100-项目驾驶舱!$B$3)</f>
        <v>-7</v>
      </c>
      <c r="I100" s="6" t="str">
        <f>项目总控台账!AC99</f>
        <v>正常</v>
      </c>
      <c r="J100" s="6" t="str">
        <f>项目总控台账!AD99</f>
        <v>69</v>
      </c>
      <c r="K100" s="6" t="str">
        <f t="shared" si="1"/>
        <v/>
      </c>
      <c r="L100" s="9"/>
      <c r="M100" s="8"/>
    </row>
    <row r="101" spans="1:13">
      <c r="A101" s="6" t="str">
        <f>IF(B101="","",IF(AND(E101&lt;&gt;"已完成",ISNUMBER(G101),G101&lt;=项目驾驶舱!$B$3+14),"是","否"))</f>
        <v>否</v>
      </c>
      <c r="B101" s="6" t="str">
        <f>项目总控台账!A100</f>
        <v>T097</v>
      </c>
      <c r="C101" s="6" t="str">
        <f>IF(AND(项目总控台账!E100&lt;&gt;"",项目总控台账!E100&lt;&gt;"/"),项目总控台账!E100,IF(AND(项目总控台账!D100&lt;&gt;"",项目总控台账!D100&lt;&gt;"/"),项目总控台账!D100,项目总控台账!C100))</f>
        <v>自动生成租赁费</v>
      </c>
      <c r="D101" s="6" t="str">
        <f>项目总控台账!F100</f>
        <v>第一批次</v>
      </c>
      <c r="E101" s="6" t="str">
        <f>项目总控台账!G100</f>
        <v>已完成</v>
      </c>
      <c r="F101" s="6" t="str">
        <f>项目总控台账!H100</f>
        <v>郑士旺</v>
      </c>
      <c r="G101" s="17">
        <f>项目总控台账!J100</f>
        <v>46234</v>
      </c>
      <c r="H101" s="6">
        <f>IF(G101="","",G101-项目驾驶舱!$B$3)</f>
        <v>-34</v>
      </c>
      <c r="I101" s="6" t="str">
        <f>项目总控台账!AC100</f>
        <v>正常</v>
      </c>
      <c r="J101" s="6" t="str">
        <f>项目总控台账!AD100</f>
        <v>69</v>
      </c>
      <c r="K101" s="6" t="str">
        <f t="shared" si="1"/>
        <v/>
      </c>
      <c r="L101" s="9"/>
      <c r="M101" s="8"/>
    </row>
    <row r="102" spans="1:13">
      <c r="A102" s="6" t="str">
        <f>IF(B102="","",IF(AND(E102&lt;&gt;"已完成",ISNUMBER(G102),G102&lt;=项目驾驶舱!$B$3+14),"是","否"))</f>
        <v>否</v>
      </c>
      <c r="B102" s="6" t="str">
        <f>项目总控台账!A101</f>
        <v>T098</v>
      </c>
      <c r="C102" s="6" t="str">
        <f>IF(AND(项目总控台账!E101&lt;&gt;"",项目总控台账!E101&lt;&gt;"/"),项目总控台账!E101,IF(AND(项目总控台账!D101&lt;&gt;"",项目总控台账!D101&lt;&gt;"/"),项目总控台账!D101,项目总控台账!C101))</f>
        <v>优化装卸费新增</v>
      </c>
      <c r="D102" s="6" t="str">
        <f>项目总控台账!F101</f>
        <v>第一批次</v>
      </c>
      <c r="E102" s="6" t="str">
        <f>项目总控台账!G101</f>
        <v>已完成</v>
      </c>
      <c r="F102" s="6" t="str">
        <f>项目总控台账!H101</f>
        <v>郑士旺</v>
      </c>
      <c r="G102" s="17">
        <f>项目总控台账!J101</f>
        <v>46224</v>
      </c>
      <c r="H102" s="6">
        <f>IF(G102="","",G102-项目驾驶舱!$B$3)</f>
        <v>-44</v>
      </c>
      <c r="I102" s="6" t="str">
        <f>项目总控台账!AC101</f>
        <v>正常</v>
      </c>
      <c r="J102" s="6" t="str">
        <f>项目总控台账!AD101</f>
        <v>69</v>
      </c>
      <c r="K102" s="6" t="str">
        <f t="shared" si="1"/>
        <v/>
      </c>
      <c r="L102" s="9"/>
      <c r="M102" s="8"/>
    </row>
    <row r="103" spans="1:13">
      <c r="A103" s="6" t="str">
        <f>IF(B103="","",IF(AND(E103&lt;&gt;"已完成",ISNUMBER(G103),G103&lt;=项目驾驶舱!$B$3+14),"是","否"))</f>
        <v>否</v>
      </c>
      <c r="B103" s="6" t="str">
        <f>项目总控台账!A102</f>
        <v>T099</v>
      </c>
      <c r="C103" s="6" t="str">
        <f>IF(AND(项目总控台账!E102&lt;&gt;"",项目总控台账!E102&lt;&gt;"/"),项目总控台账!E102,IF(AND(项目总控台账!D102&lt;&gt;"",项目总控台账!D102&lt;&gt;"/"),项目总控台账!D102,项目总控台账!C102))</f>
        <v>优化装卸费编辑</v>
      </c>
      <c r="D103" s="6" t="str">
        <f>项目总控台账!F102</f>
        <v>第一批次</v>
      </c>
      <c r="E103" s="6" t="str">
        <f>项目总控台账!G102</f>
        <v>已完成</v>
      </c>
      <c r="F103" s="6" t="str">
        <f>项目总控台账!H102</f>
        <v>郑士旺</v>
      </c>
      <c r="G103" s="17">
        <f>项目总控台账!J102</f>
        <v>46224</v>
      </c>
      <c r="H103" s="6">
        <f>IF(G103="","",G103-项目驾驶舱!$B$3)</f>
        <v>-44</v>
      </c>
      <c r="I103" s="6" t="str">
        <f>项目总控台账!AC102</f>
        <v>正常</v>
      </c>
      <c r="J103" s="6" t="str">
        <f>项目总控台账!AD102</f>
        <v>69</v>
      </c>
      <c r="K103" s="6" t="str">
        <f t="shared" si="1"/>
        <v/>
      </c>
      <c r="L103" s="9"/>
      <c r="M103" s="8"/>
    </row>
    <row r="104" spans="1:13">
      <c r="A104" s="6" t="str">
        <f>IF(B104="","",IF(AND(E104&lt;&gt;"已完成",ISNUMBER(G104),G104&lt;=项目驾驶舱!$B$3+14),"是","否"))</f>
        <v>否</v>
      </c>
      <c r="B104" s="6" t="str">
        <f>项目总控台账!A103</f>
        <v>T100</v>
      </c>
      <c r="C104" s="6" t="str">
        <f>IF(AND(项目总控台账!E103&lt;&gt;"",项目总控台账!E103&lt;&gt;"/"),项目总控台账!E103,IF(AND(项目总控台账!D103&lt;&gt;"",项目总控台账!D103&lt;&gt;"/"),项目总控台账!D103,项目总控台账!C103))</f>
        <v>创建行业资讯数据</v>
      </c>
      <c r="D104" s="6" t="str">
        <f>项目总控台账!F103</f>
        <v>第一批次</v>
      </c>
      <c r="E104" s="6" t="str">
        <f>项目总控台账!G103</f>
        <v>已完成</v>
      </c>
      <c r="F104" s="6" t="str">
        <f>项目总控台账!H103</f>
        <v>郑士旺</v>
      </c>
      <c r="G104" s="17">
        <f>项目总控台账!J103</f>
        <v>46224</v>
      </c>
      <c r="H104" s="6">
        <f>IF(G104="","",G104-项目驾驶舱!$B$3)</f>
        <v>-44</v>
      </c>
      <c r="I104" s="6" t="str">
        <f>项目总控台账!AC103</f>
        <v>正常</v>
      </c>
      <c r="J104" s="6" t="str">
        <f>项目总控台账!AD103</f>
        <v>69</v>
      </c>
      <c r="K104" s="6" t="str">
        <f t="shared" si="1"/>
        <v/>
      </c>
      <c r="L104" s="9"/>
      <c r="M104" s="8"/>
    </row>
    <row r="105" spans="1:13">
      <c r="A105" s="6" t="str">
        <f>IF(B105="","",IF(AND(E105&lt;&gt;"已完成",ISNUMBER(G105),G105&lt;=项目驾驶舱!$B$3+14),"是","否"))</f>
        <v>否</v>
      </c>
      <c r="B105" s="6" t="str">
        <f>项目总控台账!A104</f>
        <v>T101</v>
      </c>
      <c r="C105" s="6" t="str">
        <f>IF(AND(项目总控台账!E104&lt;&gt;"",项目总控台账!E104&lt;&gt;"/"),项目总控台账!E104,IF(AND(项目总控台账!D104&lt;&gt;"",项目总控台账!D104&lt;&gt;"/"),项目总控台账!D104,项目总控台账!C104))</f>
        <v>修改行业资讯数据</v>
      </c>
      <c r="D105" s="6" t="str">
        <f>项目总控台账!F104</f>
        <v>第一批次</v>
      </c>
      <c r="E105" s="6" t="str">
        <f>项目总控台账!G104</f>
        <v>已完成</v>
      </c>
      <c r="F105" s="6" t="str">
        <f>项目总控台账!H104</f>
        <v>郑士旺</v>
      </c>
      <c r="G105" s="17">
        <f>项目总控台账!J104</f>
        <v>46224</v>
      </c>
      <c r="H105" s="6">
        <f>IF(G105="","",G105-项目驾驶舱!$B$3)</f>
        <v>-44</v>
      </c>
      <c r="I105" s="6" t="str">
        <f>项目总控台账!AC104</f>
        <v>正常</v>
      </c>
      <c r="J105" s="6" t="str">
        <f>项目总控台账!AD104</f>
        <v>69</v>
      </c>
      <c r="K105" s="6" t="str">
        <f t="shared" si="1"/>
        <v/>
      </c>
      <c r="L105" s="9"/>
      <c r="M105" s="8"/>
    </row>
    <row r="106" spans="1:13">
      <c r="A106" s="6" t="str">
        <f>IF(B106="","",IF(AND(E106&lt;&gt;"已完成",ISNUMBER(G106),G106&lt;=项目驾驶舱!$B$3+14),"是","否"))</f>
        <v>否</v>
      </c>
      <c r="B106" s="6" t="str">
        <f>项目总控台账!A105</f>
        <v>T102</v>
      </c>
      <c r="C106" s="6" t="str">
        <f>IF(AND(项目总控台账!E105&lt;&gt;"",项目总控台账!E105&lt;&gt;"/"),项目总控台账!E105,IF(AND(项目总控台账!D105&lt;&gt;"",项目总控台账!D105&lt;&gt;"/"),项目总控台账!D105,项目总控台账!C105))</f>
        <v>删除行业资讯数据</v>
      </c>
      <c r="D106" s="6" t="str">
        <f>项目总控台账!F105</f>
        <v>第一批次</v>
      </c>
      <c r="E106" s="6" t="str">
        <f>项目总控台账!G105</f>
        <v>已完成</v>
      </c>
      <c r="F106" s="6" t="str">
        <f>项目总控台账!H105</f>
        <v>郑士旺</v>
      </c>
      <c r="G106" s="17">
        <f>项目总控台账!J105</f>
        <v>46224</v>
      </c>
      <c r="H106" s="6">
        <f>IF(G106="","",G106-项目驾驶舱!$B$3)</f>
        <v>-44</v>
      </c>
      <c r="I106" s="6" t="str">
        <f>项目总控台账!AC105</f>
        <v>正常</v>
      </c>
      <c r="J106" s="6" t="str">
        <f>项目总控台账!AD105</f>
        <v>69</v>
      </c>
      <c r="K106" s="6" t="str">
        <f t="shared" si="1"/>
        <v/>
      </c>
      <c r="L106" s="9"/>
      <c r="M106" s="8"/>
    </row>
    <row r="107" spans="1:13">
      <c r="A107" s="6" t="str">
        <f>IF(B107="","",IF(AND(E107&lt;&gt;"已完成",ISNUMBER(G107),G107&lt;=项目驾驶舱!$B$3+14),"是","否"))</f>
        <v>否</v>
      </c>
      <c r="B107" s="6" t="str">
        <f>项目总控台账!A106</f>
        <v>T103</v>
      </c>
      <c r="C107" s="6" t="str">
        <f>IF(AND(项目总控台账!E106&lt;&gt;"",项目总控台账!E106&lt;&gt;"/"),项目总控台账!E106,IF(AND(项目总控台账!D106&lt;&gt;"",项目总控台账!D106&lt;&gt;"/"),项目总控台账!D106,项目总控台账!C106))</f>
        <v>展示行业资讯数据</v>
      </c>
      <c r="D107" s="6" t="str">
        <f>项目总控台账!F106</f>
        <v>第一批次</v>
      </c>
      <c r="E107" s="6" t="str">
        <f>项目总控台账!G106</f>
        <v>已完成</v>
      </c>
      <c r="F107" s="6" t="str">
        <f>项目总控台账!H106</f>
        <v>郑士旺</v>
      </c>
      <c r="G107" s="17">
        <f>项目总控台账!J106</f>
        <v>46224</v>
      </c>
      <c r="H107" s="6">
        <f>IF(G107="","",G107-项目驾驶舱!$B$3)</f>
        <v>-44</v>
      </c>
      <c r="I107" s="6" t="str">
        <f>项目总控台账!AC106</f>
        <v>正常</v>
      </c>
      <c r="J107" s="6" t="str">
        <f>项目总控台账!AD106</f>
        <v>69</v>
      </c>
      <c r="K107" s="6" t="str">
        <f t="shared" si="1"/>
        <v/>
      </c>
      <c r="L107" s="9"/>
      <c r="M107" s="8"/>
    </row>
    <row r="108" spans="1:13">
      <c r="A108" s="6" t="str">
        <f>IF(B108="","",IF(AND(E108&lt;&gt;"已完成",ISNUMBER(G108),G108&lt;=项目驾驶舱!$B$3+14),"是","否"))</f>
        <v>否</v>
      </c>
      <c r="B108" s="6" t="str">
        <f>项目总控台账!A107</f>
        <v>T104</v>
      </c>
      <c r="C108" s="6" t="str">
        <f>IF(AND(项目总控台账!E107&lt;&gt;"",项目总控台账!E107&lt;&gt;"/"),项目总控台账!E107,IF(AND(项目总控台账!D107&lt;&gt;"",项目总控台账!D107&lt;&gt;"/"),项目总控台账!D107,项目总控台账!C107))</f>
        <v>吞吐量统计（曹妃甸）</v>
      </c>
      <c r="D108" s="6" t="str">
        <f>项目总控台账!F107</f>
        <v>第一批次</v>
      </c>
      <c r="E108" s="6" t="str">
        <f>项目总控台账!G107</f>
        <v>已完成</v>
      </c>
      <c r="F108" s="6" t="str">
        <f>项目总控台账!H107</f>
        <v>郑士旺</v>
      </c>
      <c r="G108" s="17">
        <f>项目总控台账!J107</f>
        <v>46269</v>
      </c>
      <c r="H108" s="6">
        <f>IF(G108="","",G108-项目驾驶舱!$B$3)</f>
        <v>1</v>
      </c>
      <c r="I108" s="6" t="str">
        <f>项目总控台账!AC107</f>
        <v>正常</v>
      </c>
      <c r="J108" s="6" t="str">
        <f>项目总控台账!AD107</f>
        <v>69</v>
      </c>
      <c r="K108" s="6" t="str">
        <f t="shared" si="1"/>
        <v/>
      </c>
      <c r="L108" s="9"/>
      <c r="M108" s="8"/>
    </row>
    <row r="109" spans="1:13">
      <c r="A109" s="6" t="str">
        <f>IF(B109="","",IF(AND(E109&lt;&gt;"已完成",ISNUMBER(G109),G109&lt;=项目驾驶舱!$B$3+14),"是","否"))</f>
        <v>否</v>
      </c>
      <c r="B109" s="6" t="str">
        <f>项目总控台账!A108</f>
        <v>T105</v>
      </c>
      <c r="C109" s="6" t="str">
        <f>IF(AND(项目总控台账!E108&lt;&gt;"",项目总控台账!E108&lt;&gt;"/"),项目总控台账!E108,IF(AND(项目总控台账!D108&lt;&gt;"",项目总控台账!D108&lt;&gt;"/"),项目总控台账!D108,项目总控台账!C108))</f>
        <v>泊位占用率分析（曹妃甸）</v>
      </c>
      <c r="D109" s="6" t="str">
        <f>项目总控台账!F108</f>
        <v>第一批次</v>
      </c>
      <c r="E109" s="6" t="str">
        <f>项目总控台账!G108</f>
        <v>已完成</v>
      </c>
      <c r="F109" s="6" t="str">
        <f>项目总控台账!H108</f>
        <v>郑士旺</v>
      </c>
      <c r="G109" s="17">
        <f>项目总控台账!J108</f>
        <v>46269</v>
      </c>
      <c r="H109" s="6">
        <f>IF(G109="","",G109-项目驾驶舱!$B$3)</f>
        <v>1</v>
      </c>
      <c r="I109" s="6" t="str">
        <f>项目总控台账!AC108</f>
        <v>正常</v>
      </c>
      <c r="J109" s="6" t="str">
        <f>项目总控台账!AD108</f>
        <v>69</v>
      </c>
      <c r="K109" s="6" t="str">
        <f t="shared" si="1"/>
        <v/>
      </c>
      <c r="L109" s="9"/>
      <c r="M109" s="8"/>
    </row>
    <row r="110" spans="1:13">
      <c r="A110" s="6" t="str">
        <f>IF(B110="","",IF(AND(E110&lt;&gt;"已完成",ISNUMBER(G110),G110&lt;=项目驾驶舱!$B$3+14),"是","否"))</f>
        <v>否</v>
      </c>
      <c r="B110" s="6" t="str">
        <f>项目总控台账!A109</f>
        <v>T106</v>
      </c>
      <c r="C110" s="6" t="str">
        <f>IF(AND(项目总控台账!E109&lt;&gt;"",项目总控台账!E109&lt;&gt;"/"),项目总控台账!E109,IF(AND(项目总控台账!D109&lt;&gt;"",项目总控台账!D109&lt;&gt;"/"),项目总控台账!D109,项目总控台账!C109))</f>
        <v>堆存库存统计（曹妃甸）</v>
      </c>
      <c r="D110" s="6" t="str">
        <f>项目总控台账!F109</f>
        <v>第一批次</v>
      </c>
      <c r="E110" s="6" t="str">
        <f>项目总控台账!G109</f>
        <v>已完成</v>
      </c>
      <c r="F110" s="6" t="str">
        <f>项目总控台账!H109</f>
        <v>郑士旺</v>
      </c>
      <c r="G110" s="17">
        <f>项目总控台账!J109</f>
        <v>46269</v>
      </c>
      <c r="H110" s="6">
        <f>IF(G110="","",G110-项目驾驶舱!$B$3)</f>
        <v>1</v>
      </c>
      <c r="I110" s="6" t="str">
        <f>项目总控台账!AC109</f>
        <v>正常</v>
      </c>
      <c r="J110" s="6" t="str">
        <f>项目总控台账!AD109</f>
        <v>69</v>
      </c>
      <c r="K110" s="6" t="str">
        <f t="shared" si="1"/>
        <v/>
      </c>
      <c r="L110" s="9"/>
      <c r="M110" s="8"/>
    </row>
    <row r="111" spans="1:13">
      <c r="A111" s="6" t="str">
        <f>IF(B111="","",IF(AND(E111&lt;&gt;"已完成",ISNUMBER(G111),G111&lt;=项目驾驶舱!$B$3+14),"是","否"))</f>
        <v>否</v>
      </c>
      <c r="B111" s="6" t="str">
        <f>项目总控台账!A110</f>
        <v>T107</v>
      </c>
      <c r="C111" s="6" t="str">
        <f>IF(AND(项目总控台账!E110&lt;&gt;"",项目总控台账!E110&lt;&gt;"/"),项目总控台账!E110,IF(AND(项目总控台账!D110&lt;&gt;"",项目总控台账!D110&lt;&gt;"/"),项目总控台账!D110,项目总控台账!C110))</f>
        <v>分货主实时统计表（曹妃甸）</v>
      </c>
      <c r="D111" s="6" t="str">
        <f>项目总控台账!F110</f>
        <v>第一批次</v>
      </c>
      <c r="E111" s="6" t="str">
        <f>项目总控台账!G110</f>
        <v>已完成</v>
      </c>
      <c r="F111" s="6" t="str">
        <f>项目总控台账!H110</f>
        <v>郑士旺</v>
      </c>
      <c r="G111" s="17">
        <f>项目总控台账!J110</f>
        <v>46269</v>
      </c>
      <c r="H111" s="6">
        <f>IF(G111="","",G111-项目驾驶舱!$B$3)</f>
        <v>1</v>
      </c>
      <c r="I111" s="6" t="str">
        <f>项目总控台账!AC110</f>
        <v>正常</v>
      </c>
      <c r="J111" s="6" t="str">
        <f>项目总控台账!AD110</f>
        <v>69</v>
      </c>
      <c r="K111" s="6" t="str">
        <f t="shared" si="1"/>
        <v/>
      </c>
      <c r="L111" s="9"/>
      <c r="M111" s="8"/>
    </row>
    <row r="112" spans="1:13">
      <c r="A112" s="6" t="str">
        <f>IF(B112="","",IF(AND(E112&lt;&gt;"已完成",ISNUMBER(G112),G112&lt;=项目驾驶舱!$B$3+14),"是","否"))</f>
        <v>否</v>
      </c>
      <c r="B112" s="6" t="str">
        <f>项目总控台账!A111</f>
        <v>T108</v>
      </c>
      <c r="C112" s="6" t="str">
        <f>IF(AND(项目总控台账!E111&lt;&gt;"",项目总控台账!E111&lt;&gt;"/"),项目总控台账!E111,IF(AND(项目总控台账!D111&lt;&gt;"",项目总控台账!D111&lt;&gt;"/"),项目总控台账!D111,项目总控台账!C111))</f>
        <v>综合装船效率分析（曹妃甸）</v>
      </c>
      <c r="D112" s="6" t="str">
        <f>项目总控台账!F111</f>
        <v>第一批次</v>
      </c>
      <c r="E112" s="6" t="str">
        <f>项目总控台账!G111</f>
        <v>已完成</v>
      </c>
      <c r="F112" s="6" t="str">
        <f>项目总控台账!H111</f>
        <v>郑士旺</v>
      </c>
      <c r="G112" s="17">
        <f>项目总控台账!J111</f>
        <v>46269</v>
      </c>
      <c r="H112" s="6">
        <f>IF(G112="","",G112-项目驾驶舱!$B$3)</f>
        <v>1</v>
      </c>
      <c r="I112" s="6" t="str">
        <f>项目总控台账!AC111</f>
        <v>正常</v>
      </c>
      <c r="J112" s="6" t="str">
        <f>项目总控台账!AD111</f>
        <v>69</v>
      </c>
      <c r="K112" s="6" t="str">
        <f t="shared" si="1"/>
        <v/>
      </c>
      <c r="L112" s="9"/>
      <c r="M112" s="8"/>
    </row>
    <row r="113" spans="1:13">
      <c r="A113" s="6" t="str">
        <f>IF(B113="","",IF(AND(E113&lt;&gt;"已完成",ISNUMBER(G113),G113&lt;=项目驾驶舱!$B$3+14),"是","否"))</f>
        <v>否</v>
      </c>
      <c r="B113" s="6" t="str">
        <f>项目总控台账!A112</f>
        <v>T109</v>
      </c>
      <c r="C113" s="6" t="str">
        <f>IF(AND(项目总控台账!E112&lt;&gt;"",项目总控台账!E112&lt;&gt;"/"),项目总控台账!E112,IF(AND(项目总控台账!D112&lt;&gt;"",项目总控台账!D112&lt;&gt;"/"),项目总控台账!D112,项目总控台账!C112))</f>
        <v>综合卸车效率分析（曹妃甸）</v>
      </c>
      <c r="D113" s="6" t="str">
        <f>项目总控台账!F112</f>
        <v>第一批次</v>
      </c>
      <c r="E113" s="6" t="str">
        <f>项目总控台账!G112</f>
        <v>已完成</v>
      </c>
      <c r="F113" s="6" t="str">
        <f>项目总控台账!H112</f>
        <v>郑士旺</v>
      </c>
      <c r="G113" s="17">
        <f>项目总控台账!J112</f>
        <v>46269</v>
      </c>
      <c r="H113" s="6">
        <f>IF(G113="","",G113-项目驾驶舱!$B$3)</f>
        <v>1</v>
      </c>
      <c r="I113" s="6" t="str">
        <f>项目总控台账!AC112</f>
        <v>正常</v>
      </c>
      <c r="J113" s="6" t="str">
        <f>项目总控台账!AD112</f>
        <v>69</v>
      </c>
      <c r="K113" s="6" t="str">
        <f t="shared" si="1"/>
        <v/>
      </c>
      <c r="L113" s="9"/>
      <c r="M113" s="8"/>
    </row>
    <row r="114" spans="1:13">
      <c r="A114" s="6" t="str">
        <f>IF(B114="","",IF(AND(E114&lt;&gt;"已完成",ISNUMBER(G114),G114&lt;=项目驾驶舱!$B$3+14),"是","否"))</f>
        <v>否</v>
      </c>
      <c r="B114" s="6" t="str">
        <f>项目总控台账!A113</f>
        <v>T110</v>
      </c>
      <c r="C114" s="6" t="str">
        <f>IF(AND(项目总控台账!E113&lt;&gt;"",项目总控台账!E113&lt;&gt;"/"),项目总控台账!E113,IF(AND(项目总控台账!D113&lt;&gt;"",项目总控台账!D113&lt;&gt;"/"),项目总控台账!D113,项目总控台账!C113))</f>
        <v>综合卸船效率分析（曹妃甸）</v>
      </c>
      <c r="D114" s="6" t="str">
        <f>项目总控台账!F113</f>
        <v>第二批次</v>
      </c>
      <c r="E114" s="6" t="str">
        <f>项目总控台账!G113</f>
        <v>已完成</v>
      </c>
      <c r="F114" s="6" t="str">
        <f>项目总控台账!H113</f>
        <v>郑士旺</v>
      </c>
      <c r="G114" s="17">
        <f>项目总控台账!J113</f>
        <v>46269</v>
      </c>
      <c r="H114" s="6">
        <f>IF(G114="","",G114-项目驾驶舱!$B$3)</f>
        <v>1</v>
      </c>
      <c r="I114" s="6" t="str">
        <f>项目总控台账!AC113</f>
        <v>正常</v>
      </c>
      <c r="J114" s="6" t="str">
        <f>项目总控台账!AD113</f>
        <v>69</v>
      </c>
      <c r="K114" s="6" t="str">
        <f t="shared" si="1"/>
        <v/>
      </c>
      <c r="L114" s="9"/>
      <c r="M114" s="8"/>
    </row>
    <row r="115" spans="1:13">
      <c r="A115" s="6" t="str">
        <f>IF(B115="","",IF(AND(E115&lt;&gt;"已完成",ISNUMBER(G115),G115&lt;=项目驾驶舱!$B$3+14),"是","否"))</f>
        <v>否</v>
      </c>
      <c r="B115" s="6" t="str">
        <f>项目总控台账!A114</f>
        <v>T111</v>
      </c>
      <c r="C115" s="6" t="str">
        <f>IF(AND(项目总控台账!E114&lt;&gt;"",项目总控台账!E114&lt;&gt;"/"),项目总控台账!E114,IF(AND(项目总控台账!D114&lt;&gt;"",项目总控台账!D114&lt;&gt;"/"),项目总控台账!D114,项目总控台账!C114))</f>
        <v>吞吐量统计（太仓）</v>
      </c>
      <c r="D115" s="6" t="str">
        <f>项目总控台账!F114</f>
        <v>/</v>
      </c>
      <c r="E115" s="6" t="str">
        <f>项目总控台账!G114</f>
        <v>暂停</v>
      </c>
      <c r="F115" s="6" t="str">
        <f>项目总控台账!H114</f>
        <v>/</v>
      </c>
      <c r="G115" s="17" t="str">
        <f>项目总控台账!J114</f>
        <v/>
      </c>
      <c r="H115" s="6" t="str">
        <f>IF(G115="","",G115-项目驾驶舱!$B$3)</f>
        <v/>
      </c>
      <c r="I115" s="6" t="str">
        <f>项目总控台账!AC114</f>
        <v>暂停</v>
      </c>
      <c r="J115" s="6" t="str">
        <f>项目总控台账!AD114</f>
        <v>69</v>
      </c>
      <c r="K115" s="6" t="str">
        <f t="shared" si="1"/>
        <v/>
      </c>
      <c r="L115" s="9"/>
      <c r="M115" s="8"/>
    </row>
    <row r="116" spans="1:13">
      <c r="A116" s="6" t="str">
        <f>IF(B116="","",IF(AND(E116&lt;&gt;"已完成",ISNUMBER(G116),G116&lt;=项目驾驶舱!$B$3+14),"是","否"))</f>
        <v>否</v>
      </c>
      <c r="B116" s="6" t="str">
        <f>项目总控台账!A115</f>
        <v>T112</v>
      </c>
      <c r="C116" s="6" t="str">
        <f>IF(AND(项目总控台账!E115&lt;&gt;"",项目总控台账!E115&lt;&gt;"/"),项目总控台账!E115,IF(AND(项目总控台账!D115&lt;&gt;"",项目总控台账!D115&lt;&gt;"/"),项目总控台账!D115,项目总控台账!C115))</f>
        <v>泊位占用率分析（太仓）</v>
      </c>
      <c r="D116" s="6" t="str">
        <f>项目总控台账!F115</f>
        <v>/</v>
      </c>
      <c r="E116" s="6" t="str">
        <f>项目总控台账!G115</f>
        <v>暂停</v>
      </c>
      <c r="F116" s="6" t="str">
        <f>项目总控台账!H115</f>
        <v>/</v>
      </c>
      <c r="G116" s="17" t="str">
        <f>项目总控台账!J115</f>
        <v/>
      </c>
      <c r="H116" s="6" t="str">
        <f>IF(G116="","",G116-项目驾驶舱!$B$3)</f>
        <v/>
      </c>
      <c r="I116" s="6" t="str">
        <f>项目总控台账!AC115</f>
        <v>暂停</v>
      </c>
      <c r="J116" s="6" t="str">
        <f>项目总控台账!AD115</f>
        <v>69</v>
      </c>
      <c r="K116" s="6" t="str">
        <f t="shared" si="1"/>
        <v/>
      </c>
      <c r="L116" s="9"/>
      <c r="M116" s="8"/>
    </row>
    <row r="117" spans="1:13">
      <c r="A117" s="6" t="str">
        <f>IF(B117="","",IF(AND(E117&lt;&gt;"已完成",ISNUMBER(G117),G117&lt;=项目驾驶舱!$B$3+14),"是","否"))</f>
        <v>否</v>
      </c>
      <c r="B117" s="6" t="str">
        <f>项目总控台账!A116</f>
        <v>T113</v>
      </c>
      <c r="C117" s="6" t="str">
        <f>IF(AND(项目总控台账!E116&lt;&gt;"",项目总控台账!E116&lt;&gt;"/"),项目总控台账!E116,IF(AND(项目总控台账!D116&lt;&gt;"",项目总控台账!D116&lt;&gt;"/"),项目总控台账!D116,项目总控台账!C116))</f>
        <v>堆存库存统计（太仓）</v>
      </c>
      <c r="D117" s="6" t="str">
        <f>项目总控台账!F116</f>
        <v>/</v>
      </c>
      <c r="E117" s="6" t="str">
        <f>项目总控台账!G116</f>
        <v>暂停</v>
      </c>
      <c r="F117" s="6" t="str">
        <f>项目总控台账!H116</f>
        <v>/</v>
      </c>
      <c r="G117" s="17" t="str">
        <f>项目总控台账!J116</f>
        <v/>
      </c>
      <c r="H117" s="6" t="str">
        <f>IF(G117="","",G117-项目驾驶舱!$B$3)</f>
        <v/>
      </c>
      <c r="I117" s="6" t="str">
        <f>项目总控台账!AC116</f>
        <v>暂停</v>
      </c>
      <c r="J117" s="6" t="str">
        <f>项目总控台账!AD116</f>
        <v>69</v>
      </c>
      <c r="K117" s="6" t="str">
        <f t="shared" si="1"/>
        <v/>
      </c>
      <c r="L117" s="9"/>
      <c r="M117" s="8"/>
    </row>
    <row r="118" spans="1:13">
      <c r="A118" s="6" t="str">
        <f>IF(B118="","",IF(AND(E118&lt;&gt;"已完成",ISNUMBER(G118),G118&lt;=项目驾驶舱!$B$3+14),"是","否"))</f>
        <v>否</v>
      </c>
      <c r="B118" s="6" t="str">
        <f>项目总控台账!A117</f>
        <v>T114</v>
      </c>
      <c r="C118" s="6" t="str">
        <f>IF(AND(项目总控台账!E117&lt;&gt;"",项目总控台账!E117&lt;&gt;"/"),项目总控台账!E117,IF(AND(项目总控台账!D117&lt;&gt;"",项目总控台账!D117&lt;&gt;"/"),项目总控台账!D117,项目总控台账!C117))</f>
        <v>分货主实时统计表（太仓）</v>
      </c>
      <c r="D118" s="6" t="str">
        <f>项目总控台账!F117</f>
        <v>/</v>
      </c>
      <c r="E118" s="6" t="str">
        <f>项目总控台账!G117</f>
        <v>暂停</v>
      </c>
      <c r="F118" s="6" t="str">
        <f>项目总控台账!H117</f>
        <v>/</v>
      </c>
      <c r="G118" s="17" t="str">
        <f>项目总控台账!J117</f>
        <v/>
      </c>
      <c r="H118" s="6" t="str">
        <f>IF(G118="","",G118-项目驾驶舱!$B$3)</f>
        <v/>
      </c>
      <c r="I118" s="6" t="str">
        <f>项目总控台账!AC117</f>
        <v>暂停</v>
      </c>
      <c r="J118" s="6" t="str">
        <f>项目总控台账!AD117</f>
        <v>69</v>
      </c>
      <c r="K118" s="6" t="str">
        <f t="shared" si="1"/>
        <v/>
      </c>
      <c r="L118" s="9"/>
      <c r="M118" s="8"/>
    </row>
    <row r="119" spans="1:13">
      <c r="A119" s="6" t="str">
        <f>IF(B119="","",IF(AND(E119&lt;&gt;"已完成",ISNUMBER(G119),G119&lt;=项目驾驶舱!$B$3+14),"是","否"))</f>
        <v>否</v>
      </c>
      <c r="B119" s="6" t="str">
        <f>项目总控台账!A118</f>
        <v>T115</v>
      </c>
      <c r="C119" s="6" t="str">
        <f>IF(AND(项目总控台账!E118&lt;&gt;"",项目总控台账!E118&lt;&gt;"/"),项目总控台账!E118,IF(AND(项目总控台账!D118&lt;&gt;"",项目总控台账!D118&lt;&gt;"/"),项目总控台账!D118,项目总控台账!C118))</f>
        <v>综合卸船效率分析（太仓）</v>
      </c>
      <c r="D119" s="6" t="str">
        <f>项目总控台账!F118</f>
        <v>/</v>
      </c>
      <c r="E119" s="6" t="str">
        <f>项目总控台账!G118</f>
        <v>暂停</v>
      </c>
      <c r="F119" s="6" t="str">
        <f>项目总控台账!H118</f>
        <v>/</v>
      </c>
      <c r="G119" s="17" t="str">
        <f>项目总控台账!J118</f>
        <v/>
      </c>
      <c r="H119" s="6" t="str">
        <f>IF(G119="","",G119-项目驾驶舱!$B$3)</f>
        <v/>
      </c>
      <c r="I119" s="6" t="str">
        <f>项目总控台账!AC118</f>
        <v>暂停</v>
      </c>
      <c r="J119" s="6" t="str">
        <f>项目总控台账!AD118</f>
        <v>69</v>
      </c>
      <c r="K119" s="6" t="str">
        <f t="shared" si="1"/>
        <v/>
      </c>
      <c r="L119" s="9"/>
      <c r="M119" s="8"/>
    </row>
    <row r="120" spans="1:13">
      <c r="A120" s="6" t="str">
        <f>IF(B120="","",IF(AND(E120&lt;&gt;"已完成",ISNUMBER(G120),G120&lt;=项目驾驶舱!$B$3+14),"是","否"))</f>
        <v>否</v>
      </c>
      <c r="B120" s="6" t="str">
        <f>项目总控台账!A119</f>
        <v>T116</v>
      </c>
      <c r="C120" s="6" t="str">
        <f>IF(AND(项目总控台账!E119&lt;&gt;"",项目总控台账!E119&lt;&gt;"/"),项目总控台账!E119,IF(AND(项目总控台账!D119&lt;&gt;"",项目总控台账!D119&lt;&gt;"/"),项目总控台账!D119,项目总控台账!C119))</f>
        <v>堆垛雨布苫盖情况表（太仓）</v>
      </c>
      <c r="D120" s="6" t="str">
        <f>项目总控台账!F119</f>
        <v>/</v>
      </c>
      <c r="E120" s="6" t="str">
        <f>项目总控台账!G119</f>
        <v>暂停</v>
      </c>
      <c r="F120" s="6" t="str">
        <f>项目总控台账!H119</f>
        <v>/</v>
      </c>
      <c r="G120" s="17" t="str">
        <f>项目总控台账!J119</f>
        <v/>
      </c>
      <c r="H120" s="6" t="str">
        <f>IF(G120="","",G120-项目驾驶舱!$B$3)</f>
        <v/>
      </c>
      <c r="I120" s="6" t="str">
        <f>项目总控台账!AC119</f>
        <v>暂停</v>
      </c>
      <c r="J120" s="6" t="str">
        <f>项目总控台账!AD119</f>
        <v>69</v>
      </c>
      <c r="K120" s="6" t="str">
        <f t="shared" si="1"/>
        <v/>
      </c>
      <c r="L120" s="9"/>
      <c r="M120" s="8"/>
    </row>
    <row r="121" spans="1:13">
      <c r="A121" s="6" t="str">
        <f>IF(B121="","",IF(AND(E121&lt;&gt;"已完成",ISNUMBER(G121),G121&lt;=项目驾驶舱!$B$3+14),"是","否"))</f>
        <v>否</v>
      </c>
      <c r="B121" s="6" t="str">
        <f>项目总控台账!A120</f>
        <v>T117</v>
      </c>
      <c r="C121" s="6" t="str">
        <f>IF(AND(项目总控台账!E120&lt;&gt;"",项目总控台账!E120&lt;&gt;"/"),项目总控台账!E120,IF(AND(项目总控台账!D120&lt;&gt;"",项目总控台账!D120&lt;&gt;"/"),项目总控台账!D120,项目总控台账!C120))</f>
        <v>经营任务情况分析报告</v>
      </c>
      <c r="D121" s="6" t="str">
        <f>项目总控台账!F120</f>
        <v>第一批次</v>
      </c>
      <c r="E121" s="6" t="str">
        <f>项目总控台账!G120</f>
        <v>已完成</v>
      </c>
      <c r="F121" s="6" t="str">
        <f>项目总控台账!H120</f>
        <v>郑士旺</v>
      </c>
      <c r="G121" s="17">
        <f>项目总控台账!J120</f>
        <v>46269</v>
      </c>
      <c r="H121" s="6">
        <f>IF(G121="","",G121-项目驾驶舱!$B$3)</f>
        <v>1</v>
      </c>
      <c r="I121" s="6" t="str">
        <f>项目总控台账!AC120</f>
        <v>正常</v>
      </c>
      <c r="J121" s="6" t="str">
        <f>项目总控台账!AD120</f>
        <v>69</v>
      </c>
      <c r="K121" s="6" t="str">
        <f t="shared" si="1"/>
        <v/>
      </c>
      <c r="L121" s="9"/>
      <c r="M121" s="8"/>
    </row>
    <row r="122" spans="1:13">
      <c r="A122" s="6" t="str">
        <f>IF(B122="","",IF(AND(E122&lt;&gt;"已完成",ISNUMBER(G122),G122&lt;=项目驾驶舱!$B$3+14),"是","否"))</f>
        <v>否</v>
      </c>
      <c r="B122" s="6" t="str">
        <f>项目总控台账!A121</f>
        <v>T118</v>
      </c>
      <c r="C122" s="6" t="str">
        <f>IF(AND(项目总控台账!E121&lt;&gt;"",项目总控台账!E121&lt;&gt;"/"),项目总控台账!E121,IF(AND(项目总控台账!D121&lt;&gt;"",项目总控台账!D121&lt;&gt;"/"),项目总控台账!D121,项目总控台账!C121))</f>
        <v>客户月报报告</v>
      </c>
      <c r="D122" s="6" t="str">
        <f>项目总控台账!F121</f>
        <v>第一批次</v>
      </c>
      <c r="E122" s="6" t="str">
        <f>项目总控台账!G121</f>
        <v>已完成</v>
      </c>
      <c r="F122" s="6" t="str">
        <f>项目总控台账!H121</f>
        <v>郑士旺</v>
      </c>
      <c r="G122" s="17">
        <f>项目总控台账!J121</f>
        <v>46269</v>
      </c>
      <c r="H122" s="6">
        <f>IF(G122="","",G122-项目驾驶舱!$B$3)</f>
        <v>1</v>
      </c>
      <c r="I122" s="6" t="str">
        <f>项目总控台账!AC121</f>
        <v>正常</v>
      </c>
      <c r="J122" s="6" t="str">
        <f>项目总控台账!AD121</f>
        <v>69</v>
      </c>
      <c r="K122" s="6" t="str">
        <f t="shared" si="1"/>
        <v/>
      </c>
      <c r="L122" s="9"/>
      <c r="M122" s="8"/>
    </row>
    <row r="123" spans="1:13">
      <c r="A123" s="6" t="str">
        <f>IF(B123="","",IF(AND(E123&lt;&gt;"已完成",ISNUMBER(G123),G123&lt;=项目驾驶舱!$B$3+14),"是","否"))</f>
        <v>否</v>
      </c>
      <c r="B123" s="6" t="str">
        <f>项目总控台账!A122</f>
        <v>T119</v>
      </c>
      <c r="C123" s="6" t="str">
        <f>IF(AND(项目总控台账!E122&lt;&gt;"",项目总控台账!E122&lt;&gt;"/"),项目总控台账!E122,IF(AND(项目总控台账!D122&lt;&gt;"",项目总控台账!D122&lt;&gt;"/"),项目总控台账!D122,项目总控台账!C122))</f>
        <v>月度客户情况报告</v>
      </c>
      <c r="D123" s="6" t="str">
        <f>项目总控台账!F122</f>
        <v>第一批次</v>
      </c>
      <c r="E123" s="6" t="str">
        <f>项目总控台账!G122</f>
        <v>已完成</v>
      </c>
      <c r="F123" s="6" t="str">
        <f>项目总控台账!H122</f>
        <v>郑士旺</v>
      </c>
      <c r="G123" s="17">
        <f>项目总控台账!J122</f>
        <v>46269</v>
      </c>
      <c r="H123" s="6">
        <f>IF(G123="","",G123-项目驾驶舱!$B$3)</f>
        <v>1</v>
      </c>
      <c r="I123" s="6" t="str">
        <f>项目总控台账!AC122</f>
        <v>正常</v>
      </c>
      <c r="J123" s="6" t="str">
        <f>项目总控台账!AD122</f>
        <v>69</v>
      </c>
      <c r="K123" s="6" t="str">
        <f t="shared" si="1"/>
        <v/>
      </c>
      <c r="L123" s="9"/>
      <c r="M123" s="8"/>
    </row>
    <row r="124" spans="1:13">
      <c r="A124" s="6" t="str">
        <f>IF(B124="","",IF(AND(E124&lt;&gt;"已完成",ISNUMBER(G124),G124&lt;=项目驾驶舱!$B$3+14),"是","否"))</f>
        <v>否</v>
      </c>
      <c r="B124" s="6" t="str">
        <f>项目总控台账!A123</f>
        <v>T120</v>
      </c>
      <c r="C124" s="6" t="str">
        <f>IF(AND(项目总控台账!E123&lt;&gt;"",项目总控台账!E123&lt;&gt;"/"),项目总控台账!E123,IF(AND(项目总控台账!D123&lt;&gt;"",项目总控台账!D123&lt;&gt;"/"),项目总控台账!D123,项目总控台账!C123))</f>
        <v>商务计划周报</v>
      </c>
      <c r="D124" s="6" t="str">
        <f>项目总控台账!F123</f>
        <v>第一批次</v>
      </c>
      <c r="E124" s="6" t="str">
        <f>项目总控台账!G123</f>
        <v>已完成</v>
      </c>
      <c r="F124" s="6" t="str">
        <f>项目总控台账!H123</f>
        <v>郑士旺</v>
      </c>
      <c r="G124" s="17">
        <f>项目总控台账!J123</f>
        <v>46269</v>
      </c>
      <c r="H124" s="6">
        <f>IF(G124="","",G124-项目驾驶舱!$B$3)</f>
        <v>1</v>
      </c>
      <c r="I124" s="6" t="str">
        <f>项目总控台账!AC123</f>
        <v>正常</v>
      </c>
      <c r="J124" s="6" t="str">
        <f>项目总控台账!AD123</f>
        <v>69</v>
      </c>
      <c r="K124" s="6" t="str">
        <f t="shared" si="1"/>
        <v/>
      </c>
      <c r="L124" s="9"/>
      <c r="M124" s="8"/>
    </row>
    <row r="125" spans="1:13">
      <c r="A125" s="6" t="str">
        <f>IF(B125="","",IF(AND(E125&lt;&gt;"已完成",ISNUMBER(G125),G125&lt;=项目驾驶舱!$B$3+14),"是","否"))</f>
        <v>否</v>
      </c>
      <c r="B125" s="6" t="str">
        <f>项目总控台账!A124</f>
        <v>T121</v>
      </c>
      <c r="C125" s="6" t="str">
        <f>IF(AND(项目总控台账!E124&lt;&gt;"",项目总控台账!E124&lt;&gt;"/"),项目总控台账!E124,IF(AND(项目总控台账!D124&lt;&gt;"",项目总控台账!D124&lt;&gt;"/"),项目总控台账!D124,项目总控台账!C124))</f>
        <v>船舶供应服务查询</v>
      </c>
      <c r="D125" s="6" t="str">
        <f>项目总控台账!F124</f>
        <v>第二批次</v>
      </c>
      <c r="E125" s="6" t="str">
        <f>项目总控台账!G124</f>
        <v>已完成</v>
      </c>
      <c r="F125" s="6" t="str">
        <f>项目总控台账!H124</f>
        <v>郑士旺</v>
      </c>
      <c r="G125" s="17">
        <f>项目总控台账!J124</f>
        <v>46261</v>
      </c>
      <c r="H125" s="6">
        <f>IF(G125="","",G125-项目驾驶舱!$B$3)</f>
        <v>-7</v>
      </c>
      <c r="I125" s="6" t="str">
        <f>项目总控台账!AC124</f>
        <v>正常</v>
      </c>
      <c r="J125" s="6" t="str">
        <f>项目总控台账!AD124</f>
        <v>69</v>
      </c>
      <c r="K125" s="6" t="str">
        <f t="shared" si="1"/>
        <v/>
      </c>
      <c r="L125" s="9"/>
      <c r="M125" s="8"/>
    </row>
    <row r="126" spans="1:13">
      <c r="A126" s="6" t="str">
        <f>IF(B126="","",IF(AND(E126&lt;&gt;"已完成",ISNUMBER(G126),G126&lt;=项目驾驶舱!$B$3+14),"是","否"))</f>
        <v>否</v>
      </c>
      <c r="B126" s="6" t="str">
        <f>项目总控台账!A125</f>
        <v>T122</v>
      </c>
      <c r="C126" s="6" t="str">
        <f>IF(AND(项目总控台账!E125&lt;&gt;"",项目总控台账!E125&lt;&gt;"/"),项目总控台账!E125,IF(AND(项目总控台账!D125&lt;&gt;"",项目总控台账!D125&lt;&gt;"/"),项目总控台账!D125,项目总控台账!C125))</f>
        <v>船舶预到（内贸）查询</v>
      </c>
      <c r="D126" s="6" t="str">
        <f>项目总控台账!F125</f>
        <v>第二批次</v>
      </c>
      <c r="E126" s="6" t="str">
        <f>项目总控台账!G125</f>
        <v>已完成</v>
      </c>
      <c r="F126" s="6" t="str">
        <f>项目总控台账!H125</f>
        <v>郑士旺</v>
      </c>
      <c r="G126" s="17">
        <f>项目总控台账!J125</f>
        <v>46261</v>
      </c>
      <c r="H126" s="6">
        <f>IF(G126="","",G126-项目驾驶舱!$B$3)</f>
        <v>-7</v>
      </c>
      <c r="I126" s="6" t="str">
        <f>项目总控台账!AC125</f>
        <v>正常</v>
      </c>
      <c r="J126" s="6" t="str">
        <f>项目总控台账!AD125</f>
        <v>69</v>
      </c>
      <c r="K126" s="6" t="str">
        <f t="shared" si="1"/>
        <v/>
      </c>
      <c r="L126" s="9"/>
      <c r="M126" s="8"/>
    </row>
    <row r="127" spans="1:13">
      <c r="A127" s="6" t="str">
        <f>IF(B127="","",IF(AND(E127&lt;&gt;"已完成",ISNUMBER(G127),G127&lt;=项目驾驶舱!$B$3+14),"是","否"))</f>
        <v>否</v>
      </c>
      <c r="B127" s="6" t="str">
        <f>项目总控台账!A126</f>
        <v>T123</v>
      </c>
      <c r="C127" s="6" t="str">
        <f>IF(AND(项目总控台账!E126&lt;&gt;"",项目总控台账!E126&lt;&gt;"/"),项目总控台账!E126,IF(AND(项目总控台账!D126&lt;&gt;"",项目总控台账!D126&lt;&gt;"/"),项目总控台账!D126,项目总控台账!C126))</f>
        <v>台账查询</v>
      </c>
      <c r="D127" s="6" t="str">
        <f>项目总控台账!F126</f>
        <v>第二批次</v>
      </c>
      <c r="E127" s="6" t="str">
        <f>项目总控台账!G126</f>
        <v>已完成</v>
      </c>
      <c r="F127" s="6" t="str">
        <f>项目总控台账!H126</f>
        <v>郑士旺</v>
      </c>
      <c r="G127" s="17">
        <f>项目总控台账!J126</f>
        <v>46261</v>
      </c>
      <c r="H127" s="6">
        <f>IF(G127="","",G127-项目驾驶舱!$B$3)</f>
        <v>-7</v>
      </c>
      <c r="I127" s="6" t="str">
        <f>项目总控台账!AC126</f>
        <v>正常</v>
      </c>
      <c r="J127" s="6" t="str">
        <f>项目总控台账!AD126</f>
        <v>69</v>
      </c>
      <c r="K127" s="6" t="str">
        <f t="shared" si="1"/>
        <v/>
      </c>
      <c r="L127" s="9"/>
      <c r="M127" s="8"/>
    </row>
    <row r="128" spans="1:13">
      <c r="A128" s="6" t="str">
        <f>IF(B128="","",IF(AND(E128&lt;&gt;"已完成",ISNUMBER(G128),G128&lt;=项目驾驶舱!$B$3+14),"是","否"))</f>
        <v>否</v>
      </c>
      <c r="B128" s="6" t="str">
        <f>项目总控台账!A127</f>
        <v>T124</v>
      </c>
      <c r="C128" s="6" t="str">
        <f>IF(AND(项目总控台账!E127&lt;&gt;"",项目总控台账!E127&lt;&gt;"/"),项目总控台账!E127,IF(AND(项目总控台账!D127&lt;&gt;"",项目总控台账!D127&lt;&gt;"/"),项目总控台账!D127,项目总控台账!C127))</f>
        <v>停泊费（内贸）查询</v>
      </c>
      <c r="D128" s="6" t="str">
        <f>项目总控台账!F127</f>
        <v>第二批次</v>
      </c>
      <c r="E128" s="6" t="str">
        <f>项目总控台账!G127</f>
        <v>已完成</v>
      </c>
      <c r="F128" s="6" t="str">
        <f>项目总控台账!H127</f>
        <v>郑士旺</v>
      </c>
      <c r="G128" s="17">
        <f>项目总控台账!J127</f>
        <v>46261</v>
      </c>
      <c r="H128" s="6">
        <f>IF(G128="","",G128-项目驾驶舱!$B$3)</f>
        <v>-7</v>
      </c>
      <c r="I128" s="6" t="str">
        <f>项目总控台账!AC127</f>
        <v>正常</v>
      </c>
      <c r="J128" s="6" t="str">
        <f>项目总控台账!AD127</f>
        <v>69</v>
      </c>
      <c r="K128" s="6" t="str">
        <f t="shared" si="1"/>
        <v/>
      </c>
      <c r="L128" s="9"/>
      <c r="M128" s="8"/>
    </row>
    <row r="129" spans="1:13">
      <c r="A129" s="6" t="str">
        <f>IF(B129="","",IF(AND(E129&lt;&gt;"已完成",ISNUMBER(G129),G129&lt;=项目驾驶舱!$B$3+14),"是","否"))</f>
        <v>否</v>
      </c>
      <c r="B129" s="6" t="str">
        <f>项目总控台账!A128</f>
        <v>T125</v>
      </c>
      <c r="C129" s="6" t="str">
        <f>IF(AND(项目总控台账!E128&lt;&gt;"",项目总控台账!E128&lt;&gt;"/"),项目总控台账!E128,IF(AND(项目总控台账!D128&lt;&gt;"",项目总控台账!D128&lt;&gt;"/"),项目总控台账!D128,项目总控台账!C128))</f>
        <v>船舶供应服务费（内贸）查询</v>
      </c>
      <c r="D129" s="6" t="str">
        <f>项目总控台账!F128</f>
        <v>第二批次</v>
      </c>
      <c r="E129" s="6" t="str">
        <f>项目总控台账!G128</f>
        <v>已完成</v>
      </c>
      <c r="F129" s="6" t="str">
        <f>项目总控台账!H128</f>
        <v>郑士旺</v>
      </c>
      <c r="G129" s="17">
        <f>项目总控台账!J128</f>
        <v>46261</v>
      </c>
      <c r="H129" s="6">
        <f>IF(G129="","",G129-项目驾驶舱!$B$3)</f>
        <v>-7</v>
      </c>
      <c r="I129" s="6" t="str">
        <f>项目总控台账!AC128</f>
        <v>正常</v>
      </c>
      <c r="J129" s="6" t="str">
        <f>项目总控台账!AD128</f>
        <v>69</v>
      </c>
      <c r="K129" s="6" t="str">
        <f t="shared" si="1"/>
        <v/>
      </c>
      <c r="L129" s="9"/>
      <c r="M129" s="8"/>
    </row>
    <row r="130" spans="1:13">
      <c r="A130" s="6" t="str">
        <f>IF(B130="","",IF(AND(E130&lt;&gt;"已完成",ISNUMBER(G130),G130&lt;=项目驾驶舱!$B$3+14),"是","否"))</f>
        <v>否</v>
      </c>
      <c r="B130" s="6" t="str">
        <f>项目总控台账!A129</f>
        <v>T126</v>
      </c>
      <c r="C130" s="6" t="str">
        <f>IF(AND(项目总控台账!E129&lt;&gt;"",项目总控台账!E129&lt;&gt;"/"),项目总控台账!E129,IF(AND(项目总控台账!D129&lt;&gt;"",项目总控台账!D129&lt;&gt;"/"),项目总控台账!D129,项目总控台账!C129))</f>
        <v>停泊费（外贸）查询</v>
      </c>
      <c r="D130" s="6" t="str">
        <f>项目总控台账!F129</f>
        <v>第二批次</v>
      </c>
      <c r="E130" s="6" t="str">
        <f>项目总控台账!G129</f>
        <v>未开始</v>
      </c>
      <c r="F130" s="6" t="str">
        <f>项目总控台账!H129</f>
        <v>郑士旺</v>
      </c>
      <c r="G130" s="17">
        <f>项目总控台账!J129</f>
        <v>46353</v>
      </c>
      <c r="H130" s="6">
        <f>IF(G130="","",G130-项目驾驶舱!$B$3)</f>
        <v>85</v>
      </c>
      <c r="I130" s="6" t="str">
        <f>项目总控台账!AC129</f>
        <v>正常</v>
      </c>
      <c r="J130" s="6" t="str">
        <f>项目总控台账!AD129</f>
        <v>69</v>
      </c>
      <c r="K130" s="6" t="str">
        <f t="shared" si="1"/>
        <v/>
      </c>
      <c r="L130" s="9"/>
      <c r="M130" s="8"/>
    </row>
    <row r="131" spans="1:13">
      <c r="A131" s="6" t="str">
        <f>IF(B131="","",IF(AND(E131&lt;&gt;"已完成",ISNUMBER(G131),G131&lt;=项目驾驶舱!$B$3+14),"是","否"))</f>
        <v>是</v>
      </c>
      <c r="B131" s="6" t="str">
        <f>项目总控台账!A130</f>
        <v>T127</v>
      </c>
      <c r="C131" s="6" t="str">
        <f>IF(AND(项目总控台账!E130&lt;&gt;"",项目总控台账!E130&lt;&gt;"/"),项目总控台账!E130,IF(AND(项目总控台账!D130&lt;&gt;"",项目总控台账!D130&lt;&gt;"/"),项目总控台账!D130,项目总控台账!C130))</f>
        <v>锚泊费（外贸）查询</v>
      </c>
      <c r="D131" s="6" t="str">
        <f>项目总控台账!F130</f>
        <v>第二批次</v>
      </c>
      <c r="E131" s="6" t="str">
        <f>项目总控台账!G130</f>
        <v>未开始</v>
      </c>
      <c r="F131" s="6" t="str">
        <f>项目总控台账!H130</f>
        <v>郑士旺</v>
      </c>
      <c r="G131" s="17">
        <f>项目总控台账!J130</f>
        <v>46261</v>
      </c>
      <c r="H131" s="6">
        <f>IF(G131="","",G131-项目驾驶舱!$B$3)</f>
        <v>-7</v>
      </c>
      <c r="I131" s="6" t="str">
        <f>项目总控台账!AC130</f>
        <v>已延期</v>
      </c>
      <c r="J131" s="6" t="str">
        <f>项目总控台账!AD130</f>
        <v>69</v>
      </c>
      <c r="K131" s="6" t="str">
        <f t="shared" si="1"/>
        <v>立即确认延期原因、影响及补救计划</v>
      </c>
      <c r="L131" s="9"/>
      <c r="M131" s="8"/>
    </row>
    <row r="132" spans="1:13">
      <c r="A132" s="6" t="str">
        <f>IF(B132="","",IF(AND(E132&lt;&gt;"已完成",ISNUMBER(G132),G132&lt;=项目驾驶舱!$B$3+14),"是","否"))</f>
        <v>是</v>
      </c>
      <c r="B132" s="6" t="str">
        <f>项目总控台账!A131</f>
        <v>T128</v>
      </c>
      <c r="C132" s="6" t="str">
        <f>IF(AND(项目总控台账!E131&lt;&gt;"",项目总控台账!E131&lt;&gt;"/"),项目总控台账!E131,IF(AND(项目总控台账!D131&lt;&gt;"",项目总控台账!D131&lt;&gt;"/"),项目总控台账!D131,项目总控台账!C131))</f>
        <v>堆存费（外贸）查询</v>
      </c>
      <c r="D132" s="6" t="str">
        <f>项目总控台账!F131</f>
        <v>第二批次</v>
      </c>
      <c r="E132" s="6" t="str">
        <f>项目总控台账!G131</f>
        <v>未开始</v>
      </c>
      <c r="F132" s="6" t="str">
        <f>项目总控台账!H131</f>
        <v>郑士旺</v>
      </c>
      <c r="G132" s="17">
        <f>项目总控台账!J131</f>
        <v>46261</v>
      </c>
      <c r="H132" s="6">
        <f>IF(G132="","",G132-项目驾驶舱!$B$3)</f>
        <v>-7</v>
      </c>
      <c r="I132" s="6" t="str">
        <f>项目总控台账!AC131</f>
        <v>已延期</v>
      </c>
      <c r="J132" s="6" t="str">
        <f>项目总控台账!AD131</f>
        <v>69</v>
      </c>
      <c r="K132" s="6" t="str">
        <f t="shared" si="1"/>
        <v>立即确认延期原因、影响及补救计划</v>
      </c>
      <c r="L132" s="9"/>
      <c r="M132" s="8"/>
    </row>
    <row r="133" spans="1:13">
      <c r="A133" s="6" t="str">
        <f>IF(B133="","",IF(AND(E133&lt;&gt;"已完成",ISNUMBER(G133),G133&lt;=项目驾驶舱!$B$3+14),"是","否"))</f>
        <v>否</v>
      </c>
      <c r="B133" s="6" t="str">
        <f>项目总控台账!A132</f>
        <v>T129</v>
      </c>
      <c r="C133" s="6" t="str">
        <f>IF(AND(项目总控台账!E132&lt;&gt;"",项目总控台账!E132&lt;&gt;"/"),项目总控台账!E132,IF(AND(项目总控台账!D132&lt;&gt;"",项目总控台账!D132&lt;&gt;"/"),项目总控台账!D132,项目总控台账!C132))</f>
        <v>卸船费（外贸）查询</v>
      </c>
      <c r="D133" s="6" t="str">
        <f>项目总控台账!F132</f>
        <v>第二批次</v>
      </c>
      <c r="E133" s="6" t="str">
        <f>项目总控台账!G132</f>
        <v>未开始</v>
      </c>
      <c r="F133" s="6" t="str">
        <f>项目总控台账!H132</f>
        <v>郑士旺</v>
      </c>
      <c r="G133" s="17">
        <f>项目总控台账!J132</f>
        <v>46353</v>
      </c>
      <c r="H133" s="6">
        <f>IF(G133="","",G133-项目驾驶舱!$B$3)</f>
        <v>85</v>
      </c>
      <c r="I133" s="6" t="str">
        <f>项目总控台账!AC132</f>
        <v>正常</v>
      </c>
      <c r="J133" s="6" t="str">
        <f>项目总控台账!AD132</f>
        <v>69</v>
      </c>
      <c r="K133" s="6" t="str">
        <f t="shared" ref="K133:K149" si="2">IF(A133&lt;&gt;"是","",IF(OR(E133="暂停",E133="挂起"),"确认暂停原因、恢复条件和责任人",IF(H133&lt;0,"立即确认延期原因、影响及补救计划",IF(H133&lt;=7,"本周确认交付承诺和完成证据","提前检查依赖与风险"))))</f>
        <v/>
      </c>
      <c r="L133" s="9"/>
      <c r="M133" s="8"/>
    </row>
    <row r="134" spans="1:13">
      <c r="A134" s="6" t="str">
        <f>IF(B134="","",IF(AND(E134&lt;&gt;"已完成",ISNUMBER(G134),G134&lt;=项目驾驶舱!$B$3+14),"是","否"))</f>
        <v>否</v>
      </c>
      <c r="B134" s="6" t="str">
        <f>项目总控台账!A133</f>
        <v>T130</v>
      </c>
      <c r="C134" s="6" t="str">
        <f>IF(AND(项目总控台账!E133&lt;&gt;"",项目总控台账!E133&lt;&gt;"/"),项目总控台账!E133,IF(AND(项目总控台账!D133&lt;&gt;"",项目总控台账!D133&lt;&gt;"/"),项目总控台账!D133,项目总控台账!C133))</f>
        <v>采样服务费（外贸）查询</v>
      </c>
      <c r="D134" s="6" t="str">
        <f>项目总控台账!F133</f>
        <v>第二批次</v>
      </c>
      <c r="E134" s="6" t="str">
        <f>项目总控台账!G133</f>
        <v>未开始</v>
      </c>
      <c r="F134" s="6" t="str">
        <f>项目总控台账!H133</f>
        <v>郑士旺</v>
      </c>
      <c r="G134" s="17">
        <f>项目总控台账!J133</f>
        <v>46353</v>
      </c>
      <c r="H134" s="6">
        <f>IF(G134="","",G134-项目驾驶舱!$B$3)</f>
        <v>85</v>
      </c>
      <c r="I134" s="6" t="str">
        <f>项目总控台账!AC133</f>
        <v>正常</v>
      </c>
      <c r="J134" s="6" t="str">
        <f>项目总控台账!AD133</f>
        <v>69</v>
      </c>
      <c r="K134" s="6" t="str">
        <f t="shared" si="2"/>
        <v/>
      </c>
      <c r="L134" s="9"/>
      <c r="M134" s="8"/>
    </row>
    <row r="135" spans="1:13">
      <c r="A135" s="6" t="str">
        <f>IF(B135="","",IF(AND(E135&lt;&gt;"已完成",ISNUMBER(G135),G135&lt;=项目驾驶舱!$B$3+14),"是","否"))</f>
        <v>否</v>
      </c>
      <c r="B135" s="6" t="str">
        <f>项目总控台账!A134</f>
        <v>T131</v>
      </c>
      <c r="C135" s="6" t="str">
        <f>IF(AND(项目总控台账!E134&lt;&gt;"",项目总控台账!E134&lt;&gt;"/"),项目总控台账!E134,IF(AND(项目总控台账!D134&lt;&gt;"",项目总控台账!D134&lt;&gt;"/"),项目总控台账!D134,项目总控台账!C134))</f>
        <v>船舶供应服务费（外贸）查询</v>
      </c>
      <c r="D135" s="6" t="str">
        <f>项目总控台账!F134</f>
        <v>第二批次</v>
      </c>
      <c r="E135" s="6" t="str">
        <f>项目总控台账!G134</f>
        <v>未开始</v>
      </c>
      <c r="F135" s="6" t="str">
        <f>项目总控台账!H134</f>
        <v>郑士旺</v>
      </c>
      <c r="G135" s="17">
        <f>项目总控台账!J134</f>
        <v>46353</v>
      </c>
      <c r="H135" s="6">
        <f>IF(G135="","",G135-项目驾驶舱!$B$3)</f>
        <v>85</v>
      </c>
      <c r="I135" s="6" t="str">
        <f>项目总控台账!AC134</f>
        <v>正常</v>
      </c>
      <c r="J135" s="6" t="str">
        <f>项目总控台账!AD134</f>
        <v>69</v>
      </c>
      <c r="K135" s="6" t="str">
        <f t="shared" si="2"/>
        <v/>
      </c>
      <c r="L135" s="9"/>
      <c r="M135" s="8"/>
    </row>
    <row r="136" spans="1:13">
      <c r="A136" s="6" t="str">
        <f>IF(B136="","",IF(AND(E136&lt;&gt;"已完成",ISNUMBER(G136),G136&lt;=项目驾驶舱!$B$3+14),"是","否"))</f>
        <v>否</v>
      </c>
      <c r="B136" s="6" t="str">
        <f>项目总控台账!A135</f>
        <v>T132</v>
      </c>
      <c r="C136" s="6" t="str">
        <f>IF(AND(项目总控台账!E135&lt;&gt;"",项目总控台账!E135&lt;&gt;"/"),项目总控台账!E135,IF(AND(项目总控台账!D135&lt;&gt;"",项目总控台账!D135&lt;&gt;"/"),项目总控台账!D135,项目总控台账!C135))</f>
        <v>新增船舶靠泊通知单</v>
      </c>
      <c r="D136" s="6" t="str">
        <f>项目总控台账!F135</f>
        <v>第二批次</v>
      </c>
      <c r="E136" s="6" t="str">
        <f>项目总控台账!G135</f>
        <v>未开始</v>
      </c>
      <c r="F136" s="6" t="str">
        <f>项目总控台账!H135</f>
        <v>郑士旺</v>
      </c>
      <c r="G136" s="17">
        <f>项目总控台账!J135</f>
        <v>46353</v>
      </c>
      <c r="H136" s="6">
        <f>IF(G136="","",G136-项目驾驶舱!$B$3)</f>
        <v>85</v>
      </c>
      <c r="I136" s="6" t="str">
        <f>项目总控台账!AC135</f>
        <v>正常</v>
      </c>
      <c r="J136" s="6" t="str">
        <f>项目总控台账!AD135</f>
        <v>69</v>
      </c>
      <c r="K136" s="6" t="str">
        <f t="shared" si="2"/>
        <v/>
      </c>
      <c r="L136" s="9"/>
      <c r="M136" s="8"/>
    </row>
    <row r="137" spans="1:13">
      <c r="A137" s="6" t="str">
        <f>IF(B137="","",IF(AND(E137&lt;&gt;"已完成",ISNUMBER(G137),G137&lt;=项目驾驶舱!$B$3+14),"是","否"))</f>
        <v>否</v>
      </c>
      <c r="B137" s="6" t="str">
        <f>项目总控台账!A136</f>
        <v>T133</v>
      </c>
      <c r="C137" s="6" t="str">
        <f>IF(AND(项目总控台账!E136&lt;&gt;"",项目总控台账!E136&lt;&gt;"/"),项目总控台账!E136,IF(AND(项目总控台账!D136&lt;&gt;"",项目总控台账!D136&lt;&gt;"/"),项目总控台账!D136,项目总控台账!C136))</f>
        <v>查询船舶靠泊通知单</v>
      </c>
      <c r="D137" s="6" t="str">
        <f>项目总控台账!F136</f>
        <v>第二批次</v>
      </c>
      <c r="E137" s="6" t="str">
        <f>项目总控台账!G136</f>
        <v>未开始</v>
      </c>
      <c r="F137" s="6" t="str">
        <f>项目总控台账!H136</f>
        <v>郑士旺</v>
      </c>
      <c r="G137" s="17">
        <f>项目总控台账!J136</f>
        <v>46353</v>
      </c>
      <c r="H137" s="6">
        <f>IF(G137="","",G137-项目驾驶舱!$B$3)</f>
        <v>85</v>
      </c>
      <c r="I137" s="6" t="str">
        <f>项目总控台账!AC136</f>
        <v>正常</v>
      </c>
      <c r="J137" s="6" t="str">
        <f>项目总控台账!AD136</f>
        <v>69</v>
      </c>
      <c r="K137" s="6" t="str">
        <f t="shared" si="2"/>
        <v/>
      </c>
      <c r="L137" s="9"/>
      <c r="M137" s="8"/>
    </row>
    <row r="138" spans="1:13">
      <c r="A138" s="6" t="str">
        <f>IF(B138="","",IF(AND(E138&lt;&gt;"已完成",ISNUMBER(G138),G138&lt;=项目驾驶舱!$B$3+14),"是","否"))</f>
        <v>否</v>
      </c>
      <c r="B138" s="6" t="str">
        <f>项目总控台账!A137</f>
        <v>T134</v>
      </c>
      <c r="C138" s="6" t="str">
        <f>IF(AND(项目总控台账!E137&lt;&gt;"",项目总控台账!E137&lt;&gt;"/"),项目总控台账!E137,IF(AND(项目总控台账!D137&lt;&gt;"",项目总控台账!D137&lt;&gt;"/"),项目总控台账!D137,项目总控台账!C137))</f>
        <v>卸船计划查询</v>
      </c>
      <c r="D138" s="6" t="str">
        <f>项目总控台账!F137</f>
        <v>第二批次</v>
      </c>
      <c r="E138" s="6" t="str">
        <f>项目总控台账!G137</f>
        <v>未开始</v>
      </c>
      <c r="F138" s="6" t="str">
        <f>项目总控台账!H137</f>
        <v>郑士旺</v>
      </c>
      <c r="G138" s="17">
        <f>项目总控台账!J137</f>
        <v>46353</v>
      </c>
      <c r="H138" s="6">
        <f>IF(G138="","",G138-项目驾驶舱!$B$3)</f>
        <v>85</v>
      </c>
      <c r="I138" s="6" t="str">
        <f>项目总控台账!AC137</f>
        <v>正常</v>
      </c>
      <c r="J138" s="6" t="str">
        <f>项目总控台账!AD137</f>
        <v>69</v>
      </c>
      <c r="K138" s="6" t="str">
        <f t="shared" si="2"/>
        <v/>
      </c>
      <c r="L138" s="9"/>
      <c r="M138" s="8"/>
    </row>
    <row r="139" spans="1:13">
      <c r="A139" s="6" t="str">
        <f>IF(B139="","",IF(AND(E139&lt;&gt;"已完成",ISNUMBER(G139),G139&lt;=项目驾驶舱!$B$3+14),"是","否"))</f>
        <v>否</v>
      </c>
      <c r="B139" s="6" t="str">
        <f>项目总控台账!A138</f>
        <v>T135</v>
      </c>
      <c r="C139" s="6" t="str">
        <f>IF(AND(项目总控台账!E138&lt;&gt;"",项目总控台账!E138&lt;&gt;"/"),项目总控台账!E138,IF(AND(项目总控台账!D138&lt;&gt;"",项目总控台账!D138&lt;&gt;"/"),项目总控台账!D138,项目总控台账!C138))</f>
        <v>卸船查询</v>
      </c>
      <c r="D139" s="6" t="str">
        <f>项目总控台账!F138</f>
        <v>第二批次</v>
      </c>
      <c r="E139" s="6" t="str">
        <f>项目总控台账!G138</f>
        <v>未开始</v>
      </c>
      <c r="F139" s="6" t="str">
        <f>项目总控台账!H138</f>
        <v>郑士旺</v>
      </c>
      <c r="G139" s="17">
        <f>项目总控台账!J138</f>
        <v>46353</v>
      </c>
      <c r="H139" s="6">
        <f>IF(G139="","",G139-项目驾驶舱!$B$3)</f>
        <v>85</v>
      </c>
      <c r="I139" s="6" t="str">
        <f>项目总控台账!AC138</f>
        <v>正常</v>
      </c>
      <c r="J139" s="6" t="str">
        <f>项目总控台账!AD138</f>
        <v>69</v>
      </c>
      <c r="K139" s="6" t="str">
        <f t="shared" si="2"/>
        <v/>
      </c>
      <c r="L139" s="9"/>
      <c r="M139" s="8"/>
    </row>
    <row r="140" spans="1:13">
      <c r="A140" s="6" t="str">
        <f>IF(B140="","",IF(AND(E140&lt;&gt;"已完成",ISNUMBER(G140),G140&lt;=项目驾驶舱!$B$3+14),"是","否"))</f>
        <v>否</v>
      </c>
      <c r="B140" s="6" t="str">
        <f>项目总控台账!A139</f>
        <v>T136</v>
      </c>
      <c r="C140" s="6" t="str">
        <f>IF(AND(项目总控台账!E139&lt;&gt;"",项目总控台账!E139&lt;&gt;"/"),项目总控台账!E139,IF(AND(项目总控台账!D139&lt;&gt;"",项目总控台账!D139&lt;&gt;"/"),项目总控台账!D139,项目总控台账!C139))</f>
        <v>卸船作业委托</v>
      </c>
      <c r="D140" s="6" t="str">
        <f>项目总控台账!F139</f>
        <v>第二批次</v>
      </c>
      <c r="E140" s="6" t="str">
        <f>项目总控台账!G139</f>
        <v>未开始</v>
      </c>
      <c r="F140" s="6" t="str">
        <f>项目总控台账!H139</f>
        <v>郑士旺</v>
      </c>
      <c r="G140" s="17">
        <f>项目总控台账!J139</f>
        <v>46353</v>
      </c>
      <c r="H140" s="6">
        <f>IF(G140="","",G140-项目驾驶舱!$B$3)</f>
        <v>85</v>
      </c>
      <c r="I140" s="6" t="str">
        <f>项目总控台账!AC139</f>
        <v>正常</v>
      </c>
      <c r="J140" s="6" t="str">
        <f>项目总控台账!AD139</f>
        <v>69</v>
      </c>
      <c r="K140" s="6" t="str">
        <f t="shared" si="2"/>
        <v/>
      </c>
      <c r="L140" s="9"/>
      <c r="M140" s="8"/>
    </row>
    <row r="141" spans="1:13">
      <c r="A141" s="6" t="str">
        <f>IF(B141="","",IF(AND(E141&lt;&gt;"已完成",ISNUMBER(G141),G141&lt;=项目驾驶舱!$B$3+14),"是","否"))</f>
        <v>否</v>
      </c>
      <c r="B141" s="6" t="str">
        <f>项目总控台账!A140</f>
        <v>T137</v>
      </c>
      <c r="C141" s="6" t="str">
        <f>IF(AND(项目总控台账!E140&lt;&gt;"",项目总控台账!E140&lt;&gt;"/"),项目总控台账!E140,IF(AND(项目总控台账!D140&lt;&gt;"",项目总控台账!D140&lt;&gt;"/"),项目总控台账!D140,项目总控台账!C140))</f>
        <v>外轮转内贸业务查询</v>
      </c>
      <c r="D141" s="6" t="str">
        <f>项目总控台账!F140</f>
        <v>第二批次</v>
      </c>
      <c r="E141" s="6" t="str">
        <f>项目总控台账!G140</f>
        <v>未开始</v>
      </c>
      <c r="F141" s="6" t="str">
        <f>项目总控台账!H140</f>
        <v>郑士旺</v>
      </c>
      <c r="G141" s="17">
        <f>项目总控台账!J140</f>
        <v>46353</v>
      </c>
      <c r="H141" s="6">
        <f>IF(G141="","",G141-项目驾驶舱!$B$3)</f>
        <v>85</v>
      </c>
      <c r="I141" s="6" t="str">
        <f>项目总控台账!AC140</f>
        <v>正常</v>
      </c>
      <c r="J141" s="6" t="str">
        <f>项目总控台账!AD140</f>
        <v>69</v>
      </c>
      <c r="K141" s="6" t="str">
        <f t="shared" si="2"/>
        <v/>
      </c>
      <c r="L141" s="9"/>
      <c r="M141" s="8"/>
    </row>
    <row r="142" spans="1:13">
      <c r="A142" s="6" t="str">
        <f>IF(B142="","",IF(AND(E142&lt;&gt;"已完成",ISNUMBER(G142),G142&lt;=项目驾驶舱!$B$3+14),"是","否"))</f>
        <v>否</v>
      </c>
      <c r="B142" s="6" t="str">
        <f>项目总控台账!A141</f>
        <v>T138</v>
      </c>
      <c r="C142" s="6" t="str">
        <f>IF(AND(项目总控台账!E141&lt;&gt;"",项目总控台账!E141&lt;&gt;"/"),项目总控台账!E141,IF(AND(项目总控台账!D141&lt;&gt;"",项目总控台账!D141&lt;&gt;"/"),项目总控台账!D141,项目总控台账!C141))</f>
        <v>查询卸车流程</v>
      </c>
      <c r="D142" s="6" t="str">
        <f>项目总控台账!F141</f>
        <v>第二批次</v>
      </c>
      <c r="E142" s="6" t="str">
        <f>项目总控台账!G141</f>
        <v>已完成</v>
      </c>
      <c r="F142" s="6" t="str">
        <f>项目总控台账!H141</f>
        <v>郑士旺</v>
      </c>
      <c r="G142" s="17">
        <f>项目总控台账!J141</f>
        <v>46261</v>
      </c>
      <c r="H142" s="6">
        <f>IF(G142="","",G142-项目驾驶舱!$B$3)</f>
        <v>-7</v>
      </c>
      <c r="I142" s="6" t="str">
        <f>项目总控台账!AC141</f>
        <v>正常</v>
      </c>
      <c r="J142" s="6" t="str">
        <f>项目总控台账!AD141</f>
        <v>69</v>
      </c>
      <c r="K142" s="6" t="str">
        <f t="shared" si="2"/>
        <v/>
      </c>
      <c r="L142" s="9"/>
      <c r="M142" s="8"/>
    </row>
    <row r="143" spans="1:13">
      <c r="A143" s="6" t="str">
        <f>IF(B143="","",IF(AND(E143&lt;&gt;"已完成",ISNUMBER(G143),G143&lt;=项目驾驶舱!$B$3+14),"是","否"))</f>
        <v>否</v>
      </c>
      <c r="B143" s="6" t="str">
        <f>项目总控台账!A142</f>
        <v>T139</v>
      </c>
      <c r="C143" s="6" t="str">
        <f>IF(AND(项目总控台账!E142&lt;&gt;"",项目总控台账!E142&lt;&gt;"/"),项目总控台账!E142,IF(AND(项目总控台账!D142&lt;&gt;"",项目总控台账!D142&lt;&gt;"/"),项目总控台账!D142,项目总控台账!C142))</f>
        <v>查询装船流程</v>
      </c>
      <c r="D143" s="6" t="str">
        <f>项目总控台账!F142</f>
        <v>第二批次</v>
      </c>
      <c r="E143" s="6" t="str">
        <f>项目总控台账!G142</f>
        <v>已完成</v>
      </c>
      <c r="F143" s="6" t="str">
        <f>项目总控台账!H142</f>
        <v>郑士旺</v>
      </c>
      <c r="G143" s="17">
        <f>项目总控台账!J142</f>
        <v>46261</v>
      </c>
      <c r="H143" s="6">
        <f>IF(G143="","",G143-项目驾驶舱!$B$3)</f>
        <v>-7</v>
      </c>
      <c r="I143" s="6" t="str">
        <f>项目总控台账!AC142</f>
        <v>正常</v>
      </c>
      <c r="J143" s="6" t="str">
        <f>项目总控台账!AD142</f>
        <v>69</v>
      </c>
      <c r="K143" s="6" t="str">
        <f t="shared" si="2"/>
        <v/>
      </c>
      <c r="L143" s="9"/>
      <c r="M143" s="8"/>
    </row>
    <row r="144" spans="1:13">
      <c r="A144" s="6" t="str">
        <f>IF(B144="","",IF(AND(E144&lt;&gt;"已完成",ISNUMBER(G144),G144&lt;=项目驾驶舱!$B$3+14),"是","否"))</f>
        <v>否</v>
      </c>
      <c r="B144" s="6" t="str">
        <f>项目总控台账!A143</f>
        <v>T140</v>
      </c>
      <c r="C144" s="6" t="str">
        <f>IF(AND(项目总控台账!E143&lt;&gt;"",项目总控台账!E143&lt;&gt;"/"),项目总控台账!E143,IF(AND(项目总控台账!D143&lt;&gt;"",项目总控台账!D143&lt;&gt;"/"),项目总控台账!D143,项目总控台账!C143))</f>
        <v>查询卸船流程</v>
      </c>
      <c r="D144" s="6" t="str">
        <f>项目总控台账!F143</f>
        <v>第二批次</v>
      </c>
      <c r="E144" s="6" t="str">
        <f>项目总控台账!G143</f>
        <v>已完成</v>
      </c>
      <c r="F144" s="6" t="str">
        <f>项目总控台账!H143</f>
        <v>郑士旺</v>
      </c>
      <c r="G144" s="17">
        <f>项目总控台账!J143</f>
        <v>46353</v>
      </c>
      <c r="H144" s="6">
        <f>IF(G144="","",G144-项目驾驶舱!$B$3)</f>
        <v>85</v>
      </c>
      <c r="I144" s="6" t="str">
        <f>项目总控台账!AC143</f>
        <v>正常</v>
      </c>
      <c r="J144" s="6" t="str">
        <f>项目总控台账!AD143</f>
        <v>69</v>
      </c>
      <c r="K144" s="6" t="str">
        <f t="shared" si="2"/>
        <v/>
      </c>
      <c r="L144" s="9"/>
      <c r="M144" s="8"/>
    </row>
    <row r="145" spans="1:13">
      <c r="A145" s="6" t="str">
        <f>IF(B145="","",IF(AND(E145&lt;&gt;"已完成",ISNUMBER(G145),G145&lt;=项目驾驶舱!$B$3+14),"是","否"))</f>
        <v>否</v>
      </c>
      <c r="B145" s="6" t="str">
        <f>项目总控台账!A144</f>
        <v>T141</v>
      </c>
      <c r="C145" s="6" t="str">
        <f>IF(AND(项目总控台账!E144&lt;&gt;"",项目总控台账!E144&lt;&gt;"/"),项目总控台账!E144,IF(AND(项目总控台账!D144&lt;&gt;"",项目总控台账!D144&lt;&gt;"/"),项目总控台账!D144,项目总控台账!C144))</f>
        <v>视频监控查询</v>
      </c>
      <c r="D145" s="6" t="str">
        <f>项目总控台账!F144</f>
        <v>第二批次</v>
      </c>
      <c r="E145" s="6" t="str">
        <f>项目总控台账!G144</f>
        <v>未开始</v>
      </c>
      <c r="F145" s="6" t="str">
        <f>项目总控台账!H144</f>
        <v>郑士旺</v>
      </c>
      <c r="G145" s="17">
        <f>项目总控台账!J144</f>
        <v>46318</v>
      </c>
      <c r="H145" s="6">
        <f>IF(G145="","",G145-项目驾驶舱!$B$3)</f>
        <v>50</v>
      </c>
      <c r="I145" s="6" t="str">
        <f>项目总控台账!AC144</f>
        <v>正常</v>
      </c>
      <c r="J145" s="6" t="str">
        <f>项目总控台账!AD144</f>
        <v>69</v>
      </c>
      <c r="K145" s="6" t="str">
        <f t="shared" si="2"/>
        <v/>
      </c>
      <c r="L145" s="9"/>
      <c r="M145" s="8"/>
    </row>
    <row r="146" spans="1:13">
      <c r="A146" s="6" t="str">
        <f>IF(B146="","",IF(AND(E146&lt;&gt;"已完成",ISNUMBER(G146),G146&lt;=项目驾驶舱!$B$3+14),"是","否"))</f>
        <v>否</v>
      </c>
      <c r="B146" s="6" t="str">
        <f>项目总控台账!A145</f>
        <v>T142</v>
      </c>
      <c r="C146" s="6" t="str">
        <f>IF(AND(项目总控台账!E145&lt;&gt;"",项目总控台账!E145&lt;&gt;"/"),项目总控台账!E145,IF(AND(项目总控台账!D145&lt;&gt;"",项目总控台账!D145&lt;&gt;"/"),项目总控台账!D145,项目总控台账!C145))</f>
        <v>审批船舶靠泊通知单</v>
      </c>
      <c r="D146" s="6" t="str">
        <f>项目总控台账!F145</f>
        <v>第二批次</v>
      </c>
      <c r="E146" s="6" t="str">
        <f>项目总控台账!G145</f>
        <v>未开始</v>
      </c>
      <c r="F146" s="6" t="str">
        <f>项目总控台账!H145</f>
        <v>郑士旺</v>
      </c>
      <c r="G146" s="17">
        <f>项目总控台账!J145</f>
        <v>46353</v>
      </c>
      <c r="H146" s="6">
        <f>IF(G146="","",G146-项目驾驶舱!$B$3)</f>
        <v>85</v>
      </c>
      <c r="I146" s="6" t="str">
        <f>项目总控台账!AC145</f>
        <v>正常</v>
      </c>
      <c r="J146" s="6" t="str">
        <f>项目总控台账!AD145</f>
        <v>69</v>
      </c>
      <c r="K146" s="6" t="str">
        <f t="shared" si="2"/>
        <v/>
      </c>
      <c r="L146" s="9"/>
      <c r="M146" s="8"/>
    </row>
    <row r="147" spans="1:13">
      <c r="A147" s="6" t="str">
        <f>IF(B147="","",IF(AND(E147&lt;&gt;"已完成",ISNUMBER(G147),G147&lt;=项目驾驶舱!$B$3+14),"是","否"))</f>
        <v>否</v>
      </c>
      <c r="B147" s="6" t="str">
        <f>项目总控台账!A146</f>
        <v>T143</v>
      </c>
      <c r="C147" s="6" t="str">
        <f>IF(AND(项目总控台账!E146&lt;&gt;"",项目总控台账!E146&lt;&gt;"/"),项目总控台账!E146,IF(AND(项目总控台账!D146&lt;&gt;"",项目总控台账!D146&lt;&gt;"/"),项目总控台账!D146,项目总控台账!C146))</f>
        <v>图片上传</v>
      </c>
      <c r="D147" s="6" t="str">
        <f>项目总控台账!F146</f>
        <v>第一批次</v>
      </c>
      <c r="E147" s="6" t="str">
        <f>项目总控台账!G146</f>
        <v>已完成</v>
      </c>
      <c r="F147" s="6" t="str">
        <f>项目总控台账!H146</f>
        <v>郑士旺</v>
      </c>
      <c r="G147" s="17">
        <f>项目总控台账!J146</f>
        <v>46261</v>
      </c>
      <c r="H147" s="6">
        <f>IF(G147="","",G147-项目驾驶舱!$B$3)</f>
        <v>-7</v>
      </c>
      <c r="I147" s="6" t="str">
        <f>项目总控台账!AC146</f>
        <v>正常</v>
      </c>
      <c r="J147" s="6" t="str">
        <f>项目总控台账!AD146</f>
        <v>69</v>
      </c>
      <c r="K147" s="6" t="str">
        <f t="shared" si="2"/>
        <v/>
      </c>
      <c r="L147" s="9"/>
      <c r="M147" s="8"/>
    </row>
    <row r="148" spans="1:13">
      <c r="A148" s="6" t="str">
        <f>IF(B148="","",IF(AND(E148&lt;&gt;"已完成",ISNUMBER(G148),G148&lt;=项目驾驶舱!$B$3+14),"是","否"))</f>
        <v>否</v>
      </c>
      <c r="B148" s="6" t="str">
        <f>项目总控台账!A147</f>
        <v>T144</v>
      </c>
      <c r="C148" s="6" t="str">
        <f>IF(AND(项目总控台账!E147&lt;&gt;"",项目总控台账!E147&lt;&gt;"/"),项目总控台账!E147,IF(AND(项目总控台账!D147&lt;&gt;"",项目总控台账!D147&lt;&gt;"/"),项目总控台账!D147,项目总控台账!C147))</f>
        <v>图片上传</v>
      </c>
      <c r="D148" s="6" t="str">
        <f>项目总控台账!F147</f>
        <v>第一批次</v>
      </c>
      <c r="E148" s="6" t="str">
        <f>项目总控台账!G147</f>
        <v>已完成</v>
      </c>
      <c r="F148" s="6" t="str">
        <f>项目总控台账!H147</f>
        <v>郑士旺</v>
      </c>
      <c r="G148" s="17">
        <f>项目总控台账!J147</f>
        <v>46261</v>
      </c>
      <c r="H148" s="6">
        <f>IF(G148="","",G148-项目驾驶舱!$B$3)</f>
        <v>-7</v>
      </c>
      <c r="I148" s="6" t="str">
        <f>项目总控台账!AC147</f>
        <v>正常</v>
      </c>
      <c r="J148" s="6" t="str">
        <f>项目总控台账!AD147</f>
        <v>69</v>
      </c>
      <c r="K148" s="6" t="str">
        <f t="shared" si="2"/>
        <v/>
      </c>
      <c r="L148" s="9"/>
      <c r="M148" s="8"/>
    </row>
    <row r="149" spans="1:13">
      <c r="A149" s="6" t="str">
        <f>IF(B149="","",IF(AND(E149&lt;&gt;"已完成",ISNUMBER(G149),G149&lt;=项目驾驶舱!$B$3+14),"是","否"))</f>
        <v>否</v>
      </c>
      <c r="B149" s="6" t="str">
        <f>项目总控台账!A148</f>
        <v>T145</v>
      </c>
      <c r="C149" s="6" t="str">
        <f>IF(AND(项目总控台账!E148&lt;&gt;"",项目总控台账!E148&lt;&gt;"/"),项目总控台账!E148,IF(AND(项目总控台账!D148&lt;&gt;"",项目总控台账!D148&lt;&gt;"/"),项目总控台账!D148,项目总控台账!C148))</f>
        <v>图片上传</v>
      </c>
      <c r="D149" s="6" t="str">
        <f>项目总控台账!F148</f>
        <v>第二批次</v>
      </c>
      <c r="E149" s="6" t="str">
        <f>项目总控台账!G148</f>
        <v>已完成</v>
      </c>
      <c r="F149" s="6" t="str">
        <f>项目总控台账!H148</f>
        <v>郑士旺</v>
      </c>
      <c r="G149" s="17">
        <f>项目总控台账!J148</f>
        <v>46269</v>
      </c>
      <c r="H149" s="6">
        <f>IF(G149="","",G149-项目驾驶舱!$B$3)</f>
        <v>1</v>
      </c>
      <c r="I149" s="6" t="str">
        <f>项目总控台账!AC148</f>
        <v>正常</v>
      </c>
      <c r="J149" s="6">
        <f>项目总控台账!AD148</f>
        <v>0</v>
      </c>
      <c r="K149" s="6" t="str">
        <f t="shared" si="2"/>
        <v/>
      </c>
      <c r="L149" s="9"/>
      <c r="M149" s="8"/>
    </row>
  </sheetData>
  <autoFilter xmlns:etc="http://www.wps.cn/officeDocument/2017/etCustomData" ref="A4:M149" etc:filterBottomFollowUsedRange="0">
    <extLst/>
  </autoFilter>
  <mergeCells count="2">
    <mergeCell ref="A1:M1"/>
    <mergeCell ref="A2:M2"/>
  </mergeCells>
  <conditionalFormatting sqref="A5:A149">
    <cfRule type="expression" dxfId="7" priority="1">
      <formula>$A5="是"</formula>
    </cfRule>
  </conditionalFormatting>
  <conditionalFormatting sqref="H5:H149">
    <cfRule type="expression" dxfId="6" priority="2">
      <formula>$H5&lt;0</formula>
    </cfRule>
  </conditionalFormatting>
  <pageMargins left="0.75" right="0.75" top="1" bottom="1" header="0.5" footer="0.5"/>
  <pageSetup paperSize="1" fitToHeight="0" orientation="landscape"/>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17365D"/>
    <pageSetUpPr fitToPage="1"/>
  </sheetPr>
  <dimension ref="A1:J39"/>
  <sheetViews>
    <sheetView showGridLines="0" zoomScale="85" zoomScaleNormal="85" workbookViewId="0">
      <selection activeCell="A1" sqref="A1:J1"/>
    </sheetView>
  </sheetViews>
  <sheetFormatPr defaultColWidth="9" defaultRowHeight="16.8"/>
  <cols>
    <col min="1" max="1" width="22" style="1" customWidth="1"/>
    <col min="2" max="2" width="16" style="1" customWidth="1"/>
    <col min="3" max="3" width="34" style="1" customWidth="1"/>
    <col min="4" max="4" width="4" style="1" customWidth="1"/>
    <col min="5" max="10" width="14" style="1" customWidth="1"/>
  </cols>
  <sheetData>
    <row r="1" ht="28" customHeight="1" spans="1:10">
      <c r="A1" s="2" t="s">
        <v>755</v>
      </c>
    </row>
    <row r="2" ht="22" customHeight="1" spans="1:10">
      <c r="A2" s="3" t="s">
        <v>756</v>
      </c>
    </row>
    <row r="3" spans="1:10">
      <c r="A3" s="4"/>
      <c r="B3" s="4"/>
      <c r="C3" s="4"/>
      <c r="D3" s="4"/>
      <c r="E3" s="4"/>
      <c r="F3" s="4"/>
      <c r="G3" s="4"/>
      <c r="H3" s="4"/>
      <c r="I3" s="4"/>
      <c r="J3" s="4"/>
    </row>
    <row r="4" spans="1:10">
      <c r="A4" s="10" t="s">
        <v>757</v>
      </c>
      <c r="B4" s="11">
        <f>项目驾驶舱!B3</f>
        <v>46268</v>
      </c>
    </row>
    <row r="5" spans="1:10">
      <c r="A5" s="10" t="s">
        <v>758</v>
      </c>
      <c r="B5" s="12" t="str">
        <f>AI项目诊断!E4</f>
        <v>待确认</v>
      </c>
    </row>
    <row r="6" spans="1:10">
      <c r="A6" s="10" t="s">
        <v>759</v>
      </c>
      <c r="B6" s="12" t="str">
        <f>AI项目诊断!H4</f>
        <v>根据诊断指标补充总体判断、最大失控点和需要的支持。</v>
      </c>
    </row>
    <row r="8" spans="1:10">
      <c r="A8" s="13" t="s">
        <v>760</v>
      </c>
    </row>
    <row r="9" ht="36" customHeight="1" spans="1:10">
      <c r="A9" s="14" t="s">
        <v>761</v>
      </c>
    </row>
    <row r="12" spans="1:10">
      <c r="A12" s="13" t="s">
        <v>762</v>
      </c>
    </row>
    <row r="13" ht="36" customHeight="1" spans="1:10">
      <c r="A13" s="14" t="s">
        <v>763</v>
      </c>
    </row>
    <row r="17" spans="1:1">
      <c r="A17" s="13" t="s">
        <v>764</v>
      </c>
    </row>
    <row r="18" ht="36" customHeight="1" spans="1:1">
      <c r="A18" s="14" t="s">
        <v>765</v>
      </c>
    </row>
    <row r="22" spans="1:1">
      <c r="A22" s="13" t="s">
        <v>766</v>
      </c>
    </row>
    <row r="23" ht="36" customHeight="1" spans="1:1">
      <c r="A23" s="14" t="s">
        <v>767</v>
      </c>
    </row>
    <row r="27" spans="1:1">
      <c r="A27" s="13" t="s">
        <v>768</v>
      </c>
    </row>
    <row r="28" ht="36" customHeight="1" spans="1:1">
      <c r="A28" s="14" t="s">
        <v>769</v>
      </c>
    </row>
    <row r="32" ht="17.6" spans="1:1">
      <c r="A32" s="15" t="s">
        <v>770</v>
      </c>
    </row>
    <row r="33" ht="28" customHeight="1" spans="1:3">
      <c r="A33" s="5" t="s">
        <v>771</v>
      </c>
      <c r="B33" s="5" t="s">
        <v>772</v>
      </c>
      <c r="C33" s="5" t="s">
        <v>773</v>
      </c>
    </row>
    <row r="34" spans="1:3">
      <c r="A34" s="6" t="s">
        <v>17</v>
      </c>
      <c r="B34" s="16">
        <f>IFERROR(COUNTIF(项目总控台账!$G$4:$G$148,"已完成")/COUNTIF(项目总控台账!$A$4:$A$148,"&lt;&gt;"),0)</f>
        <v>0.503448275862069</v>
      </c>
      <c r="C34" s="6" t="s">
        <v>774</v>
      </c>
    </row>
    <row r="35" spans="1:3">
      <c r="A35" s="6" t="s">
        <v>775</v>
      </c>
      <c r="B35" s="6">
        <f>COUNTIF(项目总控台账!$AC$4:$AC$148,"*延期*")</f>
        <v>24</v>
      </c>
      <c r="C35" s="6" t="s">
        <v>776</v>
      </c>
    </row>
    <row r="36" spans="1:3">
      <c r="A36" s="6" t="s">
        <v>699</v>
      </c>
      <c r="B36" s="6">
        <f>COUNTIFS(风险问题台账!$D$4:$D$102,"高",风险问题台账!$K$4:$K$102,"&lt;&gt;已关闭")</f>
        <v>5</v>
      </c>
      <c r="C36" s="6" t="s">
        <v>777</v>
      </c>
    </row>
    <row r="37" spans="1:3">
      <c r="A37" s="6" t="s">
        <v>701</v>
      </c>
      <c r="B37" s="6">
        <f>COUNTIFS(会议行动项!$J$4:$J$102,"&gt;0",会议行动项!$H$4:$H$102,"&lt;&gt;已完成")</f>
        <v>0</v>
      </c>
      <c r="C37" s="6" t="s">
        <v>778</v>
      </c>
    </row>
    <row r="38" spans="1:3">
      <c r="A38" s="6" t="s">
        <v>737</v>
      </c>
      <c r="B38" s="6">
        <f>COUNTIFS(待决策事项!$C$5:$C$54,"&lt;&gt;",待决策事项!$I$5:$I$54,"&lt;&gt;已决策",待决策事项!$I$5:$I$54,"&lt;&gt;已关闭")</f>
        <v>0</v>
      </c>
      <c r="C38" s="6" t="s">
        <v>779</v>
      </c>
    </row>
    <row r="39" spans="1:3">
      <c r="A39" s="6" t="s">
        <v>702</v>
      </c>
      <c r="B39" s="6">
        <f>COUNTIF(数据质量检查!$H$5:$H$149,"需整改")</f>
        <v>12</v>
      </c>
      <c r="C39" s="6" t="s">
        <v>780</v>
      </c>
    </row>
  </sheetData>
  <mergeCells count="15">
    <mergeCell ref="A1:J1"/>
    <mergeCell ref="A2:J2"/>
    <mergeCell ref="B4:J4"/>
    <mergeCell ref="B5:J5"/>
    <mergeCell ref="B6:J6"/>
    <mergeCell ref="A8:J8"/>
    <mergeCell ref="A12:J12"/>
    <mergeCell ref="A17:J17"/>
    <mergeCell ref="A22:J22"/>
    <mergeCell ref="A27:J27"/>
    <mergeCell ref="A9:J11"/>
    <mergeCell ref="A13:J15"/>
    <mergeCell ref="A18:J20"/>
    <mergeCell ref="A28:J30"/>
    <mergeCell ref="A23:J25"/>
  </mergeCells>
  <pageMargins left="0.75" right="0.75" top="1" bottom="1" header="0.5" footer="0.5"/>
  <pageSetup paperSize="1" fitToHeight="0" orientation="landscape"/>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F7F7F"/>
    <pageSetUpPr fitToPage="1"/>
  </sheetPr>
  <dimension ref="A1:L104"/>
  <sheetViews>
    <sheetView showGridLines="0" zoomScale="85" zoomScaleNormal="85" workbookViewId="0">
      <pane ySplit="4" topLeftCell="A5" activePane="bottomLeft" state="frozen"/>
      <selection/>
      <selection pane="bottomLeft" activeCell="A1" sqref="A1:L1"/>
    </sheetView>
  </sheetViews>
  <sheetFormatPr defaultColWidth="9" defaultRowHeight="16.8"/>
  <cols>
    <col min="1" max="1" width="12" style="1" customWidth="1"/>
    <col min="2" max="2" width="18" style="1" customWidth="1"/>
    <col min="3" max="3" width="15" style="1" customWidth="1"/>
    <col min="4" max="4" width="13" style="1" customWidth="1"/>
    <col min="5" max="5" width="22" style="1" customWidth="1"/>
    <col min="6" max="6" width="36" style="1" customWidth="1"/>
    <col min="7" max="7" width="12" style="1" customWidth="1"/>
    <col min="8" max="8" width="36" style="1" customWidth="1"/>
    <col min="9" max="9" width="30" style="1" customWidth="1"/>
    <col min="10" max="10" width="14" style="1" customWidth="1"/>
    <col min="11" max="12" width="13" style="1" customWidth="1"/>
  </cols>
  <sheetData>
    <row r="1" ht="28" customHeight="1" spans="1:12">
      <c r="A1" s="2" t="s">
        <v>781</v>
      </c>
    </row>
    <row r="2" ht="22" customHeight="1" spans="1:12">
      <c r="A2" s="3" t="s">
        <v>782</v>
      </c>
    </row>
    <row r="3" spans="1:12">
      <c r="A3" s="4"/>
      <c r="B3" s="4"/>
      <c r="C3" s="4"/>
      <c r="D3" s="4"/>
      <c r="E3" s="4"/>
      <c r="F3" s="4"/>
      <c r="G3" s="4"/>
      <c r="H3" s="4"/>
      <c r="I3" s="4"/>
      <c r="J3" s="4"/>
      <c r="K3" s="4"/>
      <c r="L3" s="4"/>
    </row>
    <row r="4" ht="28" customHeight="1" spans="1:12">
      <c r="A4" s="5" t="s">
        <v>783</v>
      </c>
      <c r="B4" s="5" t="s">
        <v>784</v>
      </c>
      <c r="C4" s="5" t="s">
        <v>785</v>
      </c>
      <c r="D4" s="5" t="s">
        <v>690</v>
      </c>
      <c r="E4" s="5" t="s">
        <v>786</v>
      </c>
      <c r="F4" s="5" t="s">
        <v>787</v>
      </c>
      <c r="G4" s="5" t="s">
        <v>512</v>
      </c>
      <c r="H4" s="5" t="s">
        <v>788</v>
      </c>
      <c r="I4" s="5" t="s">
        <v>789</v>
      </c>
      <c r="J4" s="5" t="s">
        <v>790</v>
      </c>
      <c r="K4" s="5" t="s">
        <v>791</v>
      </c>
      <c r="L4" s="5" t="s">
        <v>792</v>
      </c>
    </row>
    <row r="5" spans="1:12">
      <c r="A5" s="6" t="str">
        <f t="shared" ref="A5:A68" si="0">IF(B5="","","AI-"&amp;TEXT(ROW()-4,"0000"))</f>
        <v/>
      </c>
      <c r="B5" s="7"/>
      <c r="C5" s="8"/>
      <c r="D5" s="9"/>
      <c r="E5" s="8"/>
      <c r="F5" s="8"/>
      <c r="G5" s="8"/>
      <c r="H5" s="8"/>
      <c r="I5" s="8"/>
      <c r="J5" s="8"/>
      <c r="K5" s="8"/>
      <c r="L5" s="9"/>
    </row>
    <row r="6" spans="1:12">
      <c r="A6" s="6" t="str">
        <f t="shared" si="0"/>
        <v/>
      </c>
      <c r="B6" s="7"/>
      <c r="C6" s="8"/>
      <c r="D6" s="9"/>
      <c r="E6" s="8"/>
      <c r="F6" s="8"/>
      <c r="G6" s="8"/>
      <c r="H6" s="8"/>
      <c r="I6" s="8"/>
      <c r="J6" s="8"/>
      <c r="K6" s="8"/>
      <c r="L6" s="9"/>
    </row>
    <row r="7" spans="1:12">
      <c r="A7" s="6" t="str">
        <f t="shared" si="0"/>
        <v/>
      </c>
      <c r="B7" s="7"/>
      <c r="C7" s="8"/>
      <c r="D7" s="9"/>
      <c r="E7" s="8"/>
      <c r="F7" s="8"/>
      <c r="G7" s="8"/>
      <c r="H7" s="8"/>
      <c r="I7" s="8"/>
      <c r="J7" s="8"/>
      <c r="K7" s="8"/>
      <c r="L7" s="9"/>
    </row>
    <row r="8" spans="1:12">
      <c r="A8" s="6" t="str">
        <f t="shared" si="0"/>
        <v/>
      </c>
      <c r="B8" s="7"/>
      <c r="C8" s="8"/>
      <c r="D8" s="9"/>
      <c r="E8" s="8"/>
      <c r="F8" s="8"/>
      <c r="G8" s="8"/>
      <c r="H8" s="8"/>
      <c r="I8" s="8"/>
      <c r="J8" s="8"/>
      <c r="K8" s="8"/>
      <c r="L8" s="9"/>
    </row>
    <row r="9" spans="1:12">
      <c r="A9" s="6" t="str">
        <f t="shared" si="0"/>
        <v/>
      </c>
      <c r="B9" s="7"/>
      <c r="C9" s="8"/>
      <c r="D9" s="9"/>
      <c r="E9" s="8"/>
      <c r="F9" s="8"/>
      <c r="G9" s="8"/>
      <c r="H9" s="8"/>
      <c r="I9" s="8"/>
      <c r="J9" s="8"/>
      <c r="K9" s="8"/>
      <c r="L9" s="9"/>
    </row>
    <row r="10" spans="1:12">
      <c r="A10" s="6" t="str">
        <f t="shared" si="0"/>
        <v/>
      </c>
      <c r="B10" s="7"/>
      <c r="C10" s="8"/>
      <c r="D10" s="9"/>
      <c r="E10" s="8"/>
      <c r="F10" s="8"/>
      <c r="G10" s="8"/>
      <c r="H10" s="8"/>
      <c r="I10" s="8"/>
      <c r="J10" s="8"/>
      <c r="K10" s="8"/>
      <c r="L10" s="9"/>
    </row>
    <row r="11" spans="1:12">
      <c r="A11" s="6" t="str">
        <f t="shared" si="0"/>
        <v/>
      </c>
      <c r="B11" s="7"/>
      <c r="C11" s="8"/>
      <c r="D11" s="9"/>
      <c r="E11" s="8"/>
      <c r="F11" s="8"/>
      <c r="G11" s="8"/>
      <c r="H11" s="8"/>
      <c r="I11" s="8"/>
      <c r="J11" s="8"/>
      <c r="K11" s="8"/>
      <c r="L11" s="9"/>
    </row>
    <row r="12" spans="1:12">
      <c r="A12" s="6" t="str">
        <f t="shared" si="0"/>
        <v/>
      </c>
      <c r="B12" s="7"/>
      <c r="C12" s="8"/>
      <c r="D12" s="9"/>
      <c r="E12" s="8"/>
      <c r="F12" s="8"/>
      <c r="G12" s="8"/>
      <c r="H12" s="8"/>
      <c r="I12" s="8"/>
      <c r="J12" s="8"/>
      <c r="K12" s="8"/>
      <c r="L12" s="9"/>
    </row>
    <row r="13" spans="1:12">
      <c r="A13" s="6" t="str">
        <f t="shared" si="0"/>
        <v/>
      </c>
      <c r="B13" s="7"/>
      <c r="C13" s="8"/>
      <c r="D13" s="9"/>
      <c r="E13" s="8"/>
      <c r="F13" s="8"/>
      <c r="G13" s="8"/>
      <c r="H13" s="8"/>
      <c r="I13" s="8"/>
      <c r="J13" s="8"/>
      <c r="K13" s="8"/>
      <c r="L13" s="9"/>
    </row>
    <row r="14" spans="1:12">
      <c r="A14" s="6" t="str">
        <f t="shared" si="0"/>
        <v/>
      </c>
      <c r="B14" s="7"/>
      <c r="C14" s="8"/>
      <c r="D14" s="9"/>
      <c r="E14" s="8"/>
      <c r="F14" s="8"/>
      <c r="G14" s="8"/>
      <c r="H14" s="8"/>
      <c r="I14" s="8"/>
      <c r="J14" s="8"/>
      <c r="K14" s="8"/>
      <c r="L14" s="9"/>
    </row>
    <row r="15" spans="1:12">
      <c r="A15" s="6" t="str">
        <f t="shared" si="0"/>
        <v/>
      </c>
      <c r="B15" s="7"/>
      <c r="C15" s="8"/>
      <c r="D15" s="9"/>
      <c r="E15" s="8"/>
      <c r="F15" s="8"/>
      <c r="G15" s="8"/>
      <c r="H15" s="8"/>
      <c r="I15" s="8"/>
      <c r="J15" s="8"/>
      <c r="K15" s="8"/>
      <c r="L15" s="9"/>
    </row>
    <row r="16" spans="1:12">
      <c r="A16" s="6" t="str">
        <f t="shared" si="0"/>
        <v/>
      </c>
      <c r="B16" s="7"/>
      <c r="C16" s="8"/>
      <c r="D16" s="9"/>
      <c r="E16" s="8"/>
      <c r="F16" s="8"/>
      <c r="G16" s="8"/>
      <c r="H16" s="8"/>
      <c r="I16" s="8"/>
      <c r="J16" s="8"/>
      <c r="K16" s="8"/>
      <c r="L16" s="9"/>
    </row>
    <row r="17" spans="1:12">
      <c r="A17" s="6" t="str">
        <f t="shared" si="0"/>
        <v/>
      </c>
      <c r="B17" s="7"/>
      <c r="C17" s="8"/>
      <c r="D17" s="9"/>
      <c r="E17" s="8"/>
      <c r="F17" s="8"/>
      <c r="G17" s="8"/>
      <c r="H17" s="8"/>
      <c r="I17" s="8"/>
      <c r="J17" s="8"/>
      <c r="K17" s="8"/>
      <c r="L17" s="9"/>
    </row>
    <row r="18" spans="1:12">
      <c r="A18" s="6" t="str">
        <f t="shared" si="0"/>
        <v/>
      </c>
      <c r="B18" s="7"/>
      <c r="C18" s="8"/>
      <c r="D18" s="9"/>
      <c r="E18" s="8"/>
      <c r="F18" s="8"/>
      <c r="G18" s="8"/>
      <c r="H18" s="8"/>
      <c r="I18" s="8"/>
      <c r="J18" s="8"/>
      <c r="K18" s="8"/>
      <c r="L18" s="9"/>
    </row>
    <row r="19" spans="1:12">
      <c r="A19" s="6" t="str">
        <f t="shared" si="0"/>
        <v/>
      </c>
      <c r="B19" s="7"/>
      <c r="C19" s="8"/>
      <c r="D19" s="9"/>
      <c r="E19" s="8"/>
      <c r="F19" s="8"/>
      <c r="G19" s="8"/>
      <c r="H19" s="8"/>
      <c r="I19" s="8"/>
      <c r="J19" s="8"/>
      <c r="K19" s="8"/>
      <c r="L19" s="9"/>
    </row>
    <row r="20" spans="1:12">
      <c r="A20" s="6" t="str">
        <f t="shared" si="0"/>
        <v/>
      </c>
      <c r="B20" s="7"/>
      <c r="C20" s="8"/>
      <c r="D20" s="9"/>
      <c r="E20" s="8"/>
      <c r="F20" s="8"/>
      <c r="G20" s="8"/>
      <c r="H20" s="8"/>
      <c r="I20" s="8"/>
      <c r="J20" s="8"/>
      <c r="K20" s="8"/>
      <c r="L20" s="9"/>
    </row>
    <row r="21" spans="1:12">
      <c r="A21" s="6" t="str">
        <f t="shared" si="0"/>
        <v/>
      </c>
      <c r="B21" s="7"/>
      <c r="C21" s="8"/>
      <c r="D21" s="9"/>
      <c r="E21" s="8"/>
      <c r="F21" s="8"/>
      <c r="G21" s="8"/>
      <c r="H21" s="8"/>
      <c r="I21" s="8"/>
      <c r="J21" s="8"/>
      <c r="K21" s="8"/>
      <c r="L21" s="9"/>
    </row>
    <row r="22" spans="1:12">
      <c r="A22" s="6" t="str">
        <f t="shared" si="0"/>
        <v/>
      </c>
      <c r="B22" s="7"/>
      <c r="C22" s="8"/>
      <c r="D22" s="9"/>
      <c r="E22" s="8"/>
      <c r="F22" s="8"/>
      <c r="G22" s="8"/>
      <c r="H22" s="8"/>
      <c r="I22" s="8"/>
      <c r="J22" s="8"/>
      <c r="K22" s="8"/>
      <c r="L22" s="9"/>
    </row>
    <row r="23" spans="1:12">
      <c r="A23" s="6" t="str">
        <f t="shared" si="0"/>
        <v/>
      </c>
      <c r="B23" s="7"/>
      <c r="C23" s="8"/>
      <c r="D23" s="9"/>
      <c r="E23" s="8"/>
      <c r="F23" s="8"/>
      <c r="G23" s="8"/>
      <c r="H23" s="8"/>
      <c r="I23" s="8"/>
      <c r="J23" s="8"/>
      <c r="K23" s="8"/>
      <c r="L23" s="9"/>
    </row>
    <row r="24" spans="1:12">
      <c r="A24" s="6" t="str">
        <f t="shared" si="0"/>
        <v/>
      </c>
      <c r="B24" s="7"/>
      <c r="C24" s="8"/>
      <c r="D24" s="9"/>
      <c r="E24" s="8"/>
      <c r="F24" s="8"/>
      <c r="G24" s="8"/>
      <c r="H24" s="8"/>
      <c r="I24" s="8"/>
      <c r="J24" s="8"/>
      <c r="K24" s="8"/>
      <c r="L24" s="9"/>
    </row>
    <row r="25" spans="1:12">
      <c r="A25" s="6" t="str">
        <f t="shared" si="0"/>
        <v/>
      </c>
      <c r="B25" s="7"/>
      <c r="C25" s="8"/>
      <c r="D25" s="9"/>
      <c r="E25" s="8"/>
      <c r="F25" s="8"/>
      <c r="G25" s="8"/>
      <c r="H25" s="8"/>
      <c r="I25" s="8"/>
      <c r="J25" s="8"/>
      <c r="K25" s="8"/>
      <c r="L25" s="9"/>
    </row>
    <row r="26" spans="1:12">
      <c r="A26" s="6" t="str">
        <f t="shared" si="0"/>
        <v/>
      </c>
      <c r="B26" s="7"/>
      <c r="C26" s="8"/>
      <c r="D26" s="9"/>
      <c r="E26" s="8"/>
      <c r="F26" s="8"/>
      <c r="G26" s="8"/>
      <c r="H26" s="8"/>
      <c r="I26" s="8"/>
      <c r="J26" s="8"/>
      <c r="K26" s="8"/>
      <c r="L26" s="9"/>
    </row>
    <row r="27" spans="1:12">
      <c r="A27" s="6" t="str">
        <f t="shared" si="0"/>
        <v/>
      </c>
      <c r="B27" s="7"/>
      <c r="C27" s="8"/>
      <c r="D27" s="9"/>
      <c r="E27" s="8"/>
      <c r="F27" s="8"/>
      <c r="G27" s="8"/>
      <c r="H27" s="8"/>
      <c r="I27" s="8"/>
      <c r="J27" s="8"/>
      <c r="K27" s="8"/>
      <c r="L27" s="9"/>
    </row>
    <row r="28" spans="1:12">
      <c r="A28" s="6" t="str">
        <f t="shared" si="0"/>
        <v/>
      </c>
      <c r="B28" s="7"/>
      <c r="C28" s="8"/>
      <c r="D28" s="9"/>
      <c r="E28" s="8"/>
      <c r="F28" s="8"/>
      <c r="G28" s="8"/>
      <c r="H28" s="8"/>
      <c r="I28" s="8"/>
      <c r="J28" s="8"/>
      <c r="K28" s="8"/>
      <c r="L28" s="9"/>
    </row>
    <row r="29" spans="1:12">
      <c r="A29" s="6" t="str">
        <f t="shared" si="0"/>
        <v/>
      </c>
      <c r="B29" s="7"/>
      <c r="C29" s="8"/>
      <c r="D29" s="9"/>
      <c r="E29" s="8"/>
      <c r="F29" s="8"/>
      <c r="G29" s="8"/>
      <c r="H29" s="8"/>
      <c r="I29" s="8"/>
      <c r="J29" s="8"/>
      <c r="K29" s="8"/>
      <c r="L29" s="9"/>
    </row>
    <row r="30" spans="1:12">
      <c r="A30" s="6" t="str">
        <f t="shared" si="0"/>
        <v/>
      </c>
      <c r="B30" s="7"/>
      <c r="C30" s="8"/>
      <c r="D30" s="9"/>
      <c r="E30" s="8"/>
      <c r="F30" s="8"/>
      <c r="G30" s="8"/>
      <c r="H30" s="8"/>
      <c r="I30" s="8"/>
      <c r="J30" s="8"/>
      <c r="K30" s="8"/>
      <c r="L30" s="9"/>
    </row>
    <row r="31" spans="1:12">
      <c r="A31" s="6" t="str">
        <f t="shared" si="0"/>
        <v/>
      </c>
      <c r="B31" s="7"/>
      <c r="C31" s="8"/>
      <c r="D31" s="9"/>
      <c r="E31" s="8"/>
      <c r="F31" s="8"/>
      <c r="G31" s="8"/>
      <c r="H31" s="8"/>
      <c r="I31" s="8"/>
      <c r="J31" s="8"/>
      <c r="K31" s="8"/>
      <c r="L31" s="9"/>
    </row>
    <row r="32" spans="1:12">
      <c r="A32" s="6" t="str">
        <f t="shared" si="0"/>
        <v/>
      </c>
      <c r="B32" s="7"/>
      <c r="C32" s="8"/>
      <c r="D32" s="9"/>
      <c r="E32" s="8"/>
      <c r="F32" s="8"/>
      <c r="G32" s="8"/>
      <c r="H32" s="8"/>
      <c r="I32" s="8"/>
      <c r="J32" s="8"/>
      <c r="K32" s="8"/>
      <c r="L32" s="9"/>
    </row>
    <row r="33" spans="1:12">
      <c r="A33" s="6" t="str">
        <f t="shared" si="0"/>
        <v/>
      </c>
      <c r="B33" s="7"/>
      <c r="C33" s="8"/>
      <c r="D33" s="9"/>
      <c r="E33" s="8"/>
      <c r="F33" s="8"/>
      <c r="G33" s="8"/>
      <c r="H33" s="8"/>
      <c r="I33" s="8"/>
      <c r="J33" s="8"/>
      <c r="K33" s="8"/>
      <c r="L33" s="9"/>
    </row>
    <row r="34" spans="1:12">
      <c r="A34" s="6" t="str">
        <f t="shared" si="0"/>
        <v/>
      </c>
      <c r="B34" s="7"/>
      <c r="C34" s="8"/>
      <c r="D34" s="9"/>
      <c r="E34" s="8"/>
      <c r="F34" s="8"/>
      <c r="G34" s="8"/>
      <c r="H34" s="8"/>
      <c r="I34" s="8"/>
      <c r="J34" s="8"/>
      <c r="K34" s="8"/>
      <c r="L34" s="9"/>
    </row>
    <row r="35" spans="1:12">
      <c r="A35" s="6" t="str">
        <f t="shared" si="0"/>
        <v/>
      </c>
      <c r="B35" s="7"/>
      <c r="C35" s="8"/>
      <c r="D35" s="9"/>
      <c r="E35" s="8"/>
      <c r="F35" s="8"/>
      <c r="G35" s="8"/>
      <c r="H35" s="8"/>
      <c r="I35" s="8"/>
      <c r="J35" s="8"/>
      <c r="K35" s="8"/>
      <c r="L35" s="9"/>
    </row>
    <row r="36" spans="1:12">
      <c r="A36" s="6" t="str">
        <f t="shared" si="0"/>
        <v/>
      </c>
      <c r="B36" s="7"/>
      <c r="C36" s="8"/>
      <c r="D36" s="9"/>
      <c r="E36" s="8"/>
      <c r="F36" s="8"/>
      <c r="G36" s="8"/>
      <c r="H36" s="8"/>
      <c r="I36" s="8"/>
      <c r="J36" s="8"/>
      <c r="K36" s="8"/>
      <c r="L36" s="9"/>
    </row>
    <row r="37" spans="1:12">
      <c r="A37" s="6" t="str">
        <f t="shared" si="0"/>
        <v/>
      </c>
      <c r="B37" s="7"/>
      <c r="C37" s="8"/>
      <c r="D37" s="9"/>
      <c r="E37" s="8"/>
      <c r="F37" s="8"/>
      <c r="G37" s="8"/>
      <c r="H37" s="8"/>
      <c r="I37" s="8"/>
      <c r="J37" s="8"/>
      <c r="K37" s="8"/>
      <c r="L37" s="9"/>
    </row>
    <row r="38" spans="1:12">
      <c r="A38" s="6" t="str">
        <f t="shared" si="0"/>
        <v/>
      </c>
      <c r="B38" s="7"/>
      <c r="C38" s="8"/>
      <c r="D38" s="9"/>
      <c r="E38" s="8"/>
      <c r="F38" s="8"/>
      <c r="G38" s="8"/>
      <c r="H38" s="8"/>
      <c r="I38" s="8"/>
      <c r="J38" s="8"/>
      <c r="K38" s="8"/>
      <c r="L38" s="9"/>
    </row>
    <row r="39" spans="1:12">
      <c r="A39" s="6" t="str">
        <f t="shared" si="0"/>
        <v/>
      </c>
      <c r="B39" s="7"/>
      <c r="C39" s="8"/>
      <c r="D39" s="9"/>
      <c r="E39" s="8"/>
      <c r="F39" s="8"/>
      <c r="G39" s="8"/>
      <c r="H39" s="8"/>
      <c r="I39" s="8"/>
      <c r="J39" s="8"/>
      <c r="K39" s="8"/>
      <c r="L39" s="9"/>
    </row>
    <row r="40" spans="1:12">
      <c r="A40" s="6" t="str">
        <f t="shared" si="0"/>
        <v/>
      </c>
      <c r="B40" s="7"/>
      <c r="C40" s="8"/>
      <c r="D40" s="9"/>
      <c r="E40" s="8"/>
      <c r="F40" s="8"/>
      <c r="G40" s="8"/>
      <c r="H40" s="8"/>
      <c r="I40" s="8"/>
      <c r="J40" s="8"/>
      <c r="K40" s="8"/>
      <c r="L40" s="9"/>
    </row>
    <row r="41" spans="1:12">
      <c r="A41" s="6" t="str">
        <f t="shared" si="0"/>
        <v/>
      </c>
      <c r="B41" s="7"/>
      <c r="C41" s="8"/>
      <c r="D41" s="9"/>
      <c r="E41" s="8"/>
      <c r="F41" s="8"/>
      <c r="G41" s="8"/>
      <c r="H41" s="8"/>
      <c r="I41" s="8"/>
      <c r="J41" s="8"/>
      <c r="K41" s="8"/>
      <c r="L41" s="9"/>
    </row>
    <row r="42" spans="1:12">
      <c r="A42" s="6" t="str">
        <f t="shared" si="0"/>
        <v/>
      </c>
      <c r="B42" s="7"/>
      <c r="C42" s="8"/>
      <c r="D42" s="9"/>
      <c r="E42" s="8"/>
      <c r="F42" s="8"/>
      <c r="G42" s="8"/>
      <c r="H42" s="8"/>
      <c r="I42" s="8"/>
      <c r="J42" s="8"/>
      <c r="K42" s="8"/>
      <c r="L42" s="9"/>
    </row>
    <row r="43" spans="1:12">
      <c r="A43" s="6" t="str">
        <f t="shared" si="0"/>
        <v/>
      </c>
      <c r="B43" s="7"/>
      <c r="C43" s="8"/>
      <c r="D43" s="9"/>
      <c r="E43" s="8"/>
      <c r="F43" s="8"/>
      <c r="G43" s="8"/>
      <c r="H43" s="8"/>
      <c r="I43" s="8"/>
      <c r="J43" s="8"/>
      <c r="K43" s="8"/>
      <c r="L43" s="9"/>
    </row>
    <row r="44" spans="1:12">
      <c r="A44" s="6" t="str">
        <f t="shared" si="0"/>
        <v/>
      </c>
      <c r="B44" s="7"/>
      <c r="C44" s="8"/>
      <c r="D44" s="9"/>
      <c r="E44" s="8"/>
      <c r="F44" s="8"/>
      <c r="G44" s="8"/>
      <c r="H44" s="8"/>
      <c r="I44" s="8"/>
      <c r="J44" s="8"/>
      <c r="K44" s="8"/>
      <c r="L44" s="9"/>
    </row>
    <row r="45" spans="1:12">
      <c r="A45" s="6" t="str">
        <f t="shared" si="0"/>
        <v/>
      </c>
      <c r="B45" s="7"/>
      <c r="C45" s="8"/>
      <c r="D45" s="9"/>
      <c r="E45" s="8"/>
      <c r="F45" s="8"/>
      <c r="G45" s="8"/>
      <c r="H45" s="8"/>
      <c r="I45" s="8"/>
      <c r="J45" s="8"/>
      <c r="K45" s="8"/>
      <c r="L45" s="9"/>
    </row>
    <row r="46" spans="1:12">
      <c r="A46" s="6" t="str">
        <f t="shared" si="0"/>
        <v/>
      </c>
      <c r="B46" s="7"/>
      <c r="C46" s="8"/>
      <c r="D46" s="9"/>
      <c r="E46" s="8"/>
      <c r="F46" s="8"/>
      <c r="G46" s="8"/>
      <c r="H46" s="8"/>
      <c r="I46" s="8"/>
      <c r="J46" s="8"/>
      <c r="K46" s="8"/>
      <c r="L46" s="9"/>
    </row>
    <row r="47" spans="1:12">
      <c r="A47" s="6" t="str">
        <f t="shared" si="0"/>
        <v/>
      </c>
      <c r="B47" s="7"/>
      <c r="C47" s="8"/>
      <c r="D47" s="9"/>
      <c r="E47" s="8"/>
      <c r="F47" s="8"/>
      <c r="G47" s="8"/>
      <c r="H47" s="8"/>
      <c r="I47" s="8"/>
      <c r="J47" s="8"/>
      <c r="K47" s="8"/>
      <c r="L47" s="9"/>
    </row>
    <row r="48" spans="1:12">
      <c r="A48" s="6" t="str">
        <f t="shared" si="0"/>
        <v/>
      </c>
      <c r="B48" s="7"/>
      <c r="C48" s="8"/>
      <c r="D48" s="9"/>
      <c r="E48" s="8"/>
      <c r="F48" s="8"/>
      <c r="G48" s="8"/>
      <c r="H48" s="8"/>
      <c r="I48" s="8"/>
      <c r="J48" s="8"/>
      <c r="K48" s="8"/>
      <c r="L48" s="9"/>
    </row>
    <row r="49" spans="1:12">
      <c r="A49" s="6" t="str">
        <f t="shared" si="0"/>
        <v/>
      </c>
      <c r="B49" s="7"/>
      <c r="C49" s="8"/>
      <c r="D49" s="9"/>
      <c r="E49" s="8"/>
      <c r="F49" s="8"/>
      <c r="G49" s="8"/>
      <c r="H49" s="8"/>
      <c r="I49" s="8"/>
      <c r="J49" s="8"/>
      <c r="K49" s="8"/>
      <c r="L49" s="9"/>
    </row>
    <row r="50" spans="1:12">
      <c r="A50" s="6" t="str">
        <f t="shared" si="0"/>
        <v/>
      </c>
      <c r="B50" s="7"/>
      <c r="C50" s="8"/>
      <c r="D50" s="9"/>
      <c r="E50" s="8"/>
      <c r="F50" s="8"/>
      <c r="G50" s="8"/>
      <c r="H50" s="8"/>
      <c r="I50" s="8"/>
      <c r="J50" s="8"/>
      <c r="K50" s="8"/>
      <c r="L50" s="9"/>
    </row>
    <row r="51" spans="1:12">
      <c r="A51" s="6" t="str">
        <f t="shared" si="0"/>
        <v/>
      </c>
      <c r="B51" s="7"/>
      <c r="C51" s="8"/>
      <c r="D51" s="9"/>
      <c r="E51" s="8"/>
      <c r="F51" s="8"/>
      <c r="G51" s="8"/>
      <c r="H51" s="8"/>
      <c r="I51" s="8"/>
      <c r="J51" s="8"/>
      <c r="K51" s="8"/>
      <c r="L51" s="9"/>
    </row>
    <row r="52" spans="1:12">
      <c r="A52" s="6" t="str">
        <f t="shared" si="0"/>
        <v/>
      </c>
      <c r="B52" s="7"/>
      <c r="C52" s="8"/>
      <c r="D52" s="9"/>
      <c r="E52" s="8"/>
      <c r="F52" s="8"/>
      <c r="G52" s="8"/>
      <c r="H52" s="8"/>
      <c r="I52" s="8"/>
      <c r="J52" s="8"/>
      <c r="K52" s="8"/>
      <c r="L52" s="9"/>
    </row>
    <row r="53" spans="1:12">
      <c r="A53" s="6" t="str">
        <f t="shared" si="0"/>
        <v/>
      </c>
      <c r="B53" s="7"/>
      <c r="C53" s="8"/>
      <c r="D53" s="9"/>
      <c r="E53" s="8"/>
      <c r="F53" s="8"/>
      <c r="G53" s="8"/>
      <c r="H53" s="8"/>
      <c r="I53" s="8"/>
      <c r="J53" s="8"/>
      <c r="K53" s="8"/>
      <c r="L53" s="9"/>
    </row>
    <row r="54" spans="1:12">
      <c r="A54" s="6" t="str">
        <f t="shared" si="0"/>
        <v/>
      </c>
      <c r="B54" s="7"/>
      <c r="C54" s="8"/>
      <c r="D54" s="9"/>
      <c r="E54" s="8"/>
      <c r="F54" s="8"/>
      <c r="G54" s="8"/>
      <c r="H54" s="8"/>
      <c r="I54" s="8"/>
      <c r="J54" s="8"/>
      <c r="K54" s="8"/>
      <c r="L54" s="9"/>
    </row>
    <row r="55" spans="1:12">
      <c r="A55" s="6" t="str">
        <f t="shared" si="0"/>
        <v/>
      </c>
      <c r="B55" s="7"/>
      <c r="C55" s="8"/>
      <c r="D55" s="9"/>
      <c r="E55" s="8"/>
      <c r="F55" s="8"/>
      <c r="G55" s="8"/>
      <c r="H55" s="8"/>
      <c r="I55" s="8"/>
      <c r="J55" s="8"/>
      <c r="K55" s="8"/>
      <c r="L55" s="9"/>
    </row>
    <row r="56" spans="1:12">
      <c r="A56" s="6" t="str">
        <f t="shared" si="0"/>
        <v/>
      </c>
      <c r="B56" s="7"/>
      <c r="C56" s="8"/>
      <c r="D56" s="9"/>
      <c r="E56" s="8"/>
      <c r="F56" s="8"/>
      <c r="G56" s="8"/>
      <c r="H56" s="8"/>
      <c r="I56" s="8"/>
      <c r="J56" s="8"/>
      <c r="K56" s="8"/>
      <c r="L56" s="9"/>
    </row>
    <row r="57" spans="1:12">
      <c r="A57" s="6" t="str">
        <f t="shared" si="0"/>
        <v/>
      </c>
      <c r="B57" s="7"/>
      <c r="C57" s="8"/>
      <c r="D57" s="9"/>
      <c r="E57" s="8"/>
      <c r="F57" s="8"/>
      <c r="G57" s="8"/>
      <c r="H57" s="8"/>
      <c r="I57" s="8"/>
      <c r="J57" s="8"/>
      <c r="K57" s="8"/>
      <c r="L57" s="9"/>
    </row>
    <row r="58" spans="1:12">
      <c r="A58" s="6" t="str">
        <f t="shared" si="0"/>
        <v/>
      </c>
      <c r="B58" s="7"/>
      <c r="C58" s="8"/>
      <c r="D58" s="9"/>
      <c r="E58" s="8"/>
      <c r="F58" s="8"/>
      <c r="G58" s="8"/>
      <c r="H58" s="8"/>
      <c r="I58" s="8"/>
      <c r="J58" s="8"/>
      <c r="K58" s="8"/>
      <c r="L58" s="9"/>
    </row>
    <row r="59" spans="1:12">
      <c r="A59" s="6" t="str">
        <f t="shared" si="0"/>
        <v/>
      </c>
      <c r="B59" s="7"/>
      <c r="C59" s="8"/>
      <c r="D59" s="9"/>
      <c r="E59" s="8"/>
      <c r="F59" s="8"/>
      <c r="G59" s="8"/>
      <c r="H59" s="8"/>
      <c r="I59" s="8"/>
      <c r="J59" s="8"/>
      <c r="K59" s="8"/>
      <c r="L59" s="9"/>
    </row>
    <row r="60" spans="1:12">
      <c r="A60" s="6" t="str">
        <f t="shared" si="0"/>
        <v/>
      </c>
      <c r="B60" s="7"/>
      <c r="C60" s="8"/>
      <c r="D60" s="9"/>
      <c r="E60" s="8"/>
      <c r="F60" s="8"/>
      <c r="G60" s="8"/>
      <c r="H60" s="8"/>
      <c r="I60" s="8"/>
      <c r="J60" s="8"/>
      <c r="K60" s="8"/>
      <c r="L60" s="9"/>
    </row>
    <row r="61" spans="1:12">
      <c r="A61" s="6" t="str">
        <f t="shared" si="0"/>
        <v/>
      </c>
      <c r="B61" s="7"/>
      <c r="C61" s="8"/>
      <c r="D61" s="9"/>
      <c r="E61" s="8"/>
      <c r="F61" s="8"/>
      <c r="G61" s="8"/>
      <c r="H61" s="8"/>
      <c r="I61" s="8"/>
      <c r="J61" s="8"/>
      <c r="K61" s="8"/>
      <c r="L61" s="9"/>
    </row>
    <row r="62" spans="1:12">
      <c r="A62" s="6" t="str">
        <f t="shared" si="0"/>
        <v/>
      </c>
      <c r="B62" s="7"/>
      <c r="C62" s="8"/>
      <c r="D62" s="9"/>
      <c r="E62" s="8"/>
      <c r="F62" s="8"/>
      <c r="G62" s="8"/>
      <c r="H62" s="8"/>
      <c r="I62" s="8"/>
      <c r="J62" s="8"/>
      <c r="K62" s="8"/>
      <c r="L62" s="9"/>
    </row>
    <row r="63" spans="1:12">
      <c r="A63" s="6" t="str">
        <f t="shared" si="0"/>
        <v/>
      </c>
      <c r="B63" s="7"/>
      <c r="C63" s="8"/>
      <c r="D63" s="9"/>
      <c r="E63" s="8"/>
      <c r="F63" s="8"/>
      <c r="G63" s="8"/>
      <c r="H63" s="8"/>
      <c r="I63" s="8"/>
      <c r="J63" s="8"/>
      <c r="K63" s="8"/>
      <c r="L63" s="9"/>
    </row>
    <row r="64" spans="1:12">
      <c r="A64" s="6" t="str">
        <f t="shared" si="0"/>
        <v/>
      </c>
      <c r="B64" s="7"/>
      <c r="C64" s="8"/>
      <c r="D64" s="9"/>
      <c r="E64" s="8"/>
      <c r="F64" s="8"/>
      <c r="G64" s="8"/>
      <c r="H64" s="8"/>
      <c r="I64" s="8"/>
      <c r="J64" s="8"/>
      <c r="K64" s="8"/>
      <c r="L64" s="9"/>
    </row>
    <row r="65" spans="1:12">
      <c r="A65" s="6" t="str">
        <f t="shared" si="0"/>
        <v/>
      </c>
      <c r="B65" s="7"/>
      <c r="C65" s="8"/>
      <c r="D65" s="9"/>
      <c r="E65" s="8"/>
      <c r="F65" s="8"/>
      <c r="G65" s="8"/>
      <c r="H65" s="8"/>
      <c r="I65" s="8"/>
      <c r="J65" s="8"/>
      <c r="K65" s="8"/>
      <c r="L65" s="9"/>
    </row>
    <row r="66" spans="1:12">
      <c r="A66" s="6" t="str">
        <f t="shared" si="0"/>
        <v/>
      </c>
      <c r="B66" s="7"/>
      <c r="C66" s="8"/>
      <c r="D66" s="9"/>
      <c r="E66" s="8"/>
      <c r="F66" s="8"/>
      <c r="G66" s="8"/>
      <c r="H66" s="8"/>
      <c r="I66" s="8"/>
      <c r="J66" s="8"/>
      <c r="K66" s="8"/>
      <c r="L66" s="9"/>
    </row>
    <row r="67" spans="1:12">
      <c r="A67" s="6" t="str">
        <f t="shared" si="0"/>
        <v/>
      </c>
      <c r="B67" s="7"/>
      <c r="C67" s="8"/>
      <c r="D67" s="9"/>
      <c r="E67" s="8"/>
      <c r="F67" s="8"/>
      <c r="G67" s="8"/>
      <c r="H67" s="8"/>
      <c r="I67" s="8"/>
      <c r="J67" s="8"/>
      <c r="K67" s="8"/>
      <c r="L67" s="9"/>
    </row>
    <row r="68" spans="1:12">
      <c r="A68" s="6" t="str">
        <f t="shared" si="0"/>
        <v/>
      </c>
      <c r="B68" s="7"/>
      <c r="C68" s="8"/>
      <c r="D68" s="9"/>
      <c r="E68" s="8"/>
      <c r="F68" s="8"/>
      <c r="G68" s="8"/>
      <c r="H68" s="8"/>
      <c r="I68" s="8"/>
      <c r="J68" s="8"/>
      <c r="K68" s="8"/>
      <c r="L68" s="9"/>
    </row>
    <row r="69" spans="1:12">
      <c r="A69" s="6" t="str">
        <f t="shared" ref="A69:A104" si="1">IF(B69="","","AI-"&amp;TEXT(ROW()-4,"0000"))</f>
        <v/>
      </c>
      <c r="B69" s="7"/>
      <c r="C69" s="8"/>
      <c r="D69" s="9"/>
      <c r="E69" s="8"/>
      <c r="F69" s="8"/>
      <c r="G69" s="8"/>
      <c r="H69" s="8"/>
      <c r="I69" s="8"/>
      <c r="J69" s="8"/>
      <c r="K69" s="8"/>
      <c r="L69" s="9"/>
    </row>
    <row r="70" spans="1:12">
      <c r="A70" s="6" t="str">
        <f t="shared" si="1"/>
        <v/>
      </c>
      <c r="B70" s="7"/>
      <c r="C70" s="8"/>
      <c r="D70" s="9"/>
      <c r="E70" s="8"/>
      <c r="F70" s="8"/>
      <c r="G70" s="8"/>
      <c r="H70" s="8"/>
      <c r="I70" s="8"/>
      <c r="J70" s="8"/>
      <c r="K70" s="8"/>
      <c r="L70" s="9"/>
    </row>
    <row r="71" spans="1:12">
      <c r="A71" s="6" t="str">
        <f t="shared" si="1"/>
        <v/>
      </c>
      <c r="B71" s="7"/>
      <c r="C71" s="8"/>
      <c r="D71" s="9"/>
      <c r="E71" s="8"/>
      <c r="F71" s="8"/>
      <c r="G71" s="8"/>
      <c r="H71" s="8"/>
      <c r="I71" s="8"/>
      <c r="J71" s="8"/>
      <c r="K71" s="8"/>
      <c r="L71" s="9"/>
    </row>
    <row r="72" spans="1:12">
      <c r="A72" s="6" t="str">
        <f t="shared" si="1"/>
        <v/>
      </c>
      <c r="B72" s="7"/>
      <c r="C72" s="8"/>
      <c r="D72" s="9"/>
      <c r="E72" s="8"/>
      <c r="F72" s="8"/>
      <c r="G72" s="8"/>
      <c r="H72" s="8"/>
      <c r="I72" s="8"/>
      <c r="J72" s="8"/>
      <c r="K72" s="8"/>
      <c r="L72" s="9"/>
    </row>
    <row r="73" spans="1:12">
      <c r="A73" s="6" t="str">
        <f t="shared" si="1"/>
        <v/>
      </c>
      <c r="B73" s="7"/>
      <c r="C73" s="8"/>
      <c r="D73" s="9"/>
      <c r="E73" s="8"/>
      <c r="F73" s="8"/>
      <c r="G73" s="8"/>
      <c r="H73" s="8"/>
      <c r="I73" s="8"/>
      <c r="J73" s="8"/>
      <c r="K73" s="8"/>
      <c r="L73" s="9"/>
    </row>
    <row r="74" spans="1:12">
      <c r="A74" s="6" t="str">
        <f t="shared" si="1"/>
        <v/>
      </c>
      <c r="B74" s="7"/>
      <c r="C74" s="8"/>
      <c r="D74" s="9"/>
      <c r="E74" s="8"/>
      <c r="F74" s="8"/>
      <c r="G74" s="8"/>
      <c r="H74" s="8"/>
      <c r="I74" s="8"/>
      <c r="J74" s="8"/>
      <c r="K74" s="8"/>
      <c r="L74" s="9"/>
    </row>
    <row r="75" spans="1:12">
      <c r="A75" s="6" t="str">
        <f t="shared" si="1"/>
        <v/>
      </c>
      <c r="B75" s="7"/>
      <c r="C75" s="8"/>
      <c r="D75" s="9"/>
      <c r="E75" s="8"/>
      <c r="F75" s="8"/>
      <c r="G75" s="8"/>
      <c r="H75" s="8"/>
      <c r="I75" s="8"/>
      <c r="J75" s="8"/>
      <c r="K75" s="8"/>
      <c r="L75" s="9"/>
    </row>
    <row r="76" spans="1:12">
      <c r="A76" s="6" t="str">
        <f t="shared" si="1"/>
        <v/>
      </c>
      <c r="B76" s="7"/>
      <c r="C76" s="8"/>
      <c r="D76" s="9"/>
      <c r="E76" s="8"/>
      <c r="F76" s="8"/>
      <c r="G76" s="8"/>
      <c r="H76" s="8"/>
      <c r="I76" s="8"/>
      <c r="J76" s="8"/>
      <c r="K76" s="8"/>
      <c r="L76" s="9"/>
    </row>
    <row r="77" spans="1:12">
      <c r="A77" s="6" t="str">
        <f t="shared" si="1"/>
        <v/>
      </c>
      <c r="B77" s="7"/>
      <c r="C77" s="8"/>
      <c r="D77" s="9"/>
      <c r="E77" s="8"/>
      <c r="F77" s="8"/>
      <c r="G77" s="8"/>
      <c r="H77" s="8"/>
      <c r="I77" s="8"/>
      <c r="J77" s="8"/>
      <c r="K77" s="8"/>
      <c r="L77" s="9"/>
    </row>
    <row r="78" spans="1:12">
      <c r="A78" s="6" t="str">
        <f t="shared" si="1"/>
        <v/>
      </c>
      <c r="B78" s="7"/>
      <c r="C78" s="8"/>
      <c r="D78" s="9"/>
      <c r="E78" s="8"/>
      <c r="F78" s="8"/>
      <c r="G78" s="8"/>
      <c r="H78" s="8"/>
      <c r="I78" s="8"/>
      <c r="J78" s="8"/>
      <c r="K78" s="8"/>
      <c r="L78" s="9"/>
    </row>
    <row r="79" spans="1:12">
      <c r="A79" s="6" t="str">
        <f t="shared" si="1"/>
        <v/>
      </c>
      <c r="B79" s="7"/>
      <c r="C79" s="8"/>
      <c r="D79" s="9"/>
      <c r="E79" s="8"/>
      <c r="F79" s="8"/>
      <c r="G79" s="8"/>
      <c r="H79" s="8"/>
      <c r="I79" s="8"/>
      <c r="J79" s="8"/>
      <c r="K79" s="8"/>
      <c r="L79" s="9"/>
    </row>
    <row r="80" spans="1:12">
      <c r="A80" s="6" t="str">
        <f t="shared" si="1"/>
        <v/>
      </c>
      <c r="B80" s="7"/>
      <c r="C80" s="8"/>
      <c r="D80" s="9"/>
      <c r="E80" s="8"/>
      <c r="F80" s="8"/>
      <c r="G80" s="8"/>
      <c r="H80" s="8"/>
      <c r="I80" s="8"/>
      <c r="J80" s="8"/>
      <c r="K80" s="8"/>
      <c r="L80" s="9"/>
    </row>
    <row r="81" spans="1:12">
      <c r="A81" s="6" t="str">
        <f t="shared" si="1"/>
        <v/>
      </c>
      <c r="B81" s="7"/>
      <c r="C81" s="8"/>
      <c r="D81" s="9"/>
      <c r="E81" s="8"/>
      <c r="F81" s="8"/>
      <c r="G81" s="8"/>
      <c r="H81" s="8"/>
      <c r="I81" s="8"/>
      <c r="J81" s="8"/>
      <c r="K81" s="8"/>
      <c r="L81" s="9"/>
    </row>
    <row r="82" spans="1:12">
      <c r="A82" s="6" t="str">
        <f t="shared" si="1"/>
        <v/>
      </c>
      <c r="B82" s="7"/>
      <c r="C82" s="8"/>
      <c r="D82" s="9"/>
      <c r="E82" s="8"/>
      <c r="F82" s="8"/>
      <c r="G82" s="8"/>
      <c r="H82" s="8"/>
      <c r="I82" s="8"/>
      <c r="J82" s="8"/>
      <c r="K82" s="8"/>
      <c r="L82" s="9"/>
    </row>
    <row r="83" spans="1:12">
      <c r="A83" s="6" t="str">
        <f t="shared" si="1"/>
        <v/>
      </c>
      <c r="B83" s="7"/>
      <c r="C83" s="8"/>
      <c r="D83" s="9"/>
      <c r="E83" s="8"/>
      <c r="F83" s="8"/>
      <c r="G83" s="8"/>
      <c r="H83" s="8"/>
      <c r="I83" s="8"/>
      <c r="J83" s="8"/>
      <c r="K83" s="8"/>
      <c r="L83" s="9"/>
    </row>
    <row r="84" spans="1:12">
      <c r="A84" s="6" t="str">
        <f t="shared" si="1"/>
        <v/>
      </c>
      <c r="B84" s="7"/>
      <c r="C84" s="8"/>
      <c r="D84" s="9"/>
      <c r="E84" s="8"/>
      <c r="F84" s="8"/>
      <c r="G84" s="8"/>
      <c r="H84" s="8"/>
      <c r="I84" s="8"/>
      <c r="J84" s="8"/>
      <c r="K84" s="8"/>
      <c r="L84" s="9"/>
    </row>
    <row r="85" spans="1:12">
      <c r="A85" s="6" t="str">
        <f t="shared" si="1"/>
        <v/>
      </c>
      <c r="B85" s="7"/>
      <c r="C85" s="8"/>
      <c r="D85" s="9"/>
      <c r="E85" s="8"/>
      <c r="F85" s="8"/>
      <c r="G85" s="8"/>
      <c r="H85" s="8"/>
      <c r="I85" s="8"/>
      <c r="J85" s="8"/>
      <c r="K85" s="8"/>
      <c r="L85" s="9"/>
    </row>
    <row r="86" spans="1:12">
      <c r="A86" s="6" t="str">
        <f t="shared" si="1"/>
        <v/>
      </c>
      <c r="B86" s="7"/>
      <c r="C86" s="8"/>
      <c r="D86" s="9"/>
      <c r="E86" s="8"/>
      <c r="F86" s="8"/>
      <c r="G86" s="8"/>
      <c r="H86" s="8"/>
      <c r="I86" s="8"/>
      <c r="J86" s="8"/>
      <c r="K86" s="8"/>
      <c r="L86" s="9"/>
    </row>
    <row r="87" spans="1:12">
      <c r="A87" s="6" t="str">
        <f t="shared" si="1"/>
        <v/>
      </c>
      <c r="B87" s="7"/>
      <c r="C87" s="8"/>
      <c r="D87" s="9"/>
      <c r="E87" s="8"/>
      <c r="F87" s="8"/>
      <c r="G87" s="8"/>
      <c r="H87" s="8"/>
      <c r="I87" s="8"/>
      <c r="J87" s="8"/>
      <c r="K87" s="8"/>
      <c r="L87" s="9"/>
    </row>
    <row r="88" spans="1:12">
      <c r="A88" s="6" t="str">
        <f t="shared" si="1"/>
        <v/>
      </c>
      <c r="B88" s="7"/>
      <c r="C88" s="8"/>
      <c r="D88" s="9"/>
      <c r="E88" s="8"/>
      <c r="F88" s="8"/>
      <c r="G88" s="8"/>
      <c r="H88" s="8"/>
      <c r="I88" s="8"/>
      <c r="J88" s="8"/>
      <c r="K88" s="8"/>
      <c r="L88" s="9"/>
    </row>
    <row r="89" spans="1:12">
      <c r="A89" s="6" t="str">
        <f t="shared" si="1"/>
        <v/>
      </c>
      <c r="B89" s="7"/>
      <c r="C89" s="8"/>
      <c r="D89" s="9"/>
      <c r="E89" s="8"/>
      <c r="F89" s="8"/>
      <c r="G89" s="8"/>
      <c r="H89" s="8"/>
      <c r="I89" s="8"/>
      <c r="J89" s="8"/>
      <c r="K89" s="8"/>
      <c r="L89" s="9"/>
    </row>
    <row r="90" spans="1:12">
      <c r="A90" s="6" t="str">
        <f t="shared" si="1"/>
        <v/>
      </c>
      <c r="B90" s="7"/>
      <c r="C90" s="8"/>
      <c r="D90" s="9"/>
      <c r="E90" s="8"/>
      <c r="F90" s="8"/>
      <c r="G90" s="8"/>
      <c r="H90" s="8"/>
      <c r="I90" s="8"/>
      <c r="J90" s="8"/>
      <c r="K90" s="8"/>
      <c r="L90" s="9"/>
    </row>
    <row r="91" spans="1:12">
      <c r="A91" s="6" t="str">
        <f t="shared" si="1"/>
        <v/>
      </c>
      <c r="B91" s="7"/>
      <c r="C91" s="8"/>
      <c r="D91" s="9"/>
      <c r="E91" s="8"/>
      <c r="F91" s="8"/>
      <c r="G91" s="8"/>
      <c r="H91" s="8"/>
      <c r="I91" s="8"/>
      <c r="J91" s="8"/>
      <c r="K91" s="8"/>
      <c r="L91" s="9"/>
    </row>
    <row r="92" spans="1:12">
      <c r="A92" s="6" t="str">
        <f t="shared" si="1"/>
        <v/>
      </c>
      <c r="B92" s="7"/>
      <c r="C92" s="8"/>
      <c r="D92" s="9"/>
      <c r="E92" s="8"/>
      <c r="F92" s="8"/>
      <c r="G92" s="8"/>
      <c r="H92" s="8"/>
      <c r="I92" s="8"/>
      <c r="J92" s="8"/>
      <c r="K92" s="8"/>
      <c r="L92" s="9"/>
    </row>
    <row r="93" spans="1:12">
      <c r="A93" s="6" t="str">
        <f t="shared" si="1"/>
        <v/>
      </c>
      <c r="B93" s="7"/>
      <c r="C93" s="8"/>
      <c r="D93" s="9"/>
      <c r="E93" s="8"/>
      <c r="F93" s="8"/>
      <c r="G93" s="8"/>
      <c r="H93" s="8"/>
      <c r="I93" s="8"/>
      <c r="J93" s="8"/>
      <c r="K93" s="8"/>
      <c r="L93" s="9"/>
    </row>
    <row r="94" spans="1:12">
      <c r="A94" s="6" t="str">
        <f t="shared" si="1"/>
        <v/>
      </c>
      <c r="B94" s="7"/>
      <c r="C94" s="8"/>
      <c r="D94" s="9"/>
      <c r="E94" s="8"/>
      <c r="F94" s="8"/>
      <c r="G94" s="8"/>
      <c r="H94" s="8"/>
      <c r="I94" s="8"/>
      <c r="J94" s="8"/>
      <c r="K94" s="8"/>
      <c r="L94" s="9"/>
    </row>
    <row r="95" spans="1:12">
      <c r="A95" s="6" t="str">
        <f t="shared" si="1"/>
        <v/>
      </c>
      <c r="B95" s="7"/>
      <c r="C95" s="8"/>
      <c r="D95" s="9"/>
      <c r="E95" s="8"/>
      <c r="F95" s="8"/>
      <c r="G95" s="8"/>
      <c r="H95" s="8"/>
      <c r="I95" s="8"/>
      <c r="J95" s="8"/>
      <c r="K95" s="8"/>
      <c r="L95" s="9"/>
    </row>
    <row r="96" spans="1:12">
      <c r="A96" s="6" t="str">
        <f t="shared" si="1"/>
        <v/>
      </c>
      <c r="B96" s="7"/>
      <c r="C96" s="8"/>
      <c r="D96" s="9"/>
      <c r="E96" s="8"/>
      <c r="F96" s="8"/>
      <c r="G96" s="8"/>
      <c r="H96" s="8"/>
      <c r="I96" s="8"/>
      <c r="J96" s="8"/>
      <c r="K96" s="8"/>
      <c r="L96" s="9"/>
    </row>
    <row r="97" spans="1:12">
      <c r="A97" s="6" t="str">
        <f t="shared" si="1"/>
        <v/>
      </c>
      <c r="B97" s="7"/>
      <c r="C97" s="8"/>
      <c r="D97" s="9"/>
      <c r="E97" s="8"/>
      <c r="F97" s="8"/>
      <c r="G97" s="8"/>
      <c r="H97" s="8"/>
      <c r="I97" s="8"/>
      <c r="J97" s="8"/>
      <c r="K97" s="8"/>
      <c r="L97" s="9"/>
    </row>
    <row r="98" spans="1:12">
      <c r="A98" s="6" t="str">
        <f t="shared" si="1"/>
        <v/>
      </c>
      <c r="B98" s="7"/>
      <c r="C98" s="8"/>
      <c r="D98" s="9"/>
      <c r="E98" s="8"/>
      <c r="F98" s="8"/>
      <c r="G98" s="8"/>
      <c r="H98" s="8"/>
      <c r="I98" s="8"/>
      <c r="J98" s="8"/>
      <c r="K98" s="8"/>
      <c r="L98" s="9"/>
    </row>
    <row r="99" spans="1:12">
      <c r="A99" s="6" t="str">
        <f t="shared" si="1"/>
        <v/>
      </c>
      <c r="B99" s="7"/>
      <c r="C99" s="8"/>
      <c r="D99" s="9"/>
      <c r="E99" s="8"/>
      <c r="F99" s="8"/>
      <c r="G99" s="8"/>
      <c r="H99" s="8"/>
      <c r="I99" s="8"/>
      <c r="J99" s="8"/>
      <c r="K99" s="8"/>
      <c r="L99" s="9"/>
    </row>
    <row r="100" spans="1:12">
      <c r="A100" s="6" t="str">
        <f t="shared" si="1"/>
        <v/>
      </c>
      <c r="B100" s="7"/>
      <c r="C100" s="8"/>
      <c r="D100" s="9"/>
      <c r="E100" s="8"/>
      <c r="F100" s="8"/>
      <c r="G100" s="8"/>
      <c r="H100" s="8"/>
      <c r="I100" s="8"/>
      <c r="J100" s="8"/>
      <c r="K100" s="8"/>
      <c r="L100" s="9"/>
    </row>
    <row r="101" spans="1:12">
      <c r="A101" s="6" t="str">
        <f t="shared" si="1"/>
        <v/>
      </c>
      <c r="B101" s="7"/>
      <c r="C101" s="8"/>
      <c r="D101" s="9"/>
      <c r="E101" s="8"/>
      <c r="F101" s="8"/>
      <c r="G101" s="8"/>
      <c r="H101" s="8"/>
      <c r="I101" s="8"/>
      <c r="J101" s="8"/>
      <c r="K101" s="8"/>
      <c r="L101" s="9"/>
    </row>
    <row r="102" spans="1:12">
      <c r="A102" s="6" t="str">
        <f t="shared" si="1"/>
        <v/>
      </c>
      <c r="B102" s="7"/>
      <c r="C102" s="8"/>
      <c r="D102" s="9"/>
      <c r="E102" s="8"/>
      <c r="F102" s="8"/>
      <c r="G102" s="8"/>
      <c r="H102" s="8"/>
      <c r="I102" s="8"/>
      <c r="J102" s="8"/>
      <c r="K102" s="8"/>
      <c r="L102" s="9"/>
    </row>
    <row r="103" spans="1:12">
      <c r="A103" s="6" t="str">
        <f t="shared" si="1"/>
        <v/>
      </c>
      <c r="B103" s="7"/>
      <c r="C103" s="8"/>
      <c r="D103" s="9"/>
      <c r="E103" s="8"/>
      <c r="F103" s="8"/>
      <c r="G103" s="8"/>
      <c r="H103" s="8"/>
      <c r="I103" s="8"/>
      <c r="J103" s="8"/>
      <c r="K103" s="8"/>
      <c r="L103" s="9"/>
    </row>
    <row r="104" spans="1:12">
      <c r="A104" s="6" t="str">
        <f t="shared" si="1"/>
        <v/>
      </c>
      <c r="B104" s="7"/>
      <c r="C104" s="8"/>
      <c r="D104" s="9"/>
      <c r="E104" s="8"/>
      <c r="F104" s="8"/>
      <c r="G104" s="8"/>
      <c r="H104" s="8"/>
      <c r="I104" s="8"/>
      <c r="J104" s="8"/>
      <c r="K104" s="8"/>
      <c r="L104" s="9"/>
    </row>
  </sheetData>
  <autoFilter xmlns:etc="http://www.wps.cn/officeDocument/2017/etCustomData" ref="A4:L104" etc:filterBottomFollowUsedRange="0">
    <extLst/>
  </autoFilter>
  <mergeCells count="2">
    <mergeCell ref="A1:L1"/>
    <mergeCell ref="A2:L2"/>
  </mergeCells>
  <dataValidations count="3">
    <dataValidation type="list" allowBlank="1" sqref="C5:C104">
      <formula1>"健康扫描,周报生成,风险分析,变更分析,会议提取,专项诊断"</formula1>
    </dataValidation>
    <dataValidation type="list" allowBlank="1" sqref="G5:G104">
      <formula1>"低,中,高"</formula1>
    </dataValidation>
    <dataValidation type="list" allowBlank="1" sqref="K5:K104">
      <formula1>"待确认,已采纳,部分采纳,不采纳,已完成"</formula1>
    </dataValidation>
  </dataValidations>
  <pageMargins left="0.75" right="0.75" top="1" bottom="1" header="0.5" footer="0.5"/>
  <pageSetup paperSize="1"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17</vt:i4>
      </vt:variant>
    </vt:vector>
  </HeadingPairs>
  <TitlesOfParts>
    <vt:vector size="17" baseType="lpstr">
      <vt:lpstr>项目驾驶舱</vt:lpstr>
      <vt:lpstr>项目总控台账</vt:lpstr>
      <vt:lpstr>资源计划</vt:lpstr>
      <vt:lpstr>里程碑计划</vt:lpstr>
      <vt:lpstr>周迭代计划</vt:lpstr>
      <vt:lpstr>集成管理</vt:lpstr>
      <vt:lpstr>风险问题台账</vt:lpstr>
      <vt:lpstr>变更台账</vt:lpstr>
      <vt:lpstr>交付物台账</vt:lpstr>
      <vt:lpstr>会议行动项</vt:lpstr>
      <vt:lpstr>使用说明</vt:lpstr>
      <vt:lpstr>AI项目诊断</vt:lpstr>
      <vt:lpstr>数据质量检查</vt:lpstr>
      <vt:lpstr>待决策事项</vt:lpstr>
      <vt:lpstr>两周督办</vt:lpstr>
      <vt:lpstr>PMO周报</vt:lpstr>
      <vt:lpstr>AI运行日志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zlyyh</cp:lastModifiedBy>
  <dcterms:created xsi:type="dcterms:W3CDTF">2026-09-08T22:21:00Z</dcterms:created>
  <dcterms:modified xsi:type="dcterms:W3CDTF">2026-09-09T14:29:48Z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A0F8346B1D50975F3CFAA06A6D3F1619_42</vt:lpwstr>
  </property>
  <property fmtid="{D5CDD505-2E9C-101B-9397-08002B2CF9AE}" pid="3" name="KSOProductBuildVer">
    <vt:lpwstr>2052-12.1.25869.25869</vt:lpwstr>
  </property>
  <property fmtid="{D5CDD505-2E9C-101B-9397-08002B2CF9AE}" pid="4" name="CalculationRule">
    <vt:i4>0</vt:i4>
  </property>
</Properties>
</file>
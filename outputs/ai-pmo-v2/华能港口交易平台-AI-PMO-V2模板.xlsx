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tables/table2.xml" ContentType="application/vnd.openxmlformats-officedocument.spreadsheetml.table+xml"/>
  <Override PartName="/xl/worksheets/sheet14.xml" ContentType="application/vnd.openxmlformats-officedocument.spreadsheetml.worksheet+xml"/>
  <Override PartName="/xl/tables/table3.xml" ContentType="application/vnd.openxmlformats-officedocument.spreadsheetml.table+xml"/>
  <Override PartName="/xl/worksheets/sheet15.xml" ContentType="application/vnd.openxmlformats-officedocument.spreadsheetml.worksheet+xml"/>
  <Override PartName="/xl/tables/table4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260" windowHeight="12840" tabRatio="600" firstSheet="0" activeTab="1" autoFilterDateGrouping="1"/>
  </bookViews>
  <sheets>
    <sheet xmlns:r="http://schemas.openxmlformats.org/officeDocument/2006/relationships" name="项目驾驶舱" sheetId="1" state="visible" r:id="rId1"/>
    <sheet xmlns:r="http://schemas.openxmlformats.org/officeDocument/2006/relationships" name="项目总控台账" sheetId="2" state="visible" r:id="rId2"/>
    <sheet xmlns:r="http://schemas.openxmlformats.org/officeDocument/2006/relationships" name="里程碑计划" sheetId="3" state="visible" r:id="rId3"/>
    <sheet xmlns:r="http://schemas.openxmlformats.org/officeDocument/2006/relationships" name="周迭代计划" sheetId="4" state="visible" r:id="rId4"/>
    <sheet xmlns:r="http://schemas.openxmlformats.org/officeDocument/2006/relationships" name="集成管理" sheetId="5" state="visible" r:id="rId5"/>
    <sheet xmlns:r="http://schemas.openxmlformats.org/officeDocument/2006/relationships" name="风险问题台账" sheetId="6" state="visible" r:id="rId6"/>
    <sheet xmlns:r="http://schemas.openxmlformats.org/officeDocument/2006/relationships" name="变更台账" sheetId="7" state="visible" r:id="rId7"/>
    <sheet xmlns:r="http://schemas.openxmlformats.org/officeDocument/2006/relationships" name="交付物台账" sheetId="8" state="visible" r:id="rId8"/>
    <sheet xmlns:r="http://schemas.openxmlformats.org/officeDocument/2006/relationships" name="会议行动项" sheetId="9" state="visible" r:id="rId9"/>
    <sheet xmlns:r="http://schemas.openxmlformats.org/officeDocument/2006/relationships" name="使用说明" sheetId="10" state="visible" r:id="rId10"/>
    <sheet xmlns:r="http://schemas.openxmlformats.org/officeDocument/2006/relationships" name="AI项目诊断" sheetId="11" state="visible" r:id="rId11"/>
    <sheet xmlns:r="http://schemas.openxmlformats.org/officeDocument/2006/relationships" name="数据质量检查" sheetId="12" state="visible" r:id="rId12"/>
    <sheet xmlns:r="http://schemas.openxmlformats.org/officeDocument/2006/relationships" name="待决策事项" sheetId="13" state="visible" r:id="rId13"/>
    <sheet xmlns:r="http://schemas.openxmlformats.org/officeDocument/2006/relationships" name="两周督办" sheetId="14" state="visible" r:id="rId14"/>
    <sheet xmlns:r="http://schemas.openxmlformats.org/officeDocument/2006/relationships" name="资源计划" sheetId="15" state="visible" r:id="rId15"/>
    <sheet xmlns:r="http://schemas.openxmlformats.org/officeDocument/2006/relationships" name="PMO周报" sheetId="16" state="visible" r:id="rId16"/>
    <sheet xmlns:r="http://schemas.openxmlformats.org/officeDocument/2006/relationships" name="AI运行日志" sheetId="17" state="visible" r:id="rId17"/>
  </sheets>
  <definedNames>
    <definedName name="_xlnm._FilterDatabase" localSheetId="1" hidden="1">'项目总控台账'!$A$3:$AE$148</definedName>
    <definedName name="_xlnm.Print_Titles" localSheetId="10">'AI项目诊断'!$1:$4</definedName>
    <definedName name="_xlnm._FilterDatabase" localSheetId="11" hidden="1">'数据质量检查'!$A$4:$J$149</definedName>
    <definedName name="_xlnm.Print_Titles" localSheetId="11">'数据质量检查'!$1:$4</definedName>
    <definedName name="_xlnm._FilterDatabase" localSheetId="12" hidden="1">'待决策事项'!$A$4:$M$54</definedName>
    <definedName name="_xlnm.Print_Titles" localSheetId="12">'待决策事项'!$1:$4</definedName>
    <definedName name="_xlnm._FilterDatabase" localSheetId="13" hidden="1">'两周督办'!$A$4:$M$149</definedName>
    <definedName name="_xlnm.Print_Titles" localSheetId="13">'两周督办'!$1:$4</definedName>
    <definedName name="_xlnm._FilterDatabase" localSheetId="14" hidden="1">'资源计划'!$A$15:$L$707</definedName>
    <definedName name="_xlnm.Print_Titles" localSheetId="14">'资源计划'!$1:$4</definedName>
    <definedName name="_xlnm.Print_Titles" localSheetId="15">'PMO周报'!$1:$4</definedName>
    <definedName name="_xlnm._FilterDatabase" localSheetId="16" hidden="1">'AI运行日志'!$A$4:$L$104</definedName>
    <definedName name="_xlnm.Print_Titles" localSheetId="16">'AI运行日志'!$1:$4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yyyy\-mm\-dd\ hh:mm"/>
    <numFmt numFmtId="165" formatCode="yyyy\-mm\-dd"/>
    <numFmt numFmtId="166" formatCode="yyyy-mm-dd"/>
    <numFmt numFmtId="167" formatCode="yyyy-mm-dd h:mm:ss"/>
    <numFmt numFmtId="168" formatCode="0.0"/>
    <numFmt numFmtId="169" formatCode="¥#,##0"/>
    <numFmt numFmtId="170" formatCode="yyyy-mm-dd hh:mm"/>
  </numFmts>
  <fonts count="46">
    <font>
      <name val="Carlito"/>
      <charset val="134"/>
      <sz val="11"/>
    </font>
    <font>
      <name val="Carlito"/>
      <charset val="134"/>
      <b val="1"/>
      <color rgb="FF17365D"/>
      <sz val="16"/>
    </font>
    <font>
      <name val="Carlito"/>
      <charset val="134"/>
      <i val="1"/>
      <color rgb="FF5B6573"/>
      <sz val="10"/>
    </font>
    <font>
      <name val="Carlito"/>
      <charset val="134"/>
      <b val="1"/>
      <color rgb="FFFFFFFF"/>
      <sz val="10"/>
    </font>
    <font>
      <name val="Carlito"/>
      <charset val="134"/>
      <color rgb="FF1F2937"/>
      <sz val="10"/>
    </font>
    <font>
      <name val="Carlito"/>
      <charset val="134"/>
      <b val="1"/>
      <color rgb="FF17365D"/>
      <sz val="11"/>
    </font>
    <font>
      <name val="Carlito"/>
      <charset val="134"/>
      <b val="1"/>
      <color rgb="FF17365D"/>
      <sz val="12"/>
    </font>
    <font>
      <name val="Carlito"/>
      <charset val="134"/>
      <color rgb="FF5B6573"/>
      <sz val="10"/>
    </font>
    <font>
      <name val="Carlito"/>
      <charset val="134"/>
      <b val="1"/>
      <color rgb="FF17365D"/>
      <sz val="18"/>
    </font>
    <font>
      <name val="Carlito"/>
      <charset val="134"/>
      <b val="1"/>
      <color rgb="FFFFFFFF"/>
      <sz val="11"/>
    </font>
    <font>
      <name val="Carlito"/>
      <charset val="134"/>
      <color rgb="FF1F2937"/>
      <sz val="11"/>
    </font>
    <font>
      <name val="Carlito"/>
      <charset val="134"/>
      <i val="1"/>
      <color rgb="FF17365D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rlito"/>
      <b val="1"/>
      <color rgb="FF17365D"/>
      <sz val="16"/>
    </font>
    <font>
      <name val="Carlito"/>
      <i val="1"/>
      <color rgb="FF5B6573"/>
      <sz val="10"/>
    </font>
    <font>
      <name val="Carlito"/>
      <color rgb="FF5B6573"/>
      <sz val="10"/>
    </font>
    <font>
      <name val="Carlito"/>
      <b val="1"/>
      <color rgb="FF17365D"/>
      <sz val="18"/>
    </font>
    <font>
      <name val="Carlito"/>
      <color rgb="FF6B7280"/>
      <sz val="9"/>
    </font>
    <font>
      <name val="Carlito"/>
      <b val="1"/>
      <color rgb="FF17365D"/>
      <sz val="12"/>
    </font>
    <font>
      <name val="Carlito"/>
      <b val="1"/>
      <color rgb="FFFFFFFF"/>
      <sz val="10"/>
    </font>
    <font>
      <name val="Carlito"/>
      <color rgb="FF1F2937"/>
      <sz val="10"/>
    </font>
    <font>
      <name val="Carlito"/>
      <b val="1"/>
      <color rgb="FFFFFFFF"/>
    </font>
    <font>
      <name val="Carlito"/>
      <b val="1"/>
      <color rgb="FFFFFFFF"/>
      <sz val="12"/>
    </font>
    <font>
      <name val="Carlito"/>
      <b val="1"/>
      <color rgb="FF17365D"/>
      <sz val="10"/>
    </font>
    <font>
      <name val="Carlito"/>
      <i val="1"/>
      <color rgb="FF6B7280"/>
      <sz val="9"/>
    </font>
    <font>
      <name val="Carlito"/>
      <b val="1"/>
      <color rgb="FF17365D"/>
    </font>
    <font>
      <name val="Carlito"/>
      <b val="1"/>
      <color rgb="FF17365D"/>
      <sz val="11"/>
    </font>
  </fonts>
  <fills count="47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2CC"/>
      </patternFill>
    </fill>
    <fill>
      <patternFill patternType="solid">
        <fgColor rgb="FF0070C0"/>
      </patternFill>
    </fill>
    <fill>
      <patternFill patternType="solid">
        <fgColor rgb="FF17365D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43">
    <border>
      <left/>
      <right/>
      <top/>
      <bottom/>
      <diagonal/>
    </border>
    <border>
      <left/>
      <right/>
      <top/>
      <bottom style="thin">
        <color rgb="FF9EADBA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/>
      <bottom style="hair">
        <color rgb="FFE5E7EB"/>
      </bottom>
      <diagonal/>
    </border>
    <border>
      <left/>
      <right/>
      <top style="medium">
        <color rgb="FF9EADBA"/>
      </top>
      <bottom style="hair">
        <color rgb="FFE5E7EB"/>
      </bottom>
      <diagonal/>
    </border>
    <border>
      <left/>
      <right/>
      <top style="medium">
        <color rgb="FF9EADBA"/>
      </top>
      <bottom/>
      <diagonal/>
    </border>
    <border>
      <left/>
      <right/>
      <top/>
      <bottom style="thin">
        <color rgb="FFE5E7EB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/>
      <bottom/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/>
      <diagonal/>
    </border>
    <border>
      <left/>
      <right style="thin">
        <color rgb="FFB4C6E7"/>
      </right>
      <top/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9E1F2"/>
      </top>
      <bottom/>
      <diagonal/>
    </border>
    <border>
      <left/>
      <right style="thin">
        <color rgb="FFD9E1F2"/>
      </right>
      <top style="thin">
        <color rgb="FFD9E1F2"/>
      </top>
      <bottom/>
      <diagonal/>
    </border>
    <border>
      <left style="thin">
        <color rgb="FFE5E7EB"/>
      </left>
      <right/>
      <top/>
      <bottom/>
      <diagonal/>
    </border>
    <border>
      <bottom style="thin">
        <color rgb="FF9EADBA"/>
      </bottom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  <border>
      <bottom style="hair">
        <color rgb="FFE5E7EB"/>
      </bottom>
    </border>
    <border>
      <top style="medium">
        <color rgb="FF9EADBA"/>
      </top>
    </border>
    <border>
      <top style="medium">
        <color rgb="FF9EADBA"/>
      </top>
      <bottom style="hair">
        <color rgb="FFE5E7EB"/>
      </bottom>
    </border>
  </borders>
  <cellStyleXfs count="50">
    <xf numFmtId="0" fontId="0" fillId="0" borderId="0" applyAlignment="1">
      <alignment vertical="center"/>
    </xf>
    <xf numFmtId="43" fontId="12" fillId="0" borderId="0" applyAlignment="1">
      <alignment vertical="center"/>
    </xf>
    <xf numFmtId="44" fontId="12" fillId="0" borderId="0" applyAlignment="1">
      <alignment vertical="center"/>
    </xf>
    <xf numFmtId="9" fontId="12" fillId="0" borderId="0" applyAlignment="1">
      <alignment vertical="center"/>
    </xf>
    <xf numFmtId="41" fontId="12" fillId="0" borderId="0" applyAlignment="1">
      <alignment vertical="center"/>
    </xf>
    <xf numFmtId="42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2" fillId="11" borderId="27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28" applyAlignment="1">
      <alignment vertical="center"/>
    </xf>
    <xf numFmtId="0" fontId="19" fillId="0" borderId="28" applyAlignment="1">
      <alignment vertical="center"/>
    </xf>
    <xf numFmtId="0" fontId="20" fillId="0" borderId="29" applyAlignment="1">
      <alignment vertical="center"/>
    </xf>
    <xf numFmtId="0" fontId="20" fillId="0" borderId="0" applyAlignment="1">
      <alignment vertical="center"/>
    </xf>
    <xf numFmtId="0" fontId="21" fillId="12" borderId="30" applyAlignment="1">
      <alignment vertical="center"/>
    </xf>
    <xf numFmtId="0" fontId="22" fillId="9" borderId="31" applyAlignment="1">
      <alignment vertical="center"/>
    </xf>
    <xf numFmtId="0" fontId="23" fillId="9" borderId="30" applyAlignment="1">
      <alignment vertical="center"/>
    </xf>
    <xf numFmtId="0" fontId="24" fillId="13" borderId="32" applyAlignment="1">
      <alignment vertical="center"/>
    </xf>
    <xf numFmtId="0" fontId="25" fillId="0" borderId="33" applyAlignment="1">
      <alignment vertical="center"/>
    </xf>
    <xf numFmtId="0" fontId="26" fillId="0" borderId="34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0" fillId="0" borderId="0"/>
  </cellStyleXfs>
  <cellXfs count="140">
    <xf numFmtId="0" fontId="0" fillId="0" borderId="0" pivotButton="0" quotePrefix="0" xfId="49"/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vertical="top" wrapText="1"/>
    </xf>
    <xf numFmtId="164" fontId="4" fillId="3" borderId="3" applyAlignment="1" pivotButton="0" quotePrefix="0" xfId="0">
      <alignment vertical="top" wrapText="1"/>
    </xf>
    <xf numFmtId="0" fontId="4" fillId="3" borderId="3" applyAlignment="1" pivotButton="0" quotePrefix="0" xfId="0">
      <alignment vertical="top" wrapText="1"/>
    </xf>
    <xf numFmtId="165" fontId="4" fillId="3" borderId="3" applyAlignment="1" pivotButton="0" quotePrefix="0" xfId="0">
      <alignment vertical="top" wrapText="1"/>
    </xf>
    <xf numFmtId="0" fontId="5" fillId="0" borderId="0" pivotButton="0" quotePrefix="0" xfId="0"/>
    <xf numFmtId="165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5" borderId="0" pivotButton="0" quotePrefix="0" xfId="0"/>
    <xf numFmtId="0" fontId="4" fillId="3" borderId="0" applyAlignment="1" pivotButton="0" quotePrefix="0" xfId="0">
      <alignment vertical="top" wrapText="1"/>
    </xf>
    <xf numFmtId="0" fontId="6" fillId="0" borderId="0" pivotButton="0" quotePrefix="0" xfId="0"/>
    <xf numFmtId="9" fontId="4" fillId="0" borderId="3" applyAlignment="1" pivotButton="0" quotePrefix="0" xfId="0">
      <alignment vertical="top" wrapText="1"/>
    </xf>
    <xf numFmtId="165" fontId="4" fillId="0" borderId="3" applyAlignment="1" pivotButton="0" quotePrefix="0" xfId="0">
      <alignment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5" applyAlignment="1" pivotButton="0" quotePrefix="0" xfId="0">
      <alignment vertical="top" wrapText="1"/>
    </xf>
    <xf numFmtId="165" fontId="4" fillId="0" borderId="5" applyAlignment="1" pivotButton="0" quotePrefix="0" xfId="0">
      <alignment vertical="top" wrapText="1"/>
    </xf>
    <xf numFmtId="0" fontId="4" fillId="3" borderId="5" applyAlignment="1" pivotButton="0" quotePrefix="0" xfId="0">
      <alignment vertical="top" wrapText="1"/>
    </xf>
    <xf numFmtId="0" fontId="0" fillId="0" borderId="3" pivotButton="0" quotePrefix="0" xfId="0"/>
    <xf numFmtId="0" fontId="4" fillId="0" borderId="3" applyAlignment="1" pivotButton="0" quotePrefix="0" xfId="0">
      <alignment horizontal="center" vertical="top" wrapText="1"/>
    </xf>
    <xf numFmtId="165" fontId="0" fillId="0" borderId="0" pivotButton="0" quotePrefix="0" xfId="0"/>
    <xf numFmtId="0" fontId="0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pivotButton="0" quotePrefix="0" xfId="0"/>
    <xf numFmtId="0" fontId="9" fillId="6" borderId="0" applyAlignment="1" pivotButton="0" quotePrefix="0" xfId="49">
      <alignment horizontal="left" vertical="center"/>
    </xf>
    <xf numFmtId="0" fontId="5" fillId="5" borderId="2" applyAlignment="1" pivotButton="0" quotePrefix="0" xfId="49">
      <alignment wrapText="1"/>
    </xf>
    <xf numFmtId="0" fontId="10" fillId="0" borderId="6" applyAlignment="1" pivotButton="0" quotePrefix="0" xfId="49">
      <alignment vertical="center" wrapText="1"/>
    </xf>
    <xf numFmtId="0" fontId="9" fillId="2" borderId="2" applyAlignment="1" pivotButton="0" quotePrefix="0" xfId="49">
      <alignment horizontal="center" vertical="center" wrapText="1"/>
    </xf>
    <xf numFmtId="0" fontId="10" fillId="0" borderId="7" applyAlignment="1" pivotButton="0" quotePrefix="0" xfId="49">
      <alignment vertical="center" wrapText="1"/>
    </xf>
    <xf numFmtId="165" fontId="10" fillId="0" borderId="8" applyAlignment="1" pivotButton="0" quotePrefix="0" xfId="49">
      <alignment vertical="center" wrapText="1"/>
    </xf>
    <xf numFmtId="0" fontId="10" fillId="0" borderId="8" applyAlignment="1" pivotButton="0" quotePrefix="0" xfId="49">
      <alignment vertical="center" wrapText="1"/>
    </xf>
    <xf numFmtId="0" fontId="10" fillId="0" borderId="9" applyAlignment="1" pivotButton="0" quotePrefix="0" xfId="49">
      <alignment vertical="center" wrapText="1"/>
    </xf>
    <xf numFmtId="0" fontId="10" fillId="0" borderId="10" applyAlignment="1" pivotButton="0" quotePrefix="0" xfId="49">
      <alignment vertical="center" wrapText="1"/>
    </xf>
    <xf numFmtId="165" fontId="10" fillId="0" borderId="11" applyAlignment="1" pivotButton="0" quotePrefix="0" xfId="49">
      <alignment vertical="center" wrapText="1"/>
    </xf>
    <xf numFmtId="0" fontId="10" fillId="0" borderId="11" applyAlignment="1" pivotButton="0" quotePrefix="0" xfId="49">
      <alignment vertical="center" wrapText="1"/>
    </xf>
    <xf numFmtId="0" fontId="10" fillId="0" borderId="12" applyAlignment="1" pivotButton="0" quotePrefix="0" xfId="49">
      <alignment vertical="center" wrapText="1"/>
    </xf>
    <xf numFmtId="0" fontId="10" fillId="0" borderId="13" applyAlignment="1" pivotButton="0" quotePrefix="0" xfId="49">
      <alignment vertical="center" wrapText="1"/>
    </xf>
    <xf numFmtId="165" fontId="10" fillId="0" borderId="14" applyAlignment="1" pivotButton="0" quotePrefix="0" xfId="49">
      <alignment vertical="center" wrapText="1"/>
    </xf>
    <xf numFmtId="0" fontId="10" fillId="0" borderId="14" applyAlignment="1" pivotButton="0" quotePrefix="0" xfId="49">
      <alignment vertical="center" wrapText="1"/>
    </xf>
    <xf numFmtId="0" fontId="10" fillId="0" borderId="15" applyAlignment="1" pivotButton="0" quotePrefix="0" xfId="49">
      <alignment vertical="center" wrapText="1"/>
    </xf>
    <xf numFmtId="0" fontId="0" fillId="0" borderId="0" applyAlignment="1" pivotButton="0" quotePrefix="0" xfId="49">
      <alignment wrapText="1"/>
    </xf>
    <xf numFmtId="0" fontId="0" fillId="7" borderId="0" pivotButton="0" quotePrefix="0" xfId="49"/>
    <xf numFmtId="0" fontId="10" fillId="0" borderId="7" applyAlignment="1" pivotButton="0" quotePrefix="0" xfId="49">
      <alignment horizontal="center" vertical="center"/>
    </xf>
    <xf numFmtId="165" fontId="10" fillId="0" borderId="8" applyAlignment="1" pivotButton="0" quotePrefix="0" xfId="49">
      <alignment horizontal="center" vertical="center"/>
    </xf>
    <xf numFmtId="0" fontId="10" fillId="0" borderId="8" applyAlignment="1" pivotButton="0" quotePrefix="0" xfId="49">
      <alignment horizontal="center" vertical="center" wrapText="1"/>
    </xf>
    <xf numFmtId="9" fontId="10" fillId="0" borderId="8" applyAlignment="1" pivotButton="0" quotePrefix="0" xfId="49">
      <alignment vertical="center"/>
    </xf>
    <xf numFmtId="0" fontId="10" fillId="0" borderId="9" applyAlignment="1" pivotButton="0" quotePrefix="0" xfId="49">
      <alignment vertical="center"/>
    </xf>
    <xf numFmtId="0" fontId="10" fillId="0" borderId="10" applyAlignment="1" pivotButton="0" quotePrefix="0" xfId="49">
      <alignment horizontal="center" vertical="center"/>
    </xf>
    <xf numFmtId="165" fontId="10" fillId="0" borderId="11" applyAlignment="1" pivotButton="0" quotePrefix="0" xfId="49">
      <alignment horizontal="center" vertical="center"/>
    </xf>
    <xf numFmtId="0" fontId="0" fillId="0" borderId="8" pivotButton="0" quotePrefix="0" xfId="0"/>
    <xf numFmtId="0" fontId="10" fillId="0" borderId="11" applyAlignment="1" pivotButton="0" quotePrefix="0" xfId="49">
      <alignment horizontal="center" vertical="center" wrapText="1"/>
    </xf>
    <xf numFmtId="9" fontId="10" fillId="0" borderId="11" applyAlignment="1" pivotButton="0" quotePrefix="0" xfId="49">
      <alignment vertical="center"/>
    </xf>
    <xf numFmtId="0" fontId="10" fillId="0" borderId="12" applyAlignment="1" pivotButton="0" quotePrefix="0" xfId="49">
      <alignment vertical="center"/>
    </xf>
    <xf numFmtId="0" fontId="0" fillId="0" borderId="16" pivotButton="0" quotePrefix="0" xfId="0"/>
    <xf numFmtId="0" fontId="10" fillId="7" borderId="10" applyAlignment="1" pivotButton="0" quotePrefix="0" xfId="49">
      <alignment horizontal="center" vertical="center"/>
    </xf>
    <xf numFmtId="165" fontId="10" fillId="7" borderId="11" applyAlignment="1" pivotButton="0" quotePrefix="0" xfId="49">
      <alignment horizontal="center" vertical="center"/>
    </xf>
    <xf numFmtId="0" fontId="10" fillId="7" borderId="11" applyAlignment="1" pivotButton="0" quotePrefix="0" xfId="49">
      <alignment vertical="center" wrapText="1"/>
    </xf>
    <xf numFmtId="0" fontId="10" fillId="7" borderId="11" applyAlignment="1" pivotButton="0" quotePrefix="0" xfId="49">
      <alignment horizontal="center" vertical="center" wrapText="1"/>
    </xf>
    <xf numFmtId="9" fontId="10" fillId="7" borderId="11" applyAlignment="1" pivotButton="0" quotePrefix="0" xfId="49">
      <alignment vertical="center"/>
    </xf>
    <xf numFmtId="0" fontId="10" fillId="7" borderId="12" applyAlignment="1" pivotButton="0" quotePrefix="0" xfId="49">
      <alignment vertical="center"/>
    </xf>
    <xf numFmtId="0" fontId="10" fillId="0" borderId="13" applyAlignment="1" pivotButton="0" quotePrefix="0" xfId="49">
      <alignment horizontal="center" vertical="center"/>
    </xf>
    <xf numFmtId="165" fontId="10" fillId="0" borderId="14" applyAlignment="1" pivotButton="0" quotePrefix="0" xfId="49">
      <alignment horizontal="center" vertical="center"/>
    </xf>
    <xf numFmtId="9" fontId="10" fillId="0" borderId="14" applyAlignment="1" pivotButton="0" quotePrefix="0" xfId="49">
      <alignment vertical="center"/>
    </xf>
    <xf numFmtId="0" fontId="10" fillId="0" borderId="15" applyAlignment="1" pivotButton="0" quotePrefix="0" xfId="49">
      <alignment vertical="center"/>
    </xf>
    <xf numFmtId="0" fontId="11" fillId="8" borderId="0" applyAlignment="1" pivotButton="0" quotePrefix="0" xfId="49">
      <alignment vertical="center"/>
    </xf>
    <xf numFmtId="9" fontId="10" fillId="0" borderId="8" applyAlignment="1" pivotButton="0" quotePrefix="0" xfId="49">
      <alignment vertical="center" wrapText="1"/>
    </xf>
    <xf numFmtId="9" fontId="10" fillId="0" borderId="11" applyAlignment="1" pivotButton="0" quotePrefix="0" xfId="49">
      <alignment vertical="center" wrapText="1"/>
    </xf>
    <xf numFmtId="9" fontId="10" fillId="0" borderId="14" applyAlignment="1" pivotButton="0" quotePrefix="0" xfId="49">
      <alignment vertical="center" wrapText="1"/>
    </xf>
    <xf numFmtId="0" fontId="5" fillId="5" borderId="2" pivotButton="0" quotePrefix="0" xfId="49"/>
    <xf numFmtId="165" fontId="5" fillId="5" borderId="2" pivotButton="0" quotePrefix="0" xfId="49"/>
    <xf numFmtId="0" fontId="5" fillId="9" borderId="2" applyAlignment="1" pivotButton="0" quotePrefix="0" xfId="49">
      <alignment horizontal="center" vertical="center"/>
    </xf>
    <xf numFmtId="9" fontId="5" fillId="9" borderId="2" applyAlignment="1" pivotButton="0" quotePrefix="0" xfId="49">
      <alignment horizontal="center" vertical="center"/>
    </xf>
    <xf numFmtId="0" fontId="10" fillId="0" borderId="7" applyAlignment="1" pivotButton="0" quotePrefix="0" xfId="49">
      <alignment vertical="center"/>
    </xf>
    <xf numFmtId="0" fontId="10" fillId="0" borderId="8" applyAlignment="1" pivotButton="0" quotePrefix="0" xfId="49">
      <alignment vertical="center"/>
    </xf>
    <xf numFmtId="9" fontId="10" fillId="0" borderId="9" applyAlignment="1" pivotButton="0" quotePrefix="0" xfId="49">
      <alignment vertical="center"/>
    </xf>
    <xf numFmtId="0" fontId="10" fillId="0" borderId="10" applyAlignment="1" pivotButton="0" quotePrefix="0" xfId="49">
      <alignment vertical="center"/>
    </xf>
    <xf numFmtId="0" fontId="10" fillId="0" borderId="11" applyAlignment="1" pivotButton="0" quotePrefix="0" xfId="49">
      <alignment vertical="center"/>
    </xf>
    <xf numFmtId="9" fontId="10" fillId="0" borderId="12" applyAlignment="1" pivotButton="0" quotePrefix="0" xfId="49">
      <alignment vertical="center"/>
    </xf>
    <xf numFmtId="0" fontId="10" fillId="0" borderId="13" applyAlignment="1" pivotButton="0" quotePrefix="0" xfId="49">
      <alignment vertical="center"/>
    </xf>
    <xf numFmtId="0" fontId="10" fillId="0" borderId="14" applyAlignment="1" pivotButton="0" quotePrefix="0" xfId="49">
      <alignment vertical="center"/>
    </xf>
    <xf numFmtId="9" fontId="10" fillId="0" borderId="15" applyAlignment="1" pivotButton="0" quotePrefix="0" xfId="49">
      <alignment vertical="center"/>
    </xf>
    <xf numFmtId="0" fontId="0" fillId="0" borderId="17" pivotButton="0" quotePrefix="0" xfId="0"/>
    <xf numFmtId="0" fontId="0" fillId="0" borderId="18" pivotButton="0" quotePrefix="0" xfId="0"/>
    <xf numFmtId="0" fontId="10" fillId="10" borderId="19" applyAlignment="1" pivotButton="0" quotePrefix="0" xfId="49">
      <alignment vertical="top" wrapText="1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166" fontId="5" fillId="5" borderId="2" pivotButton="0" quotePrefix="0" xfId="49"/>
    <xf numFmtId="0" fontId="41" fillId="43" borderId="0" applyAlignment="1" pivotButton="0" quotePrefix="0" xfId="0">
      <alignment horizontal="center" vertical="center"/>
    </xf>
    <xf numFmtId="0" fontId="42" fillId="44" borderId="0" pivotButton="0" quotePrefix="0" xfId="0"/>
    <xf numFmtId="9" fontId="39" fillId="45" borderId="0" applyAlignment="1" pivotButton="0" quotePrefix="0" xfId="0">
      <alignment horizontal="right" vertical="center"/>
    </xf>
    <xf numFmtId="169" fontId="39" fillId="41" borderId="0" applyAlignment="1" pivotButton="0" quotePrefix="0" xfId="0">
      <alignment horizontal="right" vertical="center"/>
    </xf>
    <xf numFmtId="169" fontId="39" fillId="45" borderId="0" applyAlignment="1" pivotButton="0" quotePrefix="0" xfId="0">
      <alignment horizontal="right" vertical="center"/>
    </xf>
    <xf numFmtId="168" fontId="39" fillId="45" borderId="0" applyAlignment="1" pivotButton="0" quotePrefix="0" xfId="0">
      <alignment horizontal="right" vertical="center"/>
    </xf>
    <xf numFmtId="0" fontId="43" fillId="0" borderId="0" applyAlignment="1" pivotButton="0" quotePrefix="0" xfId="0">
      <alignment vertical="center" wrapText="1"/>
    </xf>
    <xf numFmtId="166" fontId="10" fillId="0" borderId="8" applyAlignment="1" pivotButton="0" quotePrefix="0" xfId="49">
      <alignment vertical="center" wrapText="1"/>
    </xf>
    <xf numFmtId="166" fontId="10" fillId="0" borderId="11" applyAlignment="1" pivotButton="0" quotePrefix="0" xfId="49">
      <alignment vertical="center" wrapText="1"/>
    </xf>
    <xf numFmtId="166" fontId="10" fillId="0" borderId="14" applyAlignment="1" pivotButton="0" quotePrefix="0" xfId="49">
      <alignment vertical="center" wrapText="1"/>
    </xf>
    <xf numFmtId="165" fontId="10" fillId="0" borderId="8" applyAlignment="1" pivotButton="0" quotePrefix="0" xfId="49">
      <alignment vertical="center" wrapText="1"/>
    </xf>
    <xf numFmtId="165" fontId="10" fillId="0" borderId="11" applyAlignment="1" pivotButton="0" quotePrefix="0" xfId="49">
      <alignment vertical="center" wrapText="1"/>
    </xf>
    <xf numFmtId="165" fontId="10" fillId="0" borderId="14" applyAlignment="1" pivotButton="0" quotePrefix="0" xfId="49">
      <alignment vertical="center" wrapText="1"/>
    </xf>
    <xf numFmtId="166" fontId="10" fillId="0" borderId="8" applyAlignment="1" pivotButton="0" quotePrefix="0" xfId="49">
      <alignment horizontal="center" vertical="center"/>
    </xf>
    <xf numFmtId="166" fontId="10" fillId="0" borderId="11" applyAlignment="1" pivotButton="0" quotePrefix="0" xfId="49">
      <alignment horizontal="center" vertical="center"/>
    </xf>
    <xf numFmtId="166" fontId="10" fillId="7" borderId="11" applyAlignment="1" pivotButton="0" quotePrefix="0" xfId="49">
      <alignment horizontal="center" vertical="center"/>
    </xf>
    <xf numFmtId="166" fontId="10" fillId="0" borderId="14" applyAlignment="1" pivotButton="0" quotePrefix="0" xfId="49">
      <alignment horizontal="center" vertical="center"/>
    </xf>
    <xf numFmtId="0" fontId="32" fillId="0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left" vertical="center"/>
    </xf>
    <xf numFmtId="0" fontId="0" fillId="0" borderId="38" pivotButton="0" quotePrefix="0" xfId="0"/>
    <xf numFmtId="166" fontId="0" fillId="0" borderId="0" pivotButton="0" quotePrefix="0" xfId="0"/>
    <xf numFmtId="0" fontId="0" fillId="41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7" fillId="0" borderId="0" pivotButton="0" quotePrefix="0" xfId="0"/>
    <xf numFmtId="0" fontId="38" fillId="42" borderId="39" applyAlignment="1" pivotButton="0" quotePrefix="0" xfId="0">
      <alignment horizontal="center" vertical="center" wrapText="1"/>
    </xf>
    <xf numFmtId="0" fontId="40" fillId="42" borderId="0" pivotButton="0" quotePrefix="0" xfId="0"/>
    <xf numFmtId="0" fontId="39" fillId="0" borderId="40" applyAlignment="1" pivotButton="0" quotePrefix="0" xfId="0">
      <alignment vertical="top" wrapText="1"/>
    </xf>
    <xf numFmtId="166" fontId="39" fillId="0" borderId="40" applyAlignment="1" pivotButton="0" quotePrefix="0" xfId="0">
      <alignment vertical="top" wrapText="1"/>
    </xf>
    <xf numFmtId="166" fontId="39" fillId="41" borderId="40" applyAlignment="1" pivotButton="0" quotePrefix="0" xfId="0">
      <alignment vertical="top" wrapText="1"/>
    </xf>
    <xf numFmtId="0" fontId="39" fillId="41" borderId="40" applyAlignment="1" pivotButton="0" quotePrefix="0" xfId="0">
      <alignment vertical="top" wrapText="1"/>
    </xf>
    <xf numFmtId="9" fontId="39" fillId="0" borderId="40" applyAlignment="1" pivotButton="0" quotePrefix="0" xfId="0">
      <alignment vertical="top" wrapText="1"/>
    </xf>
    <xf numFmtId="0" fontId="39" fillId="0" borderId="42" applyAlignment="1" pivotButton="0" quotePrefix="0" xfId="0">
      <alignment horizontal="center" vertical="top" wrapText="1"/>
    </xf>
    <xf numFmtId="0" fontId="39" fillId="0" borderId="41" applyAlignment="1" pivotButton="0" quotePrefix="0" xfId="0">
      <alignment vertical="top" wrapText="1"/>
    </xf>
    <xf numFmtId="166" fontId="39" fillId="0" borderId="41" applyAlignment="1" pivotButton="0" quotePrefix="0" xfId="0">
      <alignment vertical="top" wrapText="1"/>
    </xf>
    <xf numFmtId="0" fontId="39" fillId="41" borderId="41" applyAlignment="1" pivotButton="0" quotePrefix="0" xfId="0">
      <alignment vertical="top" wrapText="1"/>
    </xf>
    <xf numFmtId="0" fontId="39" fillId="0" borderId="40" applyAlignment="1" pivotButton="0" quotePrefix="0" xfId="0">
      <alignment horizontal="center" vertical="top" wrapText="1"/>
    </xf>
    <xf numFmtId="0" fontId="44" fillId="0" borderId="0" pivotButton="0" quotePrefix="0" xfId="0"/>
    <xf numFmtId="166" fontId="0" fillId="44" borderId="0" applyAlignment="1" pivotButton="0" quotePrefix="0" xfId="0">
      <alignment vertical="top" wrapText="1"/>
    </xf>
    <xf numFmtId="0" fontId="0" fillId="44" borderId="0" applyAlignment="1" pivotButton="0" quotePrefix="0" xfId="0">
      <alignment vertical="top" wrapText="1"/>
    </xf>
    <xf numFmtId="0" fontId="45" fillId="46" borderId="0" pivotButton="0" quotePrefix="0" xfId="0"/>
    <xf numFmtId="0" fontId="39" fillId="41" borderId="0" applyAlignment="1" pivotButton="0" quotePrefix="0" xfId="0">
      <alignment vertical="top" wrapText="1"/>
    </xf>
    <xf numFmtId="170" fontId="39" fillId="41" borderId="40" applyAlignment="1" pivotButton="0" quotePrefix="0" xfId="0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7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color rgb="FF595959"/>
      </font>
      <fill>
        <patternFill patternType="solid">
          <bgColor rgb="FFE7E6E6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fgColor rgb="FFFCE4D6"/>
        </patternFill>
      </fill>
    </dxf>
    <dxf>
      <font>
        <b val="1"/>
        <color rgb="FF9C6500"/>
      </font>
      <fill>
        <patternFill patternType="solid">
          <fgColor rgb="FFFFF2CC"/>
        </patternFill>
      </fill>
    </dxf>
    <dxf>
      <font>
        <b val="1"/>
        <color rgb="FF375623"/>
      </font>
      <fill>
        <patternFill patternType="solid">
          <fgColor rgb="FFE2F0D9"/>
        </patternFill>
      </fill>
    </dxf>
    <dxf>
      <font>
        <b val="1"/>
        <color rgb="FF666666"/>
      </font>
      <fill>
        <patternFill patternType="solid">
          <fgColor rgb="FFF2F2F2"/>
        </patternFill>
      </fill>
    </dxf>
    <dxf>
      <font>
        <color rgb="FF375623"/>
      </font>
      <fill>
        <patternFill patternType="solid">
          <fgColor rgb="FFE2F0D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任务状态分布</a:t>
            </a:r>
          </a:p>
        </rich>
      </tx>
      <layout/>
      <overlay val="0"/>
    </title>
    <plotArea>
      <layout/>
      <doughnutChart>
        <varyColors val="1"/>
        <ser>
          <idx val="0"/>
          <order val="0"/>
          <tx>
            <strRef>
              <f>"任务数"</f>
              <strCache>
                <ptCount val="1"/>
                <pt idx="0">
                  <v>任务数</v>
                </pt>
              </strCache>
            </strRef>
          </tx>
          <spPr>
            <a:ln xmlns:a="http://schemas.openxmlformats.org/drawingml/2006/main">
              <a:noFill/>
              <a:prstDash val="solid"/>
            </a:ln>
          </spPr>
          <explosion val="0"/>
          <dPt>
            <idx val="0"/>
            <bubble3D val="0"/>
            <spPr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ln xmlns:a="http://schemas.openxmlformats.org/drawingml/2006/main">
                <a:noFill/>
                <a:prstDash val="solid"/>
              </a:ln>
            </spPr>
          </dPt>
          <dLbls>
            <delete val="1"/>
          </dLbls>
          <cat>
            <strRef>
              <f>项目驾驶舱!$A$10:$A$13</f>
              <strCache>
                <ptCount val="4"/>
                <pt idx="0">
                  <v>已完成</v>
                </pt>
                <pt idx="1">
                  <v>进行中</v>
                </pt>
                <pt idx="2">
                  <v>未开始</v>
                </pt>
                <pt idx="3">
                  <v>暂停</v>
                </pt>
              </strCache>
            </strRef>
          </cat>
          <val>
            <numRef>
              <f>项目驾驶舱!$B$10:$B$13</f>
              <numCache>
                <formatCode>General</formatCode>
                <ptCount val="4"/>
                <pt idx="0">
                  <v>73</v>
                </pt>
                <pt idx="1">
                  <v>15</v>
                </pt>
                <pt idx="2">
                  <v>51</v>
                </pt>
                <pt idx="3">
                  <v>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1"/>
      </doughnutChart>
    </plotArea>
    <legend>
      <legendPos val="b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各批次任务数与已完成数</a:t>
            </a:r>
          </a:p>
        </rich>
      </tx>
      <layout/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"任务数"</f>
              <strCache>
                <ptCount val="1"/>
                <pt idx="0">
                  <v>任务数</v>
                </pt>
              </strCache>
            </strRef>
          </tx>
          <spPr>
            <a:ln xmlns:a="http://schemas.openxmlformats.org/drawingml/2006/main">
              <a:noFill/>
              <a:prstDash val="solid"/>
            </a:ln>
          </spPr>
          <invertIfNegative val="0"/>
          <dLbls>
            <delete val="1"/>
          </dLbls>
          <cat>
            <strRef>
              <f>项目驾驶舱!$D$10:$D$12</f>
              <strCache>
                <ptCount val="3"/>
                <pt idx="0">
                  <v>第一批次</v>
                </pt>
                <pt idx="1">
                  <v>第二批次</v>
                </pt>
                <pt idx="2">
                  <v>其他</v>
                </pt>
              </strCache>
            </strRef>
          </cat>
          <val>
            <numRef>
              <f>项目驾驶舱!$E$10:$E$12</f>
              <numCache>
                <formatCode>General</formatCode>
                <ptCount val="3"/>
                <pt idx="0">
                  <v>61</v>
                </pt>
                <pt idx="1">
                  <v>78</v>
                </pt>
                <pt idx="2">
                  <v>6</v>
                </pt>
              </numCache>
            </numRef>
          </val>
        </ser>
        <ser>
          <idx val="1"/>
          <order val="1"/>
          <tx>
            <strRef>
              <f>"已完成"</f>
              <strCache>
                <ptCount val="1"/>
                <pt idx="0">
                  <v>已完成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invertIfNegative val="0"/>
          <dLbls>
            <delete val="1"/>
          </dLbls>
          <cat>
            <strRef>
              <f>项目驾驶舱!$D$10:$D$12</f>
              <strCache>
                <ptCount val="3"/>
                <pt idx="0">
                  <v>第一批次</v>
                </pt>
                <pt idx="1">
                  <v>第二批次</v>
                </pt>
                <pt idx="2">
                  <v>其他</v>
                </pt>
              </strCache>
            </strRef>
          </cat>
          <val>
            <numRef>
              <f>项目驾驶舱!$F$10:$F$12</f>
              <numCache>
                <formatCode>General</formatCode>
                <ptCount val="3"/>
                <pt idx="0">
                  <v>57</v>
                </pt>
                <pt idx="1">
                  <v>16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  <a:round/>
            </a:ln>
          </spPr>
        </majorGridlines>
        <numFmt formatCode="General" sourceLinked="1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  <a:round/>
            </a:ln>
          </spPr>
        </majorGridlines>
        <numFmt formatCode="General" sourceLinked="1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48650112"/>
        <crosses val="autoZero"/>
        <crossBetween val="between"/>
      </valAx>
    </plotArea>
    <legend>
      <legendPos val="b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健康状态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'AI项目诊断'!I14</f>
            </strRef>
          </tx>
          <spPr>
            <a:ln xmlns:a="http://schemas.openxmlformats.org/drawingml/2006/main">
              <a:prstDash val="solid"/>
            </a:ln>
          </spPr>
          <cat>
            <numRef>
              <f>'AI项目诊断'!$H$15:$H$18</f>
            </numRef>
          </cat>
          <val>
            <numRef>
              <f>'AI项目诊断'!$I$15:$I$18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维度数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twoCellAnchor>
    <from>
      <col>8</col>
      <colOff>0</colOff>
      <row>8</row>
      <rowOff>0</rowOff>
    </from>
    <to>
      <col>14</col>
      <colOff>0</colOff>
      <row>15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21</row>
      <rowOff>0</rowOff>
    </from>
    <to>
      <col>8</col>
      <colOff>0</colOff>
      <row>38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oneCellAnchor>
    <from>
      <col>7</col>
      <colOff>0</colOff>
      <row>19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aQualityTable" displayName="DataQualityTable" ref="A4:J149" headerRowCount="1">
  <autoFilter ref="A4:J149"/>
  <tableColumns count="10">
    <tableColumn id="1" name="来源"/>
    <tableColumn id="2" name="记录ID"/>
    <tableColumn id="3" name="任务名称"/>
    <tableColumn id="4" name="责任人"/>
    <tableColumn id="5" name="计划开始"/>
    <tableColumn id="6" name="计划完成"/>
    <tableColumn id="7" name="发现的问题"/>
    <tableColumn id="8" name="检查状态"/>
    <tableColumn id="9" name="建议动作"/>
    <tableColumn id="10" name="源行号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cisionTable" displayName="DecisionTable" ref="A4:M54" headerRowCount="1">
  <autoFilter ref="A4:M54"/>
  <tableColumns count="13">
    <tableColumn id="1" name="决策ID"/>
    <tableColumn id="2" name="提出日期"/>
    <tableColumn id="3" name="决策主题"/>
    <tableColumn id="4" name="背景与现状"/>
    <tableColumn id="5" name="可选方案"/>
    <tableColumn id="6" name="建议方案"/>
    <tableColumn id="7" name="决策人"/>
    <tableColumn id="8" name="需要日期"/>
    <tableColumn id="9" name="当前状态"/>
    <tableColumn id="10" name="逾期天数"/>
    <tableColumn id="11" name="影响范围"/>
    <tableColumn id="12" name="决策结果"/>
    <tableColumn id="13" name="关闭日期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ollowupTable" displayName="FollowupTable" ref="A4:M149" headerRowCount="1">
  <autoFilter ref="A4:M149"/>
  <tableColumns count="13">
    <tableColumn id="1" name="是否纳入"/>
    <tableColumn id="2" name="任务ID"/>
    <tableColumn id="3" name="任务名称"/>
    <tableColumn id="4" name="批次"/>
    <tableColumn id="5" name="总体状态"/>
    <tableColumn id="6" name="主责人"/>
    <tableColumn id="7" name="计划完成"/>
    <tableColumn id="8" name="距截止天数"/>
    <tableColumn id="9" name="延期状态"/>
    <tableColumn id="10" name="当前问题/阻塞"/>
    <tableColumn id="11" name="建议动作"/>
    <tableColumn id="12" name="承诺完成"/>
    <tableColumn id="13" name="完成证据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sourceSummaryTable" displayName="ResourceSummaryTable" ref="A4:L10" headerRowCount="1">
  <autoFilter ref="A4:L10"/>
  <tableColumns count="12">
    <tableColumn id="1" name="人员"/>
    <tableColumn id="2" name="角色"/>
    <tableColumn id="3" name="任务数"/>
    <tableColumn id="4" name="未完成任务"/>
    <tableColumn id="5" name="最早开始"/>
    <tableColumn id="6" name="最晚结束"/>
    <tableColumn id="7" name="周可用工时"/>
    <tableColumn id="8" name="计划投入工时"/>
    <tableColumn id="9" name="负荷率"/>
    <tableColumn id="10" name="负荷判断"/>
    <tableColumn id="11" name="资源建议"/>
    <tableColumn id="12" name="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IRunLogTable" displayName="AIRunLogTable" ref="A4:L104" headerRowCount="1">
  <autoFilter ref="A4:L104"/>
  <tableColumns count="12">
    <tableColumn id="1" name="运行ID"/>
    <tableColumn id="2" name="运行时间"/>
    <tableColumn id="3" name="分析类型"/>
    <tableColumn id="4" name="数据日期"/>
    <tableColumn id="5" name="分析范围"/>
    <tableColumn id="6" name="主要发现"/>
    <tableColumn id="7" name="风险等级"/>
    <tableColumn id="8" name="AI建议"/>
    <tableColumn id="9" name="人工结论"/>
    <tableColumn id="10" name="处理人"/>
    <tableColumn id="11" name="处理状态"/>
    <tableColumn id="12" name="完成时间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selection activeCell="J22" sqref="J22"/>
    </sheetView>
  </sheetViews>
  <sheetFormatPr baseColWidth="8" defaultColWidth="9" defaultRowHeight="16.8"/>
  <cols>
    <col width="14" customWidth="1" style="1" min="1" max="1"/>
    <col width="12" customWidth="1" style="1" min="2" max="3"/>
    <col width="14" customWidth="1" style="1" min="4" max="4"/>
    <col width="12" customWidth="1" style="1" min="5" max="14"/>
    <col width="18" customWidth="1" style="1" min="10" max="10"/>
    <col width="14" customWidth="1" style="1" min="11" max="11"/>
    <col width="3" customWidth="1" style="1" min="12" max="12"/>
    <col width="18" customWidth="1" style="1" min="13" max="13"/>
    <col width="16" customWidth="1" style="1" min="14" max="14"/>
  </cols>
  <sheetData>
    <row r="1" ht="34" customHeight="1" s="1">
      <c r="A1" s="29" t="inlineStr">
        <is>
          <t>华能交易中心港口交易平台｜项目管理驾驶舱</t>
        </is>
      </c>
    </row>
    <row r="3">
      <c r="A3" s="73" t="inlineStr">
        <is>
          <t>统计日期</t>
        </is>
      </c>
      <c r="B3" s="96" t="n">
        <v>46268</v>
      </c>
    </row>
    <row r="5" ht="30" customHeight="1" s="1">
      <c r="A5" s="32" t="inlineStr">
        <is>
          <t>总任务数</t>
        </is>
      </c>
      <c r="B5" s="32" t="inlineStr">
        <is>
          <t>已完成</t>
        </is>
      </c>
      <c r="C5" s="32" t="inlineStr">
        <is>
          <t>进行中</t>
        </is>
      </c>
      <c r="D5" s="32" t="inlineStr">
        <is>
          <t>未开始</t>
        </is>
      </c>
      <c r="E5" s="32" t="inlineStr">
        <is>
          <t>暂停</t>
        </is>
      </c>
      <c r="F5" s="32" t="inlineStr">
        <is>
          <t>平均进度</t>
        </is>
      </c>
      <c r="G5" s="32" t="inlineStr">
        <is>
          <t>已延期</t>
        </is>
      </c>
      <c r="H5" s="32" t="inlineStr">
        <is>
          <t>临近到期</t>
        </is>
      </c>
      <c r="I5" s="32" t="inlineStr">
        <is>
          <t>高风险</t>
        </is>
      </c>
      <c r="J5" s="32" t="inlineStr">
        <is>
          <t>未关闭问题</t>
        </is>
      </c>
      <c r="K5" s="32" t="inlineStr">
        <is>
          <t>待决变更</t>
        </is>
      </c>
      <c r="L5" s="32" t="inlineStr">
        <is>
          <t>里程碑达成</t>
        </is>
      </c>
      <c r="M5" s="32" t="inlineStr">
        <is>
          <t>集成完成</t>
        </is>
      </c>
      <c r="N5" s="32" t="inlineStr">
        <is>
          <t>交付物完成</t>
        </is>
      </c>
    </row>
    <row r="6" ht="42" customHeight="1" s="1">
      <c r="A6" s="75">
        <f>COUNTA(项目总控台账!$A$4:$A$203)</f>
        <v/>
      </c>
      <c r="B6" s="75">
        <f>COUNTIF(项目总控台账!$G$4:$G$203,"已完成")</f>
        <v/>
      </c>
      <c r="C6" s="75">
        <f>COUNTIF(项目总控台账!$G$4:$G$203,"进行中")</f>
        <v/>
      </c>
      <c r="D6" s="75">
        <f>COUNTIF(项目总控台账!$G$4:$G$203,"未开始")</f>
        <v/>
      </c>
      <c r="E6" s="75">
        <f>COUNTIF(项目总控台账!$G$4:$G$203,"暂停")</f>
        <v/>
      </c>
      <c r="F6" s="76">
        <f>AVERAGE(项目总控台账!$AB$4:$AB$203)</f>
        <v/>
      </c>
      <c r="G6" s="75">
        <f>COUNTIF(项目总控台账!$AC$4:$AC$203,"已延期")</f>
        <v/>
      </c>
      <c r="H6" s="75">
        <f>COUNTIF(项目总控台账!$AC$4:$AC$203,"临近到期")</f>
        <v/>
      </c>
      <c r="I6" s="75">
        <f>COUNTIFS(风险问题台账!$D$4:$D$103,"高",风险问题台账!$K$4:$K$103,"&lt;&gt;已关闭")</f>
        <v/>
      </c>
      <c r="J6" s="75">
        <f>COUNTIF(风险问题台账!$K$4:$K$103,"处理中")+COUNTIF(风险问题台账!$K$4:$K$103,"待处理")</f>
        <v/>
      </c>
      <c r="K6" s="75">
        <f>COUNTIF(变更台账!$G$4:$G$53,"评估中")+COUNTIF(变更台账!$G$4:$G$53,"待审批")</f>
        <v/>
      </c>
      <c r="L6" s="76">
        <f>IFERROR(COUNTIF(里程碑计划!$G$4:$G$23,"已完成")/COUNTA(里程碑计划!$A$4:$A$23),0)</f>
        <v/>
      </c>
      <c r="M6" s="76">
        <f>IFERROR(COUNTIF(集成管理!$G$4:$G$53,"已完成")/COUNTA(集成管理!$A$4:$A$53),0)</f>
        <v/>
      </c>
      <c r="N6" s="76">
        <f>IFERROR(COUNTIF(交付物台账!$G$4:$G$53,"已完成")/COUNTA(交付物台账!$A$4:$A$53),0)</f>
        <v/>
      </c>
    </row>
    <row r="9" ht="30" customHeight="1" s="1">
      <c r="A9" s="32" t="inlineStr">
        <is>
          <t>状态</t>
        </is>
      </c>
      <c r="B9" s="32" t="inlineStr">
        <is>
          <t>任务数</t>
        </is>
      </c>
      <c r="D9" s="32" t="inlineStr">
        <is>
          <t>批次</t>
        </is>
      </c>
      <c r="E9" s="32" t="inlineStr">
        <is>
          <t>任务数</t>
        </is>
      </c>
      <c r="F9" s="32" t="inlineStr">
        <is>
          <t>已完成</t>
        </is>
      </c>
      <c r="G9" s="32" t="inlineStr">
        <is>
          <t>完成率</t>
        </is>
      </c>
    </row>
    <row r="10">
      <c r="A10" s="77" t="inlineStr">
        <is>
          <t>已完成</t>
        </is>
      </c>
      <c r="B10" s="51">
        <f>B6</f>
        <v/>
      </c>
      <c r="D10" s="77" t="inlineStr">
        <is>
          <t>第一批次</t>
        </is>
      </c>
      <c r="E10" s="78">
        <f>COUNTIF(项目总控台账!$F$4:$F$203,D10)</f>
        <v/>
      </c>
      <c r="F10" s="78">
        <f>COUNTIFS(项目总控台账!$F$4:$F$203,D10,项目总控台账!$G$4:$G$203,"已完成")</f>
        <v/>
      </c>
      <c r="G10" s="79">
        <f>IFERROR(F10/E10,0)</f>
        <v/>
      </c>
    </row>
    <row r="11">
      <c r="A11" s="80" t="inlineStr">
        <is>
          <t>进行中</t>
        </is>
      </c>
      <c r="B11" s="57">
        <f>C6</f>
        <v/>
      </c>
      <c r="D11" s="80" t="inlineStr">
        <is>
          <t>第二批次</t>
        </is>
      </c>
      <c r="E11" s="81">
        <f>COUNTIF(项目总控台账!$F$4:$F$203,D11)</f>
        <v/>
      </c>
      <c r="F11" s="81">
        <f>COUNTIFS(项目总控台账!$F$4:$F$203,D11,项目总控台账!$G$4:$G$203,"已完成")</f>
        <v/>
      </c>
      <c r="G11" s="82">
        <f>IFERROR(F11/E11,0)</f>
        <v/>
      </c>
    </row>
    <row r="12">
      <c r="A12" s="80" t="inlineStr">
        <is>
          <t>未开始</t>
        </is>
      </c>
      <c r="B12" s="57">
        <f>D6</f>
        <v/>
      </c>
      <c r="D12" s="83" t="inlineStr">
        <is>
          <t>其他</t>
        </is>
      </c>
      <c r="E12" s="84">
        <f>$A$6-E10-E11</f>
        <v/>
      </c>
      <c r="F12" s="84">
        <f>$B$6-F10-F11</f>
        <v/>
      </c>
      <c r="G12" s="85">
        <f>IFERROR(F12/E12,0)</f>
        <v/>
      </c>
    </row>
    <row r="13">
      <c r="A13" s="83" t="inlineStr">
        <is>
          <t>暂停</t>
        </is>
      </c>
      <c r="B13" s="68">
        <f>E6</f>
        <v/>
      </c>
    </row>
    <row r="16">
      <c r="A16" s="73" t="inlineStr">
        <is>
          <t>管理关注点</t>
        </is>
      </c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7" t="n"/>
    </row>
    <row r="17">
      <c r="A17" s="88">
        <f>"截至 "&amp;TEXT($B$3,"yyyy-mm-dd")&amp;"：延期任务 "&amp;G6&amp;" 项，临近到期 "&amp;H6&amp;" 项，高风险 "&amp;I6&amp;" 项。建议优先处理外部系统集成依赖、第二批次未启动任务及无明确上线日期的功能。"</f>
        <v/>
      </c>
      <c r="B17" s="89" t="n"/>
      <c r="C17" s="89" t="n"/>
      <c r="D17" s="89" t="n"/>
      <c r="E17" s="89" t="n"/>
      <c r="F17" s="89" t="n"/>
      <c r="G17" s="89" t="n"/>
      <c r="H17" s="89" t="n"/>
      <c r="I17" s="89" t="n"/>
      <c r="J17" s="89" t="n"/>
      <c r="K17" s="89" t="n"/>
      <c r="L17" s="89" t="n"/>
      <c r="M17" s="89" t="n"/>
      <c r="N17" s="90" t="n"/>
    </row>
    <row r="18">
      <c r="A18" s="91" t="n"/>
      <c r="N18" s="92" t="n"/>
    </row>
    <row r="19">
      <c r="A19" s="91" t="n"/>
      <c r="N19" s="92" t="n"/>
    </row>
    <row r="20">
      <c r="A20" s="93" t="n"/>
      <c r="B20" s="94" t="n"/>
      <c r="C20" s="94" t="n"/>
      <c r="D20" s="94" t="n"/>
      <c r="E20" s="94" t="n"/>
      <c r="F20" s="94" t="n"/>
      <c r="G20" s="94" t="n"/>
      <c r="H20" s="94" t="n"/>
      <c r="I20" s="94" t="n"/>
      <c r="J20" s="94" t="n"/>
      <c r="K20" s="94" t="n"/>
      <c r="L20" s="94" t="n"/>
      <c r="M20" s="94" t="n"/>
      <c r="N20" s="95" t="n"/>
    </row>
    <row r="22">
      <c r="J22" s="97" t="inlineStr">
        <is>
          <t>进度与成本指标</t>
        </is>
      </c>
    </row>
    <row r="23">
      <c r="J23" s="98" t="inlineStr">
        <is>
          <t>综合进度</t>
        </is>
      </c>
      <c r="K23" s="99">
        <f>AVERAGE('项目总控台账'!$AB$4:$AB$148)</f>
        <v/>
      </c>
      <c r="M23" s="98" t="inlineStr">
        <is>
          <t>人日单价</t>
        </is>
      </c>
      <c r="N23" s="100" t="n">
        <v>1200</v>
      </c>
    </row>
    <row r="24">
      <c r="J24" s="98" t="inlineStr">
        <is>
          <t>任务完成率</t>
        </is>
      </c>
      <c r="K24" s="99">
        <f>COUNTIF('项目总控台账'!$G$4:$G$148,"已完成")/COUNTIF('项目总控台账'!$A$4:$A$148,"&lt;&gt;")</f>
        <v/>
      </c>
      <c r="M24" s="98" t="inlineStr">
        <is>
          <t>小时单价</t>
        </is>
      </c>
      <c r="N24" s="101">
        <f>N23/8</f>
        <v/>
      </c>
    </row>
    <row r="25">
      <c r="J25" s="98" t="inlineStr">
        <is>
          <t>计划投入人天</t>
        </is>
      </c>
      <c r="K25" s="102">
        <f>SUM('资源计划'!$I$16:$I$707)/8</f>
        <v/>
      </c>
      <c r="M25" s="98" t="inlineStr">
        <is>
          <t>计划人工成本</t>
        </is>
      </c>
      <c r="N25" s="101">
        <f>K25*N23</f>
        <v/>
      </c>
    </row>
    <row r="26">
      <c r="J26" s="98" t="inlineStr">
        <is>
          <t>已完成任务人天</t>
        </is>
      </c>
      <c r="K26" s="102">
        <f>SUMIFS('资源计划'!$I$16:$I$707,'资源计划'!$F$16:$F$707,"已完成")/8</f>
        <v/>
      </c>
      <c r="M26" s="98" t="inlineStr">
        <is>
          <t>已完成任务成本</t>
        </is>
      </c>
      <c r="N26" s="101">
        <f>K26*N23</f>
        <v/>
      </c>
    </row>
    <row r="27">
      <c r="J27" s="98" t="inlineStr">
        <is>
          <t>剩余计划人天</t>
        </is>
      </c>
      <c r="K27" s="102">
        <f>MAX(K25-K26,0)</f>
        <v/>
      </c>
      <c r="M27" s="98" t="inlineStr">
        <is>
          <t>剩余计划成本</t>
        </is>
      </c>
      <c r="N27" s="101">
        <f>K27*N23</f>
        <v/>
      </c>
    </row>
    <row r="29" ht="30" customHeight="1" s="1">
      <c r="J29" s="103" t="inlineStr">
        <is>
          <t>成本指标按计划工时计算；实际成本、CPI和EAC将在补充实际工时后启用。</t>
        </is>
      </c>
    </row>
  </sheetData>
  <mergeCells count="5">
    <mergeCell ref="A17:N20"/>
    <mergeCell ref="J29:N29"/>
    <mergeCell ref="A16:N16"/>
    <mergeCell ref="J22:N22"/>
    <mergeCell ref="A1:N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AE148"/>
  <sheetViews>
    <sheetView showGridLines="0" tabSelected="1" workbookViewId="0">
      <pane xSplit="5" ySplit="3" topLeftCell="X4" activePane="bottomRight" state="frozen"/>
      <selection activeCell="A1" sqref="A1"/>
      <selection pane="topRight" activeCell="A1" sqref="A1"/>
      <selection pane="bottomLeft" activeCell="A1" sqref="A1"/>
      <selection pane="bottomRight" activeCell="R156" sqref="R156"/>
    </sheetView>
  </sheetViews>
  <sheetFormatPr baseColWidth="8" defaultColWidth="9" defaultRowHeight="16.8"/>
  <cols>
    <col width="11" customWidth="1" style="1" min="1" max="1"/>
    <col width="16" customWidth="1" style="1" min="2" max="2"/>
    <col width="22" customWidth="1" style="1" min="3" max="3"/>
    <col width="28" customWidth="1" style="1" min="4" max="4"/>
    <col width="16" customWidth="1" style="1" min="5" max="5"/>
    <col width="11" customWidth="1" style="1" min="6" max="7"/>
    <col width="14" customWidth="1" style="1" min="8" max="8"/>
    <col width="12" customWidth="1" style="1" min="9" max="11"/>
    <col width="14" customWidth="1" style="1" min="12" max="12"/>
    <col width="11" customWidth="1" style="1" min="13" max="13"/>
    <col width="12" customWidth="1" style="1" min="14" max="15"/>
    <col width="17" customWidth="1" style="1" min="16" max="16"/>
    <col width="11" customWidth="1" style="1" min="17" max="17"/>
    <col width="12" customWidth="1" style="1" min="18" max="19"/>
    <col width="14" customWidth="1" style="1" min="20" max="20"/>
    <col width="11" customWidth="1" style="1" min="21" max="21"/>
    <col width="12" customWidth="1" style="1" min="22" max="23"/>
    <col width="14" customWidth="1" style="1" min="24" max="24"/>
    <col width="11" customWidth="1" style="1" min="25" max="25"/>
    <col width="12" customWidth="1" style="1" min="26" max="27"/>
    <col width="11" customWidth="1" style="1" min="28" max="28"/>
    <col width="12" customWidth="1" style="1" min="29" max="29"/>
    <col width="24" customWidth="1" style="1" min="30" max="31"/>
  </cols>
  <sheetData>
    <row r="1" ht="34" customHeight="1" s="1">
      <c r="A1" s="29" t="inlineStr">
        <is>
          <t>华能交易中心港口交易平台｜项目总控台账</t>
        </is>
      </c>
    </row>
    <row r="2">
      <c r="A2" s="69" t="inlineStr">
        <is>
          <t>蓝色字段来自原开发计划；黄色字段为管理补充项；进度与延期由公式自动计算。</t>
        </is>
      </c>
    </row>
    <row r="3" ht="30" customHeight="1" s="1">
      <c r="A3" s="32" t="inlineStr">
        <is>
          <t>任务ID</t>
        </is>
      </c>
      <c r="B3" s="32" t="inlineStr">
        <is>
          <t>一级功能</t>
        </is>
      </c>
      <c r="C3" s="32" t="inlineStr">
        <is>
          <t>二级功能</t>
        </is>
      </c>
      <c r="D3" s="32" t="inlineStr">
        <is>
          <t>三级功能</t>
        </is>
      </c>
      <c r="E3" s="32" t="inlineStr">
        <is>
          <t>四级功能</t>
        </is>
      </c>
      <c r="F3" s="32" t="inlineStr">
        <is>
          <t>批次</t>
        </is>
      </c>
      <c r="G3" s="32" t="inlineStr">
        <is>
          <t>总体状态</t>
        </is>
      </c>
      <c r="H3" s="32" t="inlineStr">
        <is>
          <t>主责人</t>
        </is>
      </c>
      <c r="I3" s="32" t="inlineStr">
        <is>
          <t>计划开始</t>
        </is>
      </c>
      <c r="J3" s="32" t="inlineStr">
        <is>
          <t>计划完成</t>
        </is>
      </c>
      <c r="K3" s="32" t="inlineStr">
        <is>
          <t>计划上线</t>
        </is>
      </c>
      <c r="L3" s="32" t="inlineStr">
        <is>
          <t>业务负责人</t>
        </is>
      </c>
      <c r="M3" s="32" t="inlineStr">
        <is>
          <t>业务状态</t>
        </is>
      </c>
      <c r="N3" s="32" t="inlineStr">
        <is>
          <t>业务开始</t>
        </is>
      </c>
      <c r="O3" s="32" t="inlineStr">
        <is>
          <t>业务结束</t>
        </is>
      </c>
      <c r="P3" s="32" t="inlineStr">
        <is>
          <t>后端负责人</t>
        </is>
      </c>
      <c r="Q3" s="32" t="inlineStr">
        <is>
          <t>后端状态</t>
        </is>
      </c>
      <c r="R3" s="32" t="inlineStr">
        <is>
          <t>后端开始</t>
        </is>
      </c>
      <c r="S3" s="32" t="inlineStr">
        <is>
          <t>后端结束</t>
        </is>
      </c>
      <c r="T3" s="32" t="inlineStr">
        <is>
          <t>前端负责人</t>
        </is>
      </c>
      <c r="U3" s="32" t="inlineStr">
        <is>
          <t>前端状态</t>
        </is>
      </c>
      <c r="V3" s="32" t="inlineStr">
        <is>
          <t>前端开始</t>
        </is>
      </c>
      <c r="W3" s="32" t="inlineStr">
        <is>
          <t>前端结束</t>
        </is>
      </c>
      <c r="X3" s="32" t="inlineStr">
        <is>
          <t>测试负责人</t>
        </is>
      </c>
      <c r="Y3" s="32" t="inlineStr">
        <is>
          <t>测试状态</t>
        </is>
      </c>
      <c r="Z3" s="32" t="inlineStr">
        <is>
          <t>测试开始</t>
        </is>
      </c>
      <c r="AA3" s="32" t="inlineStr">
        <is>
          <t>测试结束</t>
        </is>
      </c>
      <c r="AB3" s="32" t="inlineStr">
        <is>
          <t>综合进度</t>
        </is>
      </c>
      <c r="AC3" s="32" t="inlineStr">
        <is>
          <t>延期状态</t>
        </is>
      </c>
      <c r="AD3" s="32" t="inlineStr">
        <is>
          <t>当前问题/阻塞</t>
        </is>
      </c>
      <c r="AE3" s="32" t="inlineStr">
        <is>
          <t>备注</t>
        </is>
      </c>
    </row>
    <row r="4" hidden="1" ht="17" customHeight="1" s="1">
      <c r="A4" s="33" t="inlineStr">
        <is>
          <t>T001</t>
        </is>
      </c>
      <c r="B4" s="35" t="inlineStr">
        <is>
          <t>基础数据</t>
        </is>
      </c>
      <c r="C4" s="35" t="inlineStr">
        <is>
          <t>车辆信息维护</t>
        </is>
      </c>
      <c r="D4" s="35" t="inlineStr">
        <is>
          <t>新增车辆信息</t>
        </is>
      </c>
      <c r="E4" s="35" t="inlineStr">
        <is>
          <t>/</t>
        </is>
      </c>
      <c r="F4" s="35" t="inlineStr">
        <is>
          <t>第一批次</t>
        </is>
      </c>
      <c r="G4" s="35">
        <f>IF(OR(M4="挂起",M4="暂停",Q4="挂起",Q4="暂停",U4="挂起",U4="暂停",Y4="挂起",Y4="暂停"),"暂停","已完成")</f>
        <v/>
      </c>
      <c r="H4" s="35">
        <f>IF(L4&lt;&gt;"",L4,IF(P4&lt;&gt;"",P4,IF(T4&lt;&gt;"",T4,X4)))</f>
        <v/>
      </c>
      <c r="I4" s="104">
        <f>IF(COUNT(N4,R4,V4,Z4)=0,"",MIN(N4,R4,V4,Z4))</f>
        <v/>
      </c>
      <c r="J4" s="104">
        <f>IF(ISNUMBER(K4),K4,IF(COUNT(O4,S4,W4,AA4)=0,"",MAX(O4,S4,W4,AA4)))</f>
        <v/>
      </c>
      <c r="K4" s="104" t="inlineStr">
        <is>
          <t>/</t>
        </is>
      </c>
      <c r="L4" s="35" t="inlineStr">
        <is>
          <t>郑士旺</t>
        </is>
      </c>
      <c r="M4" s="35" t="inlineStr">
        <is>
          <t>已完成</t>
        </is>
      </c>
      <c r="N4" s="104" t="n">
        <v>46202</v>
      </c>
      <c r="O4" s="104" t="n">
        <v>46206</v>
      </c>
      <c r="P4" s="35" t="inlineStr">
        <is>
          <t>石军磊、刘凯</t>
        </is>
      </c>
      <c r="Q4" s="35" t="inlineStr">
        <is>
          <t>已完成</t>
        </is>
      </c>
      <c r="R4" s="104" t="n">
        <v>46209</v>
      </c>
      <c r="S4" s="104" t="n">
        <v>46225</v>
      </c>
      <c r="T4" s="35" t="inlineStr">
        <is>
          <t>贺航</t>
        </is>
      </c>
      <c r="U4" s="35" t="inlineStr">
        <is>
          <t>已完成</t>
        </is>
      </c>
      <c r="V4" s="104" t="n">
        <v>46209</v>
      </c>
      <c r="W4" s="104" t="n">
        <v>46225</v>
      </c>
      <c r="X4" s="35" t="inlineStr">
        <is>
          <t>袁丽荣</t>
        </is>
      </c>
      <c r="Y4" s="35" t="inlineStr">
        <is>
          <t>已完成</t>
        </is>
      </c>
      <c r="Z4" s="104" t="n">
        <v>46216</v>
      </c>
      <c r="AA4" s="104" t="n">
        <v>46234</v>
      </c>
      <c r="AB4" s="70">
        <f>(IF(M4="已完成",1,IF(M4="进行中",0.5,0))*15%+IF(Q4="已完成",1,IF(Q4="进行中",0.5,0))*35%+IF(U4="已完成",1,IF(U4="进行中",0.5,0))*30%+IF(Y4="已完成",1,IF(Y4="进行中",0.5,0))*20%)</f>
        <v/>
      </c>
      <c r="AC4" s="35">
        <f>IF(G4="已完成","正常",IF(OR(G4="暂停",G4="挂起"),"暂停",IF(J4="","日期缺失",IF(J4&lt;'项目驾驶舱'!$B$3,"已延期",IF(J4&lt;='项目驾驶舱'!$B$3+7,"临近到期","正常")))))</f>
        <v/>
      </c>
      <c r="AD4" s="35" t="inlineStr"/>
      <c r="AE4" s="36" t="inlineStr"/>
    </row>
    <row r="5" hidden="1" ht="17" customHeight="1" s="1">
      <c r="A5" s="37" t="inlineStr">
        <is>
          <t>T002</t>
        </is>
      </c>
      <c r="B5" s="39" t="inlineStr">
        <is>
          <t>基础数据</t>
        </is>
      </c>
      <c r="C5" s="39" t="inlineStr">
        <is>
          <t>车辆信息维护</t>
        </is>
      </c>
      <c r="D5" s="39" t="inlineStr">
        <is>
          <t>修改车辆信息</t>
        </is>
      </c>
      <c r="E5" s="39" t="inlineStr">
        <is>
          <t>/</t>
        </is>
      </c>
      <c r="F5" s="39" t="inlineStr">
        <is>
          <t>第一批次</t>
        </is>
      </c>
      <c r="G5" s="39">
        <f>IF(OR(M5="挂起",M5="暂停",Q5="挂起",Q5="暂停",U5="挂起",U5="暂停",Y5="挂起",Y5="暂停"),"暂停","已完成")</f>
        <v/>
      </c>
      <c r="H5" s="39">
        <f>IF(L5&lt;&gt;"",L5,IF(P5&lt;&gt;"",P5,IF(T5&lt;&gt;"",T5,X5)))</f>
        <v/>
      </c>
      <c r="I5" s="105">
        <f>IF(COUNT(N5,R5,V5,Z5)=0,"",MIN(N5,R5,V5,Z5))</f>
        <v/>
      </c>
      <c r="J5" s="105">
        <f>IF(ISNUMBER(K5),K5,IF(COUNT(O5,S5,W5,AA5)=0,"",MAX(O5,S5,W5,AA5)))</f>
        <v/>
      </c>
      <c r="K5" s="105" t="inlineStr">
        <is>
          <t>/</t>
        </is>
      </c>
      <c r="L5" s="39" t="inlineStr">
        <is>
          <t>郑士旺</t>
        </is>
      </c>
      <c r="M5" s="39" t="inlineStr">
        <is>
          <t>已完成</t>
        </is>
      </c>
      <c r="N5" s="105" t="n">
        <v>46202</v>
      </c>
      <c r="O5" s="105" t="n">
        <v>46206</v>
      </c>
      <c r="P5" s="39" t="inlineStr">
        <is>
          <t>石军磊、刘凯</t>
        </is>
      </c>
      <c r="Q5" s="39" t="inlineStr">
        <is>
          <t>已完成</t>
        </is>
      </c>
      <c r="R5" s="105" t="n">
        <v>46209</v>
      </c>
      <c r="S5" s="105" t="n">
        <v>46225</v>
      </c>
      <c r="T5" s="39" t="inlineStr">
        <is>
          <t>贺航</t>
        </is>
      </c>
      <c r="U5" s="39" t="inlineStr">
        <is>
          <t>已完成</t>
        </is>
      </c>
      <c r="V5" s="105" t="n">
        <v>46209</v>
      </c>
      <c r="W5" s="105" t="n">
        <v>46225</v>
      </c>
      <c r="X5" s="39" t="inlineStr">
        <is>
          <t>袁丽荣</t>
        </is>
      </c>
      <c r="Y5" s="39" t="inlineStr">
        <is>
          <t>已完成</t>
        </is>
      </c>
      <c r="Z5" s="105" t="n">
        <v>46216</v>
      </c>
      <c r="AA5" s="105" t="n">
        <v>46234</v>
      </c>
      <c r="AB5" s="71">
        <f>(IF(M5="已完成",1,IF(M5="进行中",0.5,0))*15%+IF(Q5="已完成",1,IF(Q5="进行中",0.5,0))*35%+IF(U5="已完成",1,IF(U5="进行中",0.5,0))*30%+IF(Y5="已完成",1,IF(Y5="进行中",0.5,0))*20%)</f>
        <v/>
      </c>
      <c r="AC5" s="39">
        <f>IF(G5="已完成","正常",IF(OR(G5="暂停",G5="挂起"),"暂停",IF(J5="","日期缺失",IF(J5&lt;'项目驾驶舱'!$B$3,"已延期",IF(J5&lt;='项目驾驶舱'!$B$3+7,"临近到期","正常")))))</f>
        <v/>
      </c>
      <c r="AD5" s="39" t="inlineStr"/>
      <c r="AE5" s="40" t="inlineStr"/>
    </row>
    <row r="6" hidden="1" ht="17" customHeight="1" s="1">
      <c r="A6" s="37" t="inlineStr">
        <is>
          <t>T003</t>
        </is>
      </c>
      <c r="B6" s="39" t="inlineStr">
        <is>
          <t>基础数据</t>
        </is>
      </c>
      <c r="C6" s="39" t="inlineStr">
        <is>
          <t>车辆信息维护</t>
        </is>
      </c>
      <c r="D6" s="39" t="inlineStr">
        <is>
          <t>删除车辆信息</t>
        </is>
      </c>
      <c r="E6" s="39" t="inlineStr">
        <is>
          <t>/</t>
        </is>
      </c>
      <c r="F6" s="39" t="inlineStr">
        <is>
          <t>第一批次</t>
        </is>
      </c>
      <c r="G6" s="39">
        <f>IF(OR(M6="挂起",M6="暂停",Q6="挂起",Q6="暂停",U6="挂起",U6="暂停",Y6="挂起",Y6="暂停"),"暂停","已完成")</f>
        <v/>
      </c>
      <c r="H6" s="39">
        <f>IF(L6&lt;&gt;"",L6,IF(P6&lt;&gt;"",P6,IF(T6&lt;&gt;"",T6,X6)))</f>
        <v/>
      </c>
      <c r="I6" s="105">
        <f>IF(COUNT(N6,R6,V6,Z6)=0,"",MIN(N6,R6,V6,Z6))</f>
        <v/>
      </c>
      <c r="J6" s="105">
        <f>IF(ISNUMBER(K6),K6,IF(COUNT(O6,S6,W6,AA6)=0,"",MAX(O6,S6,W6,AA6)))</f>
        <v/>
      </c>
      <c r="K6" s="105" t="inlineStr">
        <is>
          <t>/</t>
        </is>
      </c>
      <c r="L6" s="39" t="inlineStr">
        <is>
          <t>郑士旺</t>
        </is>
      </c>
      <c r="M6" s="39" t="inlineStr">
        <is>
          <t>已完成</t>
        </is>
      </c>
      <c r="N6" s="105" t="n">
        <v>46202</v>
      </c>
      <c r="O6" s="105" t="n">
        <v>46206</v>
      </c>
      <c r="P6" s="39" t="inlineStr">
        <is>
          <t>石军磊、刘凯</t>
        </is>
      </c>
      <c r="Q6" s="39" t="inlineStr">
        <is>
          <t>已完成</t>
        </is>
      </c>
      <c r="R6" s="105" t="n">
        <v>46209</v>
      </c>
      <c r="S6" s="105" t="n">
        <v>46225</v>
      </c>
      <c r="T6" s="39" t="inlineStr">
        <is>
          <t>贺航</t>
        </is>
      </c>
      <c r="U6" s="39" t="inlineStr">
        <is>
          <t>已完成</t>
        </is>
      </c>
      <c r="V6" s="105" t="n">
        <v>46209</v>
      </c>
      <c r="W6" s="105" t="n">
        <v>46225</v>
      </c>
      <c r="X6" s="39" t="inlineStr">
        <is>
          <t>袁丽荣</t>
        </is>
      </c>
      <c r="Y6" s="39" t="inlineStr">
        <is>
          <t>已完成</t>
        </is>
      </c>
      <c r="Z6" s="105" t="n">
        <v>46216</v>
      </c>
      <c r="AA6" s="105" t="n">
        <v>46234</v>
      </c>
      <c r="AB6" s="71">
        <f>(IF(M6="已完成",1,IF(M6="进行中",0.5,0))*15%+IF(Q6="已完成",1,IF(Q6="进行中",0.5,0))*35%+IF(U6="已完成",1,IF(U6="进行中",0.5,0))*30%+IF(Y6="已完成",1,IF(Y6="进行中",0.5,0))*20%)</f>
        <v/>
      </c>
      <c r="AC6" s="39">
        <f>IF(G6="已完成","正常",IF(OR(G6="暂停",G6="挂起"),"暂停",IF(J6="","日期缺失",IF(J6&lt;'项目驾驶舱'!$B$3,"已延期",IF(J6&lt;='项目驾驶舱'!$B$3+7,"临近到期","正常")))))</f>
        <v/>
      </c>
      <c r="AD6" s="39" t="inlineStr"/>
      <c r="AE6" s="40" t="inlineStr"/>
    </row>
    <row r="7" hidden="1" ht="17" customHeight="1" s="1">
      <c r="A7" s="37" t="inlineStr">
        <is>
          <t>T004</t>
        </is>
      </c>
      <c r="B7" s="39" t="inlineStr">
        <is>
          <t>基础数据</t>
        </is>
      </c>
      <c r="C7" s="39" t="inlineStr">
        <is>
          <t>车辆信息维护</t>
        </is>
      </c>
      <c r="D7" s="39" t="inlineStr">
        <is>
          <t>查询展示车辆信息</t>
        </is>
      </c>
      <c r="E7" s="39" t="inlineStr">
        <is>
          <t>/</t>
        </is>
      </c>
      <c r="F7" s="39" t="inlineStr">
        <is>
          <t>第一批次</t>
        </is>
      </c>
      <c r="G7" s="39">
        <f>IF(OR(M7="挂起",M7="暂停",Q7="挂起",Q7="暂停",U7="挂起",U7="暂停",Y7="挂起",Y7="暂停"),"暂停","已完成")</f>
        <v/>
      </c>
      <c r="H7" s="39">
        <f>IF(L7&lt;&gt;"",L7,IF(P7&lt;&gt;"",P7,IF(T7&lt;&gt;"",T7,X7)))</f>
        <v/>
      </c>
      <c r="I7" s="105">
        <f>IF(COUNT(N7,R7,V7,Z7)=0,"",MIN(N7,R7,V7,Z7))</f>
        <v/>
      </c>
      <c r="J7" s="105">
        <f>IF(ISNUMBER(K7),K7,IF(COUNT(O7,S7,W7,AA7)=0,"",MAX(O7,S7,W7,AA7)))</f>
        <v/>
      </c>
      <c r="K7" s="105" t="inlineStr">
        <is>
          <t>/</t>
        </is>
      </c>
      <c r="L7" s="39" t="inlineStr">
        <is>
          <t>郑士旺</t>
        </is>
      </c>
      <c r="M7" s="39" t="inlineStr">
        <is>
          <t>已完成</t>
        </is>
      </c>
      <c r="N7" s="105" t="n">
        <v>46202</v>
      </c>
      <c r="O7" s="105" t="n">
        <v>46206</v>
      </c>
      <c r="P7" s="39" t="inlineStr">
        <is>
          <t>石军磊、刘凯</t>
        </is>
      </c>
      <c r="Q7" s="39" t="inlineStr">
        <is>
          <t>已完成</t>
        </is>
      </c>
      <c r="R7" s="105" t="n">
        <v>46209</v>
      </c>
      <c r="S7" s="105" t="n">
        <v>46225</v>
      </c>
      <c r="T7" s="39" t="inlineStr">
        <is>
          <t>贺航</t>
        </is>
      </c>
      <c r="U7" s="39" t="inlineStr">
        <is>
          <t>已完成</t>
        </is>
      </c>
      <c r="V7" s="105" t="n">
        <v>46209</v>
      </c>
      <c r="W7" s="105" t="n">
        <v>46225</v>
      </c>
      <c r="X7" s="39" t="inlineStr">
        <is>
          <t>袁丽荣</t>
        </is>
      </c>
      <c r="Y7" s="39" t="inlineStr">
        <is>
          <t>已完成</t>
        </is>
      </c>
      <c r="Z7" s="105" t="n">
        <v>46216</v>
      </c>
      <c r="AA7" s="105" t="n">
        <v>46234</v>
      </c>
      <c r="AB7" s="71">
        <f>(IF(M7="已完成",1,IF(M7="进行中",0.5,0))*15%+IF(Q7="已完成",1,IF(Q7="进行中",0.5,0))*35%+IF(U7="已完成",1,IF(U7="进行中",0.5,0))*30%+IF(Y7="已完成",1,IF(Y7="进行中",0.5,0))*20%)</f>
        <v/>
      </c>
      <c r="AC7" s="39">
        <f>IF(G7="已完成","正常",IF(OR(G7="暂停",G7="挂起"),"暂停",IF(J7="","日期缺失",IF(J7&lt;'项目驾驶舱'!$B$3,"已延期",IF(J7&lt;='项目驾驶舱'!$B$3+7,"临近到期","正常")))))</f>
        <v/>
      </c>
      <c r="AD7" s="39" t="inlineStr"/>
      <c r="AE7" s="40" t="inlineStr"/>
    </row>
    <row r="8" hidden="1" ht="17" customHeight="1" s="1">
      <c r="A8" s="37" t="inlineStr">
        <is>
          <t>T005</t>
        </is>
      </c>
      <c r="B8" s="39" t="inlineStr">
        <is>
          <t>基础数据</t>
        </is>
      </c>
      <c r="C8" s="39" t="inlineStr">
        <is>
          <t>船舶信息维护</t>
        </is>
      </c>
      <c r="D8" s="39" t="inlineStr">
        <is>
          <t>船舶唯一性校验</t>
        </is>
      </c>
      <c r="E8" s="39" t="inlineStr">
        <is>
          <t>/</t>
        </is>
      </c>
      <c r="F8" s="39" t="inlineStr">
        <is>
          <t>第二批次</t>
        </is>
      </c>
      <c r="G8" s="39">
        <f>IF(OR(M8="挂起",M8="暂停",Q8="挂起",Q8="暂停",U8="挂起",U8="暂停",Y8="挂起",Y8="暂停"),"暂停","已完成")</f>
        <v/>
      </c>
      <c r="H8" s="39">
        <f>IF(L8&lt;&gt;"",L8,IF(P8&lt;&gt;"",P8,IF(T8&lt;&gt;"",T8,X8)))</f>
        <v/>
      </c>
      <c r="I8" s="105">
        <f>IF(COUNT(N8,R8,V8,Z8)=0,"",MIN(N8,R8,V8,Z8))</f>
        <v/>
      </c>
      <c r="J8" s="105">
        <f>IF(ISNUMBER(K8),K8,IF(COUNT(O8,S8,W8,AA8)=0,"",MAX(O8,S8,W8,AA8)))</f>
        <v/>
      </c>
      <c r="K8" s="105" t="inlineStr">
        <is>
          <t>/</t>
        </is>
      </c>
      <c r="L8" s="39" t="inlineStr">
        <is>
          <t>郑士旺</t>
        </is>
      </c>
      <c r="M8" s="39" t="inlineStr">
        <is>
          <t>已完成</t>
        </is>
      </c>
      <c r="N8" s="105" t="n">
        <v>46230</v>
      </c>
      <c r="O8" s="105" t="n">
        <v>46241</v>
      </c>
      <c r="P8" s="39" t="inlineStr">
        <is>
          <t>石军磊、刘凯</t>
        </is>
      </c>
      <c r="Q8" s="39" t="inlineStr">
        <is>
          <t>已完成</t>
        </is>
      </c>
      <c r="R8" s="105" t="n">
        <v>46307</v>
      </c>
      <c r="S8" s="105" t="n">
        <v>46339</v>
      </c>
      <c r="T8" s="39" t="inlineStr">
        <is>
          <t>贺航</t>
        </is>
      </c>
      <c r="U8" s="39" t="inlineStr">
        <is>
          <t>已完成</t>
        </is>
      </c>
      <c r="V8" s="105" t="n">
        <v>46307</v>
      </c>
      <c r="W8" s="105" t="n">
        <v>46339</v>
      </c>
      <c r="X8" s="39" t="inlineStr">
        <is>
          <t>袁丽荣</t>
        </is>
      </c>
      <c r="Y8" s="39" t="inlineStr">
        <is>
          <t>已完成</t>
        </is>
      </c>
      <c r="Z8" s="105" t="n">
        <v>46342</v>
      </c>
      <c r="AA8" s="105" t="n">
        <v>46353</v>
      </c>
      <c r="AB8" s="71">
        <f>(IF(M8="已完成",1,IF(M8="进行中",0.5,0))*15%+IF(Q8="已完成",1,IF(Q8="进行中",0.5,0))*35%+IF(U8="已完成",1,IF(U8="进行中",0.5,0))*30%+IF(Y8="已完成",1,IF(Y8="进行中",0.5,0))*20%)</f>
        <v/>
      </c>
      <c r="AC8" s="39">
        <f>IF(G8="已完成","正常",IF(OR(G8="暂停",G8="挂起"),"暂停",IF(J8="","日期缺失",IF(J8&lt;'项目驾驶舱'!$B$3,"已延期",IF(J8&lt;='项目驾驶舱'!$B$3+7,"临近到期","正常")))))</f>
        <v/>
      </c>
      <c r="AD8" s="39" t="inlineStr"/>
      <c r="AE8" s="40" t="inlineStr"/>
    </row>
    <row r="9" hidden="1" ht="17" customHeight="1" s="1">
      <c r="A9" s="37" t="inlineStr">
        <is>
          <t>T006</t>
        </is>
      </c>
      <c r="B9" s="39" t="inlineStr">
        <is>
          <t>基础数据</t>
        </is>
      </c>
      <c r="C9" s="39" t="inlineStr">
        <is>
          <t>收费标准信息维护</t>
        </is>
      </c>
      <c r="D9" s="39" t="inlineStr">
        <is>
          <t>优化收费标准（装卸费）新增</t>
        </is>
      </c>
      <c r="E9" s="39" t="inlineStr">
        <is>
          <t>/</t>
        </is>
      </c>
      <c r="F9" s="39" t="inlineStr">
        <is>
          <t>第一批次</t>
        </is>
      </c>
      <c r="G9" s="39">
        <f>IF(OR(M9="挂起",M9="暂停",Q9="挂起",Q9="暂停",U9="挂起",U9="暂停",Y9="挂起",Y9="暂停"),"暂停","已完成")</f>
        <v/>
      </c>
      <c r="H9" s="39">
        <f>IF(L9&lt;&gt;"",L9,IF(P9&lt;&gt;"",P9,IF(T9&lt;&gt;"",T9,X9)))</f>
        <v/>
      </c>
      <c r="I9" s="105">
        <f>IF(COUNT(N9,R9,V9,Z9)=0,"",MIN(N9,R9,V9,Z9))</f>
        <v/>
      </c>
      <c r="J9" s="105">
        <f>IF(ISNUMBER(K9),K9,IF(COUNT(O9,S9,W9,AA9)=0,"",MAX(O9,S9,W9,AA9)))</f>
        <v/>
      </c>
      <c r="K9" s="105" t="n">
        <v>46224</v>
      </c>
      <c r="L9" s="39" t="inlineStr">
        <is>
          <t>郑士旺</t>
        </is>
      </c>
      <c r="M9" s="39" t="inlineStr">
        <is>
          <t>已完成</t>
        </is>
      </c>
      <c r="N9" s="105" t="n">
        <v>46202</v>
      </c>
      <c r="O9" s="105" t="n">
        <v>46206</v>
      </c>
      <c r="P9" s="39" t="inlineStr">
        <is>
          <t>石军磊、刘凯</t>
        </is>
      </c>
      <c r="Q9" s="39" t="inlineStr">
        <is>
          <t>已完成</t>
        </is>
      </c>
      <c r="R9" s="105" t="n">
        <v>46209</v>
      </c>
      <c r="S9" s="105" t="n">
        <v>46227</v>
      </c>
      <c r="T9" s="39" t="inlineStr">
        <is>
          <t>贺航</t>
        </is>
      </c>
      <c r="U9" s="39" t="inlineStr">
        <is>
          <t>已完成</t>
        </is>
      </c>
      <c r="V9" s="105" t="n">
        <v>46209</v>
      </c>
      <c r="W9" s="105" t="n">
        <v>46227</v>
      </c>
      <c r="X9" s="39" t="inlineStr">
        <is>
          <t>袁丽荣</t>
        </is>
      </c>
      <c r="Y9" s="39" t="inlineStr">
        <is>
          <t>已完成</t>
        </is>
      </c>
      <c r="Z9" s="105" t="n">
        <v>46216</v>
      </c>
      <c r="AA9" s="105" t="n">
        <v>46234</v>
      </c>
      <c r="AB9" s="71">
        <f>(IF(M9="已完成",1,IF(M9="进行中",0.5,0))*15%+IF(Q9="已完成",1,IF(Q9="进行中",0.5,0))*35%+IF(U9="已完成",1,IF(U9="进行中",0.5,0))*30%+IF(Y9="已完成",1,IF(Y9="进行中",0.5,0))*20%)</f>
        <v/>
      </c>
      <c r="AC9" s="39">
        <f>IF(G9="已完成","正常",IF(OR(G9="暂停",G9="挂起"),"暂停",IF(J9="","日期缺失",IF(J9&lt;'项目驾驶舱'!$B$3,"已延期",IF(J9&lt;='项目驾驶舱'!$B$3+7,"临近到期","正常")))))</f>
        <v/>
      </c>
      <c r="AD9" s="39" t="inlineStr"/>
      <c r="AE9" s="40" t="inlineStr"/>
    </row>
    <row r="10" hidden="1" ht="17" customHeight="1" s="1">
      <c r="A10" s="37" t="inlineStr">
        <is>
          <t>T007</t>
        </is>
      </c>
      <c r="B10" s="39" t="inlineStr">
        <is>
          <t>基础数据</t>
        </is>
      </c>
      <c r="C10" s="39" t="inlineStr">
        <is>
          <t>收费标准信息维护</t>
        </is>
      </c>
      <c r="D10" s="39" t="inlineStr">
        <is>
          <t>优化收费标准（装卸费）编辑</t>
        </is>
      </c>
      <c r="E10" s="39" t="inlineStr">
        <is>
          <t>/</t>
        </is>
      </c>
      <c r="F10" s="39" t="inlineStr">
        <is>
          <t>第一批次</t>
        </is>
      </c>
      <c r="G10" s="39">
        <f>IF(OR(M10="挂起",M10="暂停",Q10="挂起",Q10="暂停",U10="挂起",U10="暂停",Y10="挂起",Y10="暂停"),"暂停","已完成")</f>
        <v/>
      </c>
      <c r="H10" s="39">
        <f>IF(L10&lt;&gt;"",L10,IF(P10&lt;&gt;"",P10,IF(T10&lt;&gt;"",T10,X10)))</f>
        <v/>
      </c>
      <c r="I10" s="105">
        <f>IF(COUNT(N10,R10,V10,Z10)=0,"",MIN(N10,R10,V10,Z10))</f>
        <v/>
      </c>
      <c r="J10" s="105">
        <f>IF(ISNUMBER(K10),K10,IF(COUNT(O10,S10,W10,AA10)=0,"",MAX(O10,S10,W10,AA10)))</f>
        <v/>
      </c>
      <c r="K10" s="105" t="n">
        <v>46224</v>
      </c>
      <c r="L10" s="39" t="inlineStr">
        <is>
          <t>郑士旺</t>
        </is>
      </c>
      <c r="M10" s="39" t="inlineStr">
        <is>
          <t>已完成</t>
        </is>
      </c>
      <c r="N10" s="105" t="n">
        <v>46202</v>
      </c>
      <c r="O10" s="105" t="n">
        <v>46206</v>
      </c>
      <c r="P10" s="39" t="inlineStr">
        <is>
          <t>石军磊、刘凯</t>
        </is>
      </c>
      <c r="Q10" s="39" t="inlineStr">
        <is>
          <t>已完成</t>
        </is>
      </c>
      <c r="R10" s="105" t="n">
        <v>46209</v>
      </c>
      <c r="S10" s="105" t="n">
        <v>46227</v>
      </c>
      <c r="T10" s="39" t="inlineStr">
        <is>
          <t>贺航</t>
        </is>
      </c>
      <c r="U10" s="39" t="inlineStr">
        <is>
          <t>已完成</t>
        </is>
      </c>
      <c r="V10" s="105" t="n">
        <v>46209</v>
      </c>
      <c r="W10" s="105" t="n">
        <v>46227</v>
      </c>
      <c r="X10" s="39" t="inlineStr">
        <is>
          <t>袁丽荣</t>
        </is>
      </c>
      <c r="Y10" s="39" t="inlineStr">
        <is>
          <t>已完成</t>
        </is>
      </c>
      <c r="Z10" s="105" t="n">
        <v>46216</v>
      </c>
      <c r="AA10" s="105" t="n">
        <v>46234</v>
      </c>
      <c r="AB10" s="71">
        <f>(IF(M10="已完成",1,IF(M10="进行中",0.5,0))*15%+IF(Q10="已完成",1,IF(Q10="进行中",0.5,0))*35%+IF(U10="已完成",1,IF(U10="进行中",0.5,0))*30%+IF(Y10="已完成",1,IF(Y10="进行中",0.5,0))*20%)</f>
        <v/>
      </c>
      <c r="AC10" s="39">
        <f>IF(G10="已完成","正常",IF(OR(G10="暂停",G10="挂起"),"暂停",IF(J10="","日期缺失",IF(J10&lt;'项目驾驶舱'!$B$3,"已延期",IF(J10&lt;='项目驾驶舱'!$B$3+7,"临近到期","正常")))))</f>
        <v/>
      </c>
      <c r="AD10" s="39" t="inlineStr"/>
      <c r="AE10" s="40" t="inlineStr"/>
    </row>
    <row r="11" hidden="1" ht="17" customHeight="1" s="1">
      <c r="A11" s="37" t="inlineStr">
        <is>
          <t>T008</t>
        </is>
      </c>
      <c r="B11" s="39" t="inlineStr">
        <is>
          <t>基础数据</t>
        </is>
      </c>
      <c r="C11" s="39" t="inlineStr">
        <is>
          <t>收费标准信息维护</t>
        </is>
      </c>
      <c r="D11" s="39" t="inlineStr">
        <is>
          <t>优化收费标准（装卸费）详情</t>
        </is>
      </c>
      <c r="E11" s="39" t="inlineStr">
        <is>
          <t>/</t>
        </is>
      </c>
      <c r="F11" s="39" t="inlineStr">
        <is>
          <t>第一批次</t>
        </is>
      </c>
      <c r="G11" s="39">
        <f>IF(OR(M11="挂起",M11="暂停",Q11="挂起",Q11="暂停",U11="挂起",U11="暂停",Y11="挂起",Y11="暂停"),"暂停","已完成")</f>
        <v/>
      </c>
      <c r="H11" s="39">
        <f>IF(L11&lt;&gt;"",L11,IF(P11&lt;&gt;"",P11,IF(T11&lt;&gt;"",T11,X11)))</f>
        <v/>
      </c>
      <c r="I11" s="105">
        <f>IF(COUNT(N11,R11,V11,Z11)=0,"",MIN(N11,R11,V11,Z11))</f>
        <v/>
      </c>
      <c r="J11" s="105">
        <f>IF(ISNUMBER(K11),K11,IF(COUNT(O11,S11,W11,AA11)=0,"",MAX(O11,S11,W11,AA11)))</f>
        <v/>
      </c>
      <c r="K11" s="105" t="n">
        <v>46224</v>
      </c>
      <c r="L11" s="39" t="inlineStr">
        <is>
          <t>郑士旺</t>
        </is>
      </c>
      <c r="M11" s="39" t="inlineStr">
        <is>
          <t>已完成</t>
        </is>
      </c>
      <c r="N11" s="105" t="n">
        <v>46202</v>
      </c>
      <c r="O11" s="105" t="n">
        <v>46206</v>
      </c>
      <c r="P11" s="39" t="inlineStr">
        <is>
          <t>石军磊、刘凯</t>
        </is>
      </c>
      <c r="Q11" s="39" t="inlineStr">
        <is>
          <t>已完成</t>
        </is>
      </c>
      <c r="R11" s="105" t="n">
        <v>46209</v>
      </c>
      <c r="S11" s="105" t="n">
        <v>46227</v>
      </c>
      <c r="T11" s="39" t="inlineStr">
        <is>
          <t>贺航</t>
        </is>
      </c>
      <c r="U11" s="39" t="inlineStr">
        <is>
          <t>已完成</t>
        </is>
      </c>
      <c r="V11" s="105" t="n">
        <v>46209</v>
      </c>
      <c r="W11" s="105" t="n">
        <v>46227</v>
      </c>
      <c r="X11" s="39" t="inlineStr">
        <is>
          <t>袁丽荣</t>
        </is>
      </c>
      <c r="Y11" s="39" t="inlineStr">
        <is>
          <t>已完成</t>
        </is>
      </c>
      <c r="Z11" s="105" t="n">
        <v>46216</v>
      </c>
      <c r="AA11" s="105" t="n">
        <v>46234</v>
      </c>
      <c r="AB11" s="71">
        <f>(IF(M11="已完成",1,IF(M11="进行中",0.5,0))*15%+IF(Q11="已完成",1,IF(Q11="进行中",0.5,0))*35%+IF(U11="已完成",1,IF(U11="进行中",0.5,0))*30%+IF(Y11="已完成",1,IF(Y11="进行中",0.5,0))*20%)</f>
        <v/>
      </c>
      <c r="AC11" s="39">
        <f>IF(G11="已完成","正常",IF(OR(G11="暂停",G11="挂起"),"暂停",IF(J11="","日期缺失",IF(J11&lt;'项目驾驶舱'!$B$3,"已延期",IF(J11&lt;='项目驾驶舱'!$B$3+7,"临近到期","正常")))))</f>
        <v/>
      </c>
      <c r="AD11" s="39" t="inlineStr"/>
      <c r="AE11" s="40" t="inlineStr"/>
    </row>
    <row r="12" hidden="1" ht="17" customHeight="1" s="1">
      <c r="A12" s="37" t="inlineStr">
        <is>
          <t>T009</t>
        </is>
      </c>
      <c r="B12" s="39" t="inlineStr">
        <is>
          <t>基础数据</t>
        </is>
      </c>
      <c r="C12" s="39" t="inlineStr">
        <is>
          <t>采样方式信息维护</t>
        </is>
      </c>
      <c r="D12" s="39" t="inlineStr">
        <is>
          <t>优化采样方式新增</t>
        </is>
      </c>
      <c r="E12" s="39" t="inlineStr">
        <is>
          <t>/</t>
        </is>
      </c>
      <c r="F12" s="39" t="inlineStr">
        <is>
          <t>第一批次</t>
        </is>
      </c>
      <c r="G12" s="39">
        <f>IF(OR(M12="挂起",M12="暂停",Q12="挂起",Q12="暂停",U12="挂起",U12="暂停",Y12="挂起",Y12="暂停"),"暂停","已完成")</f>
        <v/>
      </c>
      <c r="H12" s="39">
        <f>IF(L12&lt;&gt;"",L12,IF(P12&lt;&gt;"",P12,IF(T12&lt;&gt;"",T12,X12)))</f>
        <v/>
      </c>
      <c r="I12" s="105">
        <f>IF(COUNT(N12,R12,V12,Z12)=0,"",MIN(N12,R12,V12,Z12))</f>
        <v/>
      </c>
      <c r="J12" s="105">
        <f>IF(ISNUMBER(K12),K12,IF(COUNT(O12,S12,W12,AA12)=0,"",MAX(O12,S12,W12,AA12)))</f>
        <v/>
      </c>
      <c r="K12" s="105" t="n">
        <v>46224</v>
      </c>
      <c r="L12" s="39" t="inlineStr">
        <is>
          <t>郑士旺</t>
        </is>
      </c>
      <c r="M12" s="39" t="inlineStr">
        <is>
          <t>已完成</t>
        </is>
      </c>
      <c r="N12" s="105" t="n">
        <v>46202</v>
      </c>
      <c r="O12" s="105" t="n">
        <v>46206</v>
      </c>
      <c r="P12" s="39" t="inlineStr">
        <is>
          <t>石军磊、刘凯</t>
        </is>
      </c>
      <c r="Q12" s="39" t="inlineStr">
        <is>
          <t>已完成</t>
        </is>
      </c>
      <c r="R12" s="105" t="n">
        <v>46209</v>
      </c>
      <c r="S12" s="105" t="n">
        <v>46227</v>
      </c>
      <c r="T12" s="39" t="inlineStr">
        <is>
          <t>贺航</t>
        </is>
      </c>
      <c r="U12" s="39" t="inlineStr">
        <is>
          <t>已完成</t>
        </is>
      </c>
      <c r="V12" s="105" t="n">
        <v>46209</v>
      </c>
      <c r="W12" s="105" t="n">
        <v>46227</v>
      </c>
      <c r="X12" s="39" t="inlineStr">
        <is>
          <t>袁丽荣</t>
        </is>
      </c>
      <c r="Y12" s="39" t="inlineStr">
        <is>
          <t>已完成</t>
        </is>
      </c>
      <c r="Z12" s="105" t="n">
        <v>46216</v>
      </c>
      <c r="AA12" s="105" t="n">
        <v>46234</v>
      </c>
      <c r="AB12" s="71">
        <f>(IF(M12="已完成",1,IF(M12="进行中",0.5,0))*15%+IF(Q12="已完成",1,IF(Q12="进行中",0.5,0))*35%+IF(U12="已完成",1,IF(U12="进行中",0.5,0))*30%+IF(Y12="已完成",1,IF(Y12="进行中",0.5,0))*20%)</f>
        <v/>
      </c>
      <c r="AC12" s="39">
        <f>IF(G12="已完成","正常",IF(OR(G12="暂停",G12="挂起"),"暂停",IF(J12="","日期缺失",IF(J12&lt;'项目驾驶舱'!$B$3,"已延期",IF(J12&lt;='项目驾驶舱'!$B$3+7,"临近到期","正常")))))</f>
        <v/>
      </c>
      <c r="AD12" s="39" t="inlineStr"/>
      <c r="AE12" s="40" t="inlineStr"/>
    </row>
    <row r="13" hidden="1" ht="17" customHeight="1" s="1">
      <c r="A13" s="37" t="inlineStr">
        <is>
          <t>T010</t>
        </is>
      </c>
      <c r="B13" s="39" t="inlineStr">
        <is>
          <t>基础数据</t>
        </is>
      </c>
      <c r="C13" s="39" t="inlineStr">
        <is>
          <t>采样方式信息维护</t>
        </is>
      </c>
      <c r="D13" s="39" t="inlineStr">
        <is>
          <t>优化采样方式编辑</t>
        </is>
      </c>
      <c r="E13" s="39" t="inlineStr">
        <is>
          <t>/</t>
        </is>
      </c>
      <c r="F13" s="39" t="inlineStr">
        <is>
          <t>第一批次</t>
        </is>
      </c>
      <c r="G13" s="39">
        <f>IF(OR(M13="挂起",M13="暂停",Q13="挂起",Q13="暂停",U13="挂起",U13="暂停",Y13="挂起",Y13="暂停"),"暂停","已完成")</f>
        <v/>
      </c>
      <c r="H13" s="39">
        <f>IF(L13&lt;&gt;"",L13,IF(P13&lt;&gt;"",P13,IF(T13&lt;&gt;"",T13,X13)))</f>
        <v/>
      </c>
      <c r="I13" s="105">
        <f>IF(COUNT(N13,R13,V13,Z13)=0,"",MIN(N13,R13,V13,Z13))</f>
        <v/>
      </c>
      <c r="J13" s="105">
        <f>IF(ISNUMBER(K13),K13,IF(COUNT(O13,S13,W13,AA13)=0,"",MAX(O13,S13,W13,AA13)))</f>
        <v/>
      </c>
      <c r="K13" s="105" t="n">
        <v>46224</v>
      </c>
      <c r="L13" s="39" t="inlineStr">
        <is>
          <t>郑士旺</t>
        </is>
      </c>
      <c r="M13" s="39" t="inlineStr">
        <is>
          <t>已完成</t>
        </is>
      </c>
      <c r="N13" s="105" t="n">
        <v>46202</v>
      </c>
      <c r="O13" s="105" t="n">
        <v>46206</v>
      </c>
      <c r="P13" s="39" t="inlineStr">
        <is>
          <t>石军磊、刘凯</t>
        </is>
      </c>
      <c r="Q13" s="39" t="inlineStr">
        <is>
          <t>已完成</t>
        </is>
      </c>
      <c r="R13" s="105" t="n">
        <v>46209</v>
      </c>
      <c r="S13" s="105" t="n">
        <v>46227</v>
      </c>
      <c r="T13" s="39" t="inlineStr">
        <is>
          <t>贺航</t>
        </is>
      </c>
      <c r="U13" s="39" t="inlineStr">
        <is>
          <t>已完成</t>
        </is>
      </c>
      <c r="V13" s="105" t="n">
        <v>46209</v>
      </c>
      <c r="W13" s="105" t="n">
        <v>46227</v>
      </c>
      <c r="X13" s="39" t="inlineStr">
        <is>
          <t>袁丽荣</t>
        </is>
      </c>
      <c r="Y13" s="39" t="inlineStr">
        <is>
          <t>已完成</t>
        </is>
      </c>
      <c r="Z13" s="105" t="n">
        <v>46216</v>
      </c>
      <c r="AA13" s="105" t="n">
        <v>46234</v>
      </c>
      <c r="AB13" s="71">
        <f>(IF(M13="已完成",1,IF(M13="进行中",0.5,0))*15%+IF(Q13="已完成",1,IF(Q13="进行中",0.5,0))*35%+IF(U13="已完成",1,IF(U13="进行中",0.5,0))*30%+IF(Y13="已完成",1,IF(Y13="进行中",0.5,0))*20%)</f>
        <v/>
      </c>
      <c r="AC13" s="39">
        <f>IF(G13="已完成","正常",IF(OR(G13="暂停",G13="挂起"),"暂停",IF(J13="","日期缺失",IF(J13&lt;'项目驾驶舱'!$B$3,"已延期",IF(J13&lt;='项目驾驶舱'!$B$3+7,"临近到期","正常")))))</f>
        <v/>
      </c>
      <c r="AD13" s="39" t="inlineStr"/>
      <c r="AE13" s="40" t="inlineStr"/>
    </row>
    <row r="14" hidden="1" ht="34" customHeight="1" s="1">
      <c r="A14" s="37" t="inlineStr">
        <is>
          <t>T011</t>
        </is>
      </c>
      <c r="B14" s="39" t="inlineStr">
        <is>
          <t>网上营业厅</t>
        </is>
      </c>
      <c r="C14" s="39" t="inlineStr">
        <is>
          <t>交易中心报单信息展示及应单入口</t>
        </is>
      </c>
      <c r="D14" s="39" t="inlineStr">
        <is>
          <t>获取报单数据及展示</t>
        </is>
      </c>
      <c r="E14" s="39" t="inlineStr">
        <is>
          <t>/</t>
        </is>
      </c>
      <c r="F14" s="39" t="inlineStr">
        <is>
          <t>第一批次</t>
        </is>
      </c>
      <c r="G14" s="39">
        <f>IF(OR(M14="挂起",M14="暂停",Q14="挂起",Q14="暂停",U14="挂起",U14="暂停",Y14="挂起",Y14="暂停"),"暂停","已完成")</f>
        <v/>
      </c>
      <c r="H14" s="39">
        <f>IF(L14&lt;&gt;"",L14,IF(P14&lt;&gt;"",P14,IF(T14&lt;&gt;"",T14,X14)))</f>
        <v/>
      </c>
      <c r="I14" s="105">
        <f>IF(COUNT(N14,R14,V14,Z14)=0,"",MIN(N14,R14,V14,Z14))</f>
        <v/>
      </c>
      <c r="J14" s="105">
        <f>IF(ISNUMBER(K14),K14,IF(COUNT(O14,S14,W14,AA14)=0,"",MAX(O14,S14,W14,AA14)))</f>
        <v/>
      </c>
      <c r="K14" s="105" t="n">
        <v>46224</v>
      </c>
      <c r="L14" s="39" t="inlineStr">
        <is>
          <t>郑士旺</t>
        </is>
      </c>
      <c r="M14" s="39" t="inlineStr">
        <is>
          <t>已完成</t>
        </is>
      </c>
      <c r="N14" s="105" t="n">
        <v>46202</v>
      </c>
      <c r="O14" s="105" t="n">
        <v>46206</v>
      </c>
      <c r="P14" s="39" t="inlineStr">
        <is>
          <t>石军磊、刘凯</t>
        </is>
      </c>
      <c r="Q14" s="39" t="inlineStr">
        <is>
          <t>已完成</t>
        </is>
      </c>
      <c r="R14" s="105" t="n">
        <v>46209</v>
      </c>
      <c r="S14" s="105" t="n">
        <v>46227</v>
      </c>
      <c r="T14" s="39" t="inlineStr">
        <is>
          <t>贺航</t>
        </is>
      </c>
      <c r="U14" s="39" t="inlineStr">
        <is>
          <t>已完成</t>
        </is>
      </c>
      <c r="V14" s="105" t="n">
        <v>46209</v>
      </c>
      <c r="W14" s="105" t="n">
        <v>46225</v>
      </c>
      <c r="X14" s="39" t="inlineStr">
        <is>
          <t>袁丽荣</t>
        </is>
      </c>
      <c r="Y14" s="39" t="inlineStr">
        <is>
          <t>已完成</t>
        </is>
      </c>
      <c r="Z14" s="105" t="n">
        <v>46216</v>
      </c>
      <c r="AA14" s="105" t="n">
        <v>46234</v>
      </c>
      <c r="AB14" s="71">
        <f>(IF(M14="已完成",1,IF(M14="进行中",0.5,0))*15%+IF(Q14="已完成",1,IF(Q14="进行中",0.5,0))*35%+IF(U14="已完成",1,IF(U14="进行中",0.5,0))*30%+IF(Y14="已完成",1,IF(Y14="进行中",0.5,0))*20%)</f>
        <v/>
      </c>
      <c r="AC14" s="39">
        <f>IF(G14="已完成","正常",IF(OR(G14="暂停",G14="挂起"),"暂停",IF(J14="","日期缺失",IF(J14&lt;'项目驾驶舱'!$B$3,"已延期",IF(J14&lt;='项目驾驶舱'!$B$3+7,"临近到期","正常")))))</f>
        <v/>
      </c>
      <c r="AD14" s="39" t="inlineStr"/>
      <c r="AE14" s="40" t="inlineStr"/>
    </row>
    <row r="15" hidden="1" ht="34" customHeight="1" s="1">
      <c r="A15" s="37" t="inlineStr">
        <is>
          <t>T012</t>
        </is>
      </c>
      <c r="B15" s="39" t="inlineStr">
        <is>
          <t>网上营业厅</t>
        </is>
      </c>
      <c r="C15" s="39" t="inlineStr">
        <is>
          <t>交易中心报单信息展示及应单入口</t>
        </is>
      </c>
      <c r="D15" s="39" t="inlineStr">
        <is>
          <t>应单入口</t>
        </is>
      </c>
      <c r="E15" s="39" t="inlineStr">
        <is>
          <t>/</t>
        </is>
      </c>
      <c r="F15" s="39" t="inlineStr">
        <is>
          <t>第一批次</t>
        </is>
      </c>
      <c r="G15" s="39">
        <f>IF(OR(M15="挂起",M15="暂停",Q15="挂起",Q15="暂停",U15="挂起",U15="暂停",Y15="挂起",Y15="暂停"),"暂停","已完成")</f>
        <v/>
      </c>
      <c r="H15" s="39">
        <f>IF(L15&lt;&gt;"",L15,IF(P15&lt;&gt;"",P15,IF(T15&lt;&gt;"",T15,X15)))</f>
        <v/>
      </c>
      <c r="I15" s="105">
        <f>IF(COUNT(N15,R15,V15,Z15)=0,"",MIN(N15,R15,V15,Z15))</f>
        <v/>
      </c>
      <c r="J15" s="105">
        <f>IF(ISNUMBER(K15),K15,IF(COUNT(O15,S15,W15,AA15)=0,"",MAX(O15,S15,W15,AA15)))</f>
        <v/>
      </c>
      <c r="K15" s="105" t="n">
        <v>46224</v>
      </c>
      <c r="L15" s="39" t="inlineStr">
        <is>
          <t>郑士旺</t>
        </is>
      </c>
      <c r="M15" s="39" t="inlineStr">
        <is>
          <t>已完成</t>
        </is>
      </c>
      <c r="N15" s="105" t="n">
        <v>46202</v>
      </c>
      <c r="O15" s="105" t="n">
        <v>46206</v>
      </c>
      <c r="P15" s="39" t="inlineStr">
        <is>
          <t>石军磊、刘凯</t>
        </is>
      </c>
      <c r="Q15" s="39" t="inlineStr">
        <is>
          <t>已完成</t>
        </is>
      </c>
      <c r="R15" s="105" t="n">
        <v>46209</v>
      </c>
      <c r="S15" s="105" t="n">
        <v>46227</v>
      </c>
      <c r="T15" s="39" t="inlineStr">
        <is>
          <t>贺航</t>
        </is>
      </c>
      <c r="U15" s="39" t="inlineStr">
        <is>
          <t>已完成</t>
        </is>
      </c>
      <c r="V15" s="105" t="n">
        <v>46209</v>
      </c>
      <c r="W15" s="105" t="n">
        <v>46225</v>
      </c>
      <c r="X15" s="39" t="inlineStr">
        <is>
          <t>袁丽荣</t>
        </is>
      </c>
      <c r="Y15" s="39" t="inlineStr">
        <is>
          <t>已完成</t>
        </is>
      </c>
      <c r="Z15" s="105" t="n">
        <v>46216</v>
      </c>
      <c r="AA15" s="105" t="n">
        <v>46234</v>
      </c>
      <c r="AB15" s="71">
        <f>(IF(M15="已完成",1,IF(M15="进行中",0.5,0))*15%+IF(Q15="已完成",1,IF(Q15="进行中",0.5,0))*35%+IF(U15="已完成",1,IF(U15="进行中",0.5,0))*30%+IF(Y15="已完成",1,IF(Y15="进行中",0.5,0))*20%)</f>
        <v/>
      </c>
      <c r="AC15" s="39">
        <f>IF(G15="已完成","正常",IF(OR(G15="暂停",G15="挂起"),"暂停",IF(J15="","日期缺失",IF(J15&lt;'项目驾驶舱'!$B$3,"已延期",IF(J15&lt;='项目驾驶舱'!$B$3+7,"临近到期","正常")))))</f>
        <v/>
      </c>
      <c r="AD15" s="39" t="inlineStr"/>
      <c r="AE15" s="40" t="inlineStr"/>
    </row>
    <row r="16" hidden="1" ht="17" customHeight="1" s="1">
      <c r="A16" s="37" t="inlineStr">
        <is>
          <t>T013</t>
        </is>
      </c>
      <c r="B16" s="39" t="inlineStr">
        <is>
          <t>网上营业厅</t>
        </is>
      </c>
      <c r="C16" s="39" t="inlineStr">
        <is>
          <t>结算条款管理</t>
        </is>
      </c>
      <c r="D16" s="39" t="inlineStr">
        <is>
          <t>新增结算条款</t>
        </is>
      </c>
      <c r="E16" s="39" t="inlineStr">
        <is>
          <t>/</t>
        </is>
      </c>
      <c r="F16" s="39" t="inlineStr">
        <is>
          <t>第二批次</t>
        </is>
      </c>
      <c r="G16" s="39">
        <f>IF(OR(M16="挂起",M16="暂停",Q16="挂起",Q16="暂停",U16="挂起",U16="暂停",Y16="挂起",Y16="暂停"),"暂停","未开始")</f>
        <v/>
      </c>
      <c r="H16" s="39">
        <f>IF(L16&lt;&gt;"",L16,IF(P16&lt;&gt;"",P16,IF(T16&lt;&gt;"",T16,X16)))</f>
        <v/>
      </c>
      <c r="I16" s="105">
        <f>IF(COUNT(N16,R16,V16,Z16)=0,"",MIN(N16,R16,V16,Z16))</f>
        <v/>
      </c>
      <c r="J16" s="105">
        <f>IF(ISNUMBER(K16),K16,IF(COUNT(O16,S16,W16,AA16)=0,"",MAX(O16,S16,W16,AA16)))</f>
        <v/>
      </c>
      <c r="K16" s="105" t="n"/>
      <c r="L16" s="39" t="inlineStr">
        <is>
          <t>郑士旺</t>
        </is>
      </c>
      <c r="M16" s="39" t="inlineStr">
        <is>
          <t>未开始</t>
        </is>
      </c>
      <c r="N16" s="105" t="n">
        <v>46223</v>
      </c>
      <c r="O16" s="105" t="n">
        <v>46227</v>
      </c>
      <c r="P16" s="39" t="inlineStr">
        <is>
          <t>石军磊、刘凯</t>
        </is>
      </c>
      <c r="Q16" s="39" t="inlineStr">
        <is>
          <t>未开始</t>
        </is>
      </c>
      <c r="R16" s="105" t="n">
        <v>46272</v>
      </c>
      <c r="S16" s="105" t="n">
        <v>46304</v>
      </c>
      <c r="T16" s="39" t="inlineStr">
        <is>
          <t>贺航</t>
        </is>
      </c>
      <c r="U16" s="39" t="inlineStr">
        <is>
          <t>未开始</t>
        </is>
      </c>
      <c r="V16" s="105" t="n">
        <v>46272</v>
      </c>
      <c r="W16" s="105" t="n">
        <v>46304</v>
      </c>
      <c r="X16" s="39" t="inlineStr">
        <is>
          <t>袁丽荣</t>
        </is>
      </c>
      <c r="Y16" s="39" t="inlineStr">
        <is>
          <t>未开始</t>
        </is>
      </c>
      <c r="Z16" s="105" t="n">
        <v>46307</v>
      </c>
      <c r="AA16" s="105" t="n">
        <v>46318</v>
      </c>
      <c r="AB16" s="71">
        <f>(IF(M16="已完成",1,IF(M16="进行中",0.5,0))*15%+IF(Q16="已完成",1,IF(Q16="进行中",0.5,0))*35%+IF(U16="已完成",1,IF(U16="进行中",0.5,0))*30%+IF(Y16="已完成",1,IF(Y16="进行中",0.5,0))*20%)</f>
        <v/>
      </c>
      <c r="AC16" s="39">
        <f>IF(G16="已完成","正常",IF(OR(G16="暂停",G16="挂起"),"暂停",IF(J16="","日期缺失",IF(J16&lt;'项目驾驶舱'!$B$3,"已延期",IF(J16&lt;='项目驾驶舱'!$B$3+7,"临近到期","正常")))))</f>
        <v/>
      </c>
      <c r="AD16" s="39" t="inlineStr"/>
      <c r="AE16" s="40" t="inlineStr"/>
    </row>
    <row r="17" hidden="1" ht="17" customHeight="1" s="1">
      <c r="A17" s="37" t="inlineStr">
        <is>
          <t>T014</t>
        </is>
      </c>
      <c r="B17" s="39" t="inlineStr">
        <is>
          <t>网上营业厅</t>
        </is>
      </c>
      <c r="C17" s="39" t="inlineStr">
        <is>
          <t>结算条款管理</t>
        </is>
      </c>
      <c r="D17" s="39" t="inlineStr">
        <is>
          <t>结算条款审批</t>
        </is>
      </c>
      <c r="E17" s="39" t="inlineStr">
        <is>
          <t>/</t>
        </is>
      </c>
      <c r="F17" s="39" t="inlineStr">
        <is>
          <t>第二批次</t>
        </is>
      </c>
      <c r="G17" s="39">
        <f>IF(OR(M17="挂起",M17="暂停",Q17="挂起",Q17="暂停",U17="挂起",U17="暂停",Y17="挂起",Y17="暂停"),"暂停","未开始")</f>
        <v/>
      </c>
      <c r="H17" s="39">
        <f>IF(L17&lt;&gt;"",L17,IF(P17&lt;&gt;"",P17,IF(T17&lt;&gt;"",T17,X17)))</f>
        <v/>
      </c>
      <c r="I17" s="105">
        <f>IF(COUNT(N17,R17,V17,Z17)=0,"",MIN(N17,R17,V17,Z17))</f>
        <v/>
      </c>
      <c r="J17" s="105">
        <f>IF(ISNUMBER(K17),K17,IF(COUNT(O17,S17,W17,AA17)=0,"",MAX(O17,S17,W17,AA17)))</f>
        <v/>
      </c>
      <c r="K17" s="105" t="n"/>
      <c r="L17" s="39" t="inlineStr">
        <is>
          <t>郑士旺</t>
        </is>
      </c>
      <c r="M17" s="39" t="inlineStr">
        <is>
          <t>未开始</t>
        </is>
      </c>
      <c r="N17" s="105" t="n">
        <v>46223</v>
      </c>
      <c r="O17" s="105" t="n">
        <v>46227</v>
      </c>
      <c r="P17" s="39" t="inlineStr">
        <is>
          <t>石军磊、刘凯</t>
        </is>
      </c>
      <c r="Q17" s="39" t="inlineStr">
        <is>
          <t>未开始</t>
        </is>
      </c>
      <c r="R17" s="105" t="n">
        <v>46272</v>
      </c>
      <c r="S17" s="105" t="n">
        <v>46304</v>
      </c>
      <c r="T17" s="39" t="inlineStr">
        <is>
          <t>贺航</t>
        </is>
      </c>
      <c r="U17" s="39" t="inlineStr">
        <is>
          <t>未开始</t>
        </is>
      </c>
      <c r="V17" s="105" t="n">
        <v>46272</v>
      </c>
      <c r="W17" s="105" t="n">
        <v>46304</v>
      </c>
      <c r="X17" s="39" t="inlineStr">
        <is>
          <t>袁丽荣</t>
        </is>
      </c>
      <c r="Y17" s="39" t="inlineStr">
        <is>
          <t>未开始</t>
        </is>
      </c>
      <c r="Z17" s="105" t="n">
        <v>46307</v>
      </c>
      <c r="AA17" s="105" t="n">
        <v>46318</v>
      </c>
      <c r="AB17" s="71">
        <f>(IF(M17="已完成",1,IF(M17="进行中",0.5,0))*15%+IF(Q17="已完成",1,IF(Q17="进行中",0.5,0))*35%+IF(U17="已完成",1,IF(U17="进行中",0.5,0))*30%+IF(Y17="已完成",1,IF(Y17="进行中",0.5,0))*20%)</f>
        <v/>
      </c>
      <c r="AC17" s="39">
        <f>IF(G17="已完成","正常",IF(OR(G17="暂停",G17="挂起"),"暂停",IF(J17="","日期缺失",IF(J17&lt;'项目驾驶舱'!$B$3,"已延期",IF(J17&lt;='项目驾驶舱'!$B$3+7,"临近到期","正常")))))</f>
        <v/>
      </c>
      <c r="AD17" s="39" t="inlineStr"/>
      <c r="AE17" s="40" t="inlineStr"/>
    </row>
    <row r="18" hidden="1" ht="17" customHeight="1" s="1">
      <c r="A18" s="37" t="inlineStr">
        <is>
          <t>T015</t>
        </is>
      </c>
      <c r="B18" s="39" t="inlineStr">
        <is>
          <t>网上营业厅</t>
        </is>
      </c>
      <c r="C18" s="39" t="inlineStr">
        <is>
          <t>结算条款管理</t>
        </is>
      </c>
      <c r="D18" s="39" t="inlineStr">
        <is>
          <t>修改结算条款</t>
        </is>
      </c>
      <c r="E18" s="39" t="inlineStr">
        <is>
          <t>/</t>
        </is>
      </c>
      <c r="F18" s="39" t="inlineStr">
        <is>
          <t>第二批次</t>
        </is>
      </c>
      <c r="G18" s="39">
        <f>IF(OR(M18="挂起",M18="暂停",Q18="挂起",Q18="暂停",U18="挂起",U18="暂停",Y18="挂起",Y18="暂停"),"暂停","未开始")</f>
        <v/>
      </c>
      <c r="H18" s="39">
        <f>IF(L18&lt;&gt;"",L18,IF(P18&lt;&gt;"",P18,IF(T18&lt;&gt;"",T18,X18)))</f>
        <v/>
      </c>
      <c r="I18" s="105">
        <f>IF(COUNT(N18,R18,V18,Z18)=0,"",MIN(N18,R18,V18,Z18))</f>
        <v/>
      </c>
      <c r="J18" s="105">
        <f>IF(ISNUMBER(K18),K18,IF(COUNT(O18,S18,W18,AA18)=0,"",MAX(O18,S18,W18,AA18)))</f>
        <v/>
      </c>
      <c r="K18" s="105" t="n"/>
      <c r="L18" s="39" t="inlineStr">
        <is>
          <t>郑士旺</t>
        </is>
      </c>
      <c r="M18" s="39" t="inlineStr">
        <is>
          <t>未开始</t>
        </is>
      </c>
      <c r="N18" s="105" t="n">
        <v>46223</v>
      </c>
      <c r="O18" s="105" t="n">
        <v>46227</v>
      </c>
      <c r="P18" s="39" t="inlineStr">
        <is>
          <t>石军磊、刘凯</t>
        </is>
      </c>
      <c r="Q18" s="39" t="inlineStr">
        <is>
          <t>未开始</t>
        </is>
      </c>
      <c r="R18" s="105" t="n">
        <v>46272</v>
      </c>
      <c r="S18" s="105" t="n">
        <v>46304</v>
      </c>
      <c r="T18" s="39" t="inlineStr">
        <is>
          <t>贺航</t>
        </is>
      </c>
      <c r="U18" s="39" t="inlineStr">
        <is>
          <t>未开始</t>
        </is>
      </c>
      <c r="V18" s="105" t="n">
        <v>46272</v>
      </c>
      <c r="W18" s="105" t="n">
        <v>46304</v>
      </c>
      <c r="X18" s="39" t="inlineStr">
        <is>
          <t>袁丽荣</t>
        </is>
      </c>
      <c r="Y18" s="39" t="inlineStr">
        <is>
          <t>未开始</t>
        </is>
      </c>
      <c r="Z18" s="105" t="n">
        <v>46307</v>
      </c>
      <c r="AA18" s="105" t="n">
        <v>46318</v>
      </c>
      <c r="AB18" s="71">
        <f>(IF(M18="已完成",1,IF(M18="进行中",0.5,0))*15%+IF(Q18="已完成",1,IF(Q18="进行中",0.5,0))*35%+IF(U18="已完成",1,IF(U18="进行中",0.5,0))*30%+IF(Y18="已完成",1,IF(Y18="进行中",0.5,0))*20%)</f>
        <v/>
      </c>
      <c r="AC18" s="39">
        <f>IF(G18="已完成","正常",IF(OR(G18="暂停",G18="挂起"),"暂停",IF(J18="","日期缺失",IF(J18&lt;'项目驾驶舱'!$B$3,"已延期",IF(J18&lt;='项目驾驶舱'!$B$3+7,"临近到期","正常")))))</f>
        <v/>
      </c>
      <c r="AD18" s="39" t="inlineStr"/>
      <c r="AE18" s="40" t="inlineStr"/>
    </row>
    <row r="19" hidden="1" ht="17" customHeight="1" s="1">
      <c r="A19" s="37" t="inlineStr">
        <is>
          <t>T016</t>
        </is>
      </c>
      <c r="B19" s="39" t="inlineStr">
        <is>
          <t>网上营业厅</t>
        </is>
      </c>
      <c r="C19" s="39" t="inlineStr">
        <is>
          <t>结算条款管理</t>
        </is>
      </c>
      <c r="D19" s="39" t="inlineStr">
        <is>
          <t>删除结算条款</t>
        </is>
      </c>
      <c r="E19" s="39" t="inlineStr">
        <is>
          <t>/</t>
        </is>
      </c>
      <c r="F19" s="39" t="inlineStr">
        <is>
          <t>第二批次</t>
        </is>
      </c>
      <c r="G19" s="39">
        <f>IF(OR(M19="挂起",M19="暂停",Q19="挂起",Q19="暂停",U19="挂起",U19="暂停",Y19="挂起",Y19="暂停"),"暂停","未开始")</f>
        <v/>
      </c>
      <c r="H19" s="39">
        <f>IF(L19&lt;&gt;"",L19,IF(P19&lt;&gt;"",P19,IF(T19&lt;&gt;"",T19,X19)))</f>
        <v/>
      </c>
      <c r="I19" s="105">
        <f>IF(COUNT(N19,R19,V19,Z19)=0,"",MIN(N19,R19,V19,Z19))</f>
        <v/>
      </c>
      <c r="J19" s="105">
        <f>IF(ISNUMBER(K19),K19,IF(COUNT(O19,S19,W19,AA19)=0,"",MAX(O19,S19,W19,AA19)))</f>
        <v/>
      </c>
      <c r="K19" s="105" t="n"/>
      <c r="L19" s="39" t="inlineStr">
        <is>
          <t>郑士旺</t>
        </is>
      </c>
      <c r="M19" s="39" t="inlineStr">
        <is>
          <t>未开始</t>
        </is>
      </c>
      <c r="N19" s="105" t="n">
        <v>46223</v>
      </c>
      <c r="O19" s="105" t="n">
        <v>46227</v>
      </c>
      <c r="P19" s="39" t="inlineStr">
        <is>
          <t>石军磊、刘凯</t>
        </is>
      </c>
      <c r="Q19" s="39" t="inlineStr">
        <is>
          <t>未开始</t>
        </is>
      </c>
      <c r="R19" s="105" t="n">
        <v>46272</v>
      </c>
      <c r="S19" s="105" t="n">
        <v>46304</v>
      </c>
      <c r="T19" s="39" t="inlineStr">
        <is>
          <t>贺航</t>
        </is>
      </c>
      <c r="U19" s="39" t="inlineStr">
        <is>
          <t>未开始</t>
        </is>
      </c>
      <c r="V19" s="105" t="n">
        <v>46272</v>
      </c>
      <c r="W19" s="105" t="n">
        <v>46304</v>
      </c>
      <c r="X19" s="39" t="inlineStr">
        <is>
          <t>袁丽荣</t>
        </is>
      </c>
      <c r="Y19" s="39" t="inlineStr">
        <is>
          <t>未开始</t>
        </is>
      </c>
      <c r="Z19" s="105" t="n">
        <v>46307</v>
      </c>
      <c r="AA19" s="105" t="n">
        <v>46318</v>
      </c>
      <c r="AB19" s="71">
        <f>(IF(M19="已完成",1,IF(M19="进行中",0.5,0))*15%+IF(Q19="已完成",1,IF(Q19="进行中",0.5,0))*35%+IF(U19="已完成",1,IF(U19="进行中",0.5,0))*30%+IF(Y19="已完成",1,IF(Y19="进行中",0.5,0))*20%)</f>
        <v/>
      </c>
      <c r="AC19" s="39">
        <f>IF(G19="已完成","正常",IF(OR(G19="暂停",G19="挂起"),"暂停",IF(J19="","日期缺失",IF(J19&lt;'项目驾驶舱'!$B$3,"已延期",IF(J19&lt;='项目驾驶舱'!$B$3+7,"临近到期","正常")))))</f>
        <v/>
      </c>
      <c r="AD19" s="39" t="inlineStr"/>
      <c r="AE19" s="40" t="inlineStr"/>
    </row>
    <row r="20" hidden="1" ht="17" customHeight="1" s="1">
      <c r="A20" s="37" t="inlineStr">
        <is>
          <t>T017</t>
        </is>
      </c>
      <c r="B20" s="39" t="inlineStr">
        <is>
          <t>网上营业厅</t>
        </is>
      </c>
      <c r="C20" s="39" t="inlineStr">
        <is>
          <t>结算条款管理</t>
        </is>
      </c>
      <c r="D20" s="39" t="inlineStr">
        <is>
          <t>查询展示结算条款</t>
        </is>
      </c>
      <c r="E20" s="39" t="inlineStr">
        <is>
          <t>/</t>
        </is>
      </c>
      <c r="F20" s="39" t="inlineStr">
        <is>
          <t>第二批次</t>
        </is>
      </c>
      <c r="G20" s="39">
        <f>IF(OR(M20="挂起",M20="暂停",Q20="挂起",Q20="暂停",U20="挂起",U20="暂停",Y20="挂起",Y20="暂停"),"暂停","未开始")</f>
        <v/>
      </c>
      <c r="H20" s="39">
        <f>IF(L20&lt;&gt;"",L20,IF(P20&lt;&gt;"",P20,IF(T20&lt;&gt;"",T20,X20)))</f>
        <v/>
      </c>
      <c r="I20" s="105">
        <f>IF(COUNT(N20,R20,V20,Z20)=0,"",MIN(N20,R20,V20,Z20))</f>
        <v/>
      </c>
      <c r="J20" s="105">
        <f>IF(ISNUMBER(K20),K20,IF(COUNT(O20,S20,W20,AA20)=0,"",MAX(O20,S20,W20,AA20)))</f>
        <v/>
      </c>
      <c r="K20" s="105" t="n"/>
      <c r="L20" s="39" t="inlineStr">
        <is>
          <t>郑士旺</t>
        </is>
      </c>
      <c r="M20" s="39" t="inlineStr">
        <is>
          <t>未开始</t>
        </is>
      </c>
      <c r="N20" s="105" t="n">
        <v>46223</v>
      </c>
      <c r="O20" s="105" t="n">
        <v>46227</v>
      </c>
      <c r="P20" s="39" t="inlineStr">
        <is>
          <t>石军磊、刘凯</t>
        </is>
      </c>
      <c r="Q20" s="39" t="inlineStr">
        <is>
          <t>未开始</t>
        </is>
      </c>
      <c r="R20" s="105" t="n">
        <v>46272</v>
      </c>
      <c r="S20" s="105" t="n">
        <v>46304</v>
      </c>
      <c r="T20" s="39" t="inlineStr">
        <is>
          <t>贺航</t>
        </is>
      </c>
      <c r="U20" s="39" t="inlineStr">
        <is>
          <t>未开始</t>
        </is>
      </c>
      <c r="V20" s="105" t="n">
        <v>46272</v>
      </c>
      <c r="W20" s="105" t="n">
        <v>46304</v>
      </c>
      <c r="X20" s="39" t="inlineStr">
        <is>
          <t>袁丽荣</t>
        </is>
      </c>
      <c r="Y20" s="39" t="inlineStr">
        <is>
          <t>未开始</t>
        </is>
      </c>
      <c r="Z20" s="105" t="n">
        <v>46307</v>
      </c>
      <c r="AA20" s="105" t="n">
        <v>46318</v>
      </c>
      <c r="AB20" s="71">
        <f>(IF(M20="已完成",1,IF(M20="进行中",0.5,0))*15%+IF(Q20="已完成",1,IF(Q20="进行中",0.5,0))*35%+IF(U20="已完成",1,IF(U20="进行中",0.5,0))*30%+IF(Y20="已完成",1,IF(Y20="进行中",0.5,0))*20%)</f>
        <v/>
      </c>
      <c r="AC20" s="39">
        <f>IF(G20="已完成","正常",IF(OR(G20="暂停",G20="挂起"),"暂停",IF(J20="","日期缺失",IF(J20&lt;'项目驾驶舱'!$B$3,"已延期",IF(J20&lt;='项目驾驶舱'!$B$3+7,"临近到期","正常")))))</f>
        <v/>
      </c>
      <c r="AD20" s="39" t="inlineStr"/>
      <c r="AE20" s="40" t="inlineStr"/>
    </row>
    <row r="21" hidden="1" ht="17" customHeight="1" s="1">
      <c r="A21" s="37" t="inlineStr">
        <is>
          <t>T018</t>
        </is>
      </c>
      <c r="B21" s="39" t="inlineStr">
        <is>
          <t>网上营业厅</t>
        </is>
      </c>
      <c r="C21" s="39" t="inlineStr">
        <is>
          <t>结算条款管理</t>
        </is>
      </c>
      <c r="D21" s="39" t="inlineStr">
        <is>
          <t>结算条款推送法务系统</t>
        </is>
      </c>
      <c r="E21" s="39" t="inlineStr">
        <is>
          <t>/</t>
        </is>
      </c>
      <c r="F21" s="39" t="inlineStr">
        <is>
          <t>第二批次</t>
        </is>
      </c>
      <c r="G21" s="39">
        <f>IF(OR(M21="挂起",M21="暂停",Q21="挂起",Q21="暂停",U21="挂起",U21="暂停",Y21="挂起",Y21="暂停"),"暂停","未开始")</f>
        <v/>
      </c>
      <c r="H21" s="39">
        <f>IF(L21&lt;&gt;"",L21,IF(P21&lt;&gt;"",P21,IF(T21&lt;&gt;"",T21,X21)))</f>
        <v/>
      </c>
      <c r="I21" s="105">
        <f>IF(COUNT(N21,R21,V21,Z21)=0,"",MIN(N21,R21,V21,Z21))</f>
        <v/>
      </c>
      <c r="J21" s="105">
        <f>IF(ISNUMBER(K21),K21,IF(COUNT(O21,S21,W21,AA21)=0,"",MAX(O21,S21,W21,AA21)))</f>
        <v/>
      </c>
      <c r="K21" s="105" t="n"/>
      <c r="L21" s="39" t="inlineStr">
        <is>
          <t>郑士旺</t>
        </is>
      </c>
      <c r="M21" s="39" t="inlineStr">
        <is>
          <t>未开始</t>
        </is>
      </c>
      <c r="N21" s="105" t="n">
        <v>46223</v>
      </c>
      <c r="O21" s="105" t="n">
        <v>46227</v>
      </c>
      <c r="P21" s="39" t="inlineStr">
        <is>
          <t>石军磊、刘凯</t>
        </is>
      </c>
      <c r="Q21" s="39" t="inlineStr">
        <is>
          <t>未开始</t>
        </is>
      </c>
      <c r="R21" s="105" t="n">
        <v>46272</v>
      </c>
      <c r="S21" s="105" t="n">
        <v>46304</v>
      </c>
      <c r="T21" s="39" t="inlineStr">
        <is>
          <t>贺航</t>
        </is>
      </c>
      <c r="U21" s="39" t="inlineStr">
        <is>
          <t>未开始</t>
        </is>
      </c>
      <c r="V21" s="105" t="n">
        <v>46272</v>
      </c>
      <c r="W21" s="105" t="n">
        <v>46304</v>
      </c>
      <c r="X21" s="39" t="inlineStr">
        <is>
          <t>袁丽荣</t>
        </is>
      </c>
      <c r="Y21" s="39" t="inlineStr">
        <is>
          <t>未开始</t>
        </is>
      </c>
      <c r="Z21" s="105" t="n">
        <v>46307</v>
      </c>
      <c r="AA21" s="105" t="n">
        <v>46318</v>
      </c>
      <c r="AB21" s="71">
        <f>(IF(M21="已完成",1,IF(M21="进行中",0.5,0))*15%+IF(Q21="已完成",1,IF(Q21="进行中",0.5,0))*35%+IF(U21="已完成",1,IF(U21="进行中",0.5,0))*30%+IF(Y21="已完成",1,IF(Y21="进行中",0.5,0))*20%)</f>
        <v/>
      </c>
      <c r="AC21" s="39">
        <f>IF(G21="已完成","正常",IF(OR(G21="暂停",G21="挂起"),"暂停",IF(J21="","日期缺失",IF(J21&lt;'项目驾驶舱'!$B$3,"已延期",IF(J21&lt;='项目驾驶舱'!$B$3+7,"临近到期","正常")))))</f>
        <v/>
      </c>
      <c r="AD21" s="39" t="inlineStr"/>
      <c r="AE21" s="40" t="inlineStr"/>
    </row>
    <row r="22" ht="17" customHeight="1" s="1">
      <c r="A22" s="37" t="inlineStr">
        <is>
          <t>T019</t>
        </is>
      </c>
      <c r="B22" s="39" t="inlineStr">
        <is>
          <t>网上营业厅</t>
        </is>
      </c>
      <c r="C22" s="39" t="inlineStr">
        <is>
          <t>卸船作业</t>
        </is>
      </c>
      <c r="D22" s="39" t="inlineStr">
        <is>
          <t>卸船计划</t>
        </is>
      </c>
      <c r="E22" s="39" t="inlineStr">
        <is>
          <t>对接卸船计划</t>
        </is>
      </c>
      <c r="F22" s="39" t="inlineStr">
        <is>
          <t>第二批次</t>
        </is>
      </c>
      <c r="G22" s="39">
        <f>IF(OR(M22="挂起",M22="暂停",Q22="挂起",Q22="暂停",U22="挂起",U22="暂停",Y22="挂起",Y22="暂停"),"暂停","进行中")</f>
        <v/>
      </c>
      <c r="H22" s="39">
        <f>IF(L22&lt;&gt;"",L22,IF(P22&lt;&gt;"",P22,IF(T22&lt;&gt;"",T22,X22)))</f>
        <v/>
      </c>
      <c r="I22" s="105">
        <f>IF(COUNT(N22,R22,V22,Z22)=0,"",MIN(N22,R22,V22,Z22))</f>
        <v/>
      </c>
      <c r="J22" s="105">
        <f>IF(ISNUMBER(K22),K22,IF(COUNT(O22,S22,W22,AA22)=0,"",MAX(O22,S22,W22,AA22)))</f>
        <v/>
      </c>
      <c r="K22" s="105" t="n"/>
      <c r="L22" s="39" t="inlineStr">
        <is>
          <t>郑士旺</t>
        </is>
      </c>
      <c r="M22" s="39" t="inlineStr">
        <is>
          <t>已完成</t>
        </is>
      </c>
      <c r="N22" s="105" t="n">
        <v>46230</v>
      </c>
      <c r="O22" s="105" t="n">
        <v>46241</v>
      </c>
      <c r="P22" s="39" t="inlineStr">
        <is>
          <t>石军磊、刘凯</t>
        </is>
      </c>
      <c r="Q22" s="39" t="inlineStr">
        <is>
          <t>未开始</t>
        </is>
      </c>
      <c r="R22" s="105" t="n">
        <v>46307</v>
      </c>
      <c r="S22" s="105" t="n">
        <v>46339</v>
      </c>
      <c r="T22" s="39" t="inlineStr">
        <is>
          <t>贺航</t>
        </is>
      </c>
      <c r="U22" s="39" t="inlineStr">
        <is>
          <t>未开始</t>
        </is>
      </c>
      <c r="V22" s="105" t="n">
        <v>46307</v>
      </c>
      <c r="W22" s="105" t="n">
        <v>46339</v>
      </c>
      <c r="X22" s="39" t="inlineStr">
        <is>
          <t>袁丽荣</t>
        </is>
      </c>
      <c r="Y22" s="39" t="inlineStr">
        <is>
          <t>未开始</t>
        </is>
      </c>
      <c r="Z22" s="105" t="n">
        <v>46342</v>
      </c>
      <c r="AA22" s="105" t="n">
        <v>46353</v>
      </c>
      <c r="AB22" s="71">
        <f>(IF(M22="已完成",1,IF(M22="进行中",0.5,0))*15%+IF(Q22="已完成",1,IF(Q22="进行中",0.5,0))*35%+IF(U22="已完成",1,IF(U22="进行中",0.5,0))*30%+IF(Y22="已完成",1,IF(Y22="进行中",0.5,0))*20%)</f>
        <v/>
      </c>
      <c r="AC22" s="39">
        <f>IF(G22="已完成","正常",IF(OR(G22="暂停",G22="挂起"),"暂停",IF(J22="","日期缺失",IF(J22&lt;'项目驾驶舱'!$B$3,"已延期",IF(J22&lt;='项目驾驶舱'!$B$3+7,"临近到期","正常")))))</f>
        <v/>
      </c>
      <c r="AD22" s="39" t="inlineStr"/>
      <c r="AE22" s="40" t="inlineStr"/>
    </row>
    <row r="23" ht="17" customHeight="1" s="1">
      <c r="A23" s="37" t="inlineStr">
        <is>
          <t>T020</t>
        </is>
      </c>
      <c r="B23" s="39" t="inlineStr">
        <is>
          <t>网上营业厅</t>
        </is>
      </c>
      <c r="C23" s="39" t="inlineStr">
        <is>
          <t>卸船作业</t>
        </is>
      </c>
      <c r="D23" s="39" t="inlineStr">
        <is>
          <t>卸船计划</t>
        </is>
      </c>
      <c r="E23" s="39" t="inlineStr">
        <is>
          <t>查询卸车计划</t>
        </is>
      </c>
      <c r="F23" s="39" t="inlineStr">
        <is>
          <t>第二批次</t>
        </is>
      </c>
      <c r="G23" s="39">
        <f>IF(OR(M23="挂起",M23="暂停",Q23="挂起",Q23="暂停",U23="挂起",U23="暂停",Y23="挂起",Y23="暂停"),"暂停","进行中")</f>
        <v/>
      </c>
      <c r="H23" s="39">
        <f>IF(L23&lt;&gt;"",L23,IF(P23&lt;&gt;"",P23,IF(T23&lt;&gt;"",T23,X23)))</f>
        <v/>
      </c>
      <c r="I23" s="105">
        <f>IF(COUNT(N23,R23,V23,Z23)=0,"",MIN(N23,R23,V23,Z23))</f>
        <v/>
      </c>
      <c r="J23" s="105">
        <f>IF(ISNUMBER(K23),K23,IF(COUNT(O23,S23,W23,AA23)=0,"",MAX(O23,S23,W23,AA23)))</f>
        <v/>
      </c>
      <c r="K23" s="105" t="n"/>
      <c r="L23" s="39" t="inlineStr">
        <is>
          <t>郑士旺</t>
        </is>
      </c>
      <c r="M23" s="39" t="inlineStr">
        <is>
          <t>已完成</t>
        </is>
      </c>
      <c r="N23" s="105" t="n">
        <v>46230</v>
      </c>
      <c r="O23" s="105" t="n">
        <v>46241</v>
      </c>
      <c r="P23" s="39" t="inlineStr">
        <is>
          <t>石军磊、刘凯</t>
        </is>
      </c>
      <c r="Q23" s="39" t="inlineStr">
        <is>
          <t>进行中</t>
        </is>
      </c>
      <c r="R23" s="105" t="n">
        <v>46307</v>
      </c>
      <c r="S23" s="105" t="n">
        <v>46339</v>
      </c>
      <c r="T23" s="39" t="inlineStr">
        <is>
          <t>贺航</t>
        </is>
      </c>
      <c r="U23" s="39" t="inlineStr">
        <is>
          <t>进行中</t>
        </is>
      </c>
      <c r="V23" s="105" t="n">
        <v>46307</v>
      </c>
      <c r="W23" s="105" t="n">
        <v>46339</v>
      </c>
      <c r="X23" s="39" t="inlineStr">
        <is>
          <t>袁丽荣</t>
        </is>
      </c>
      <c r="Y23" s="39" t="inlineStr">
        <is>
          <t>未开始</t>
        </is>
      </c>
      <c r="Z23" s="105" t="n">
        <v>46342</v>
      </c>
      <c r="AA23" s="105" t="n">
        <v>46353</v>
      </c>
      <c r="AB23" s="71">
        <f>(IF(M23="已完成",1,IF(M23="进行中",0.5,0))*15%+IF(Q23="已完成",1,IF(Q23="进行中",0.5,0))*35%+IF(U23="已完成",1,IF(U23="进行中",0.5,0))*30%+IF(Y23="已完成",1,IF(Y23="进行中",0.5,0))*20%)</f>
        <v/>
      </c>
      <c r="AC23" s="39">
        <f>IF(G23="已完成","正常",IF(OR(G23="暂停",G23="挂起"),"暂停",IF(J23="","日期缺失",IF(J23&lt;'项目驾驶舱'!$B$3,"已延期",IF(J23&lt;='项目驾驶舱'!$B$3+7,"临近到期","正常")))))</f>
        <v/>
      </c>
      <c r="AD23" s="39" t="inlineStr"/>
      <c r="AE23" s="40" t="inlineStr"/>
    </row>
    <row r="24" ht="17" customHeight="1" s="1">
      <c r="A24" s="37" t="inlineStr">
        <is>
          <t>T021</t>
        </is>
      </c>
      <c r="B24" s="39" t="inlineStr">
        <is>
          <t>网上营业厅</t>
        </is>
      </c>
      <c r="C24" s="39" t="inlineStr">
        <is>
          <t>卸船作业</t>
        </is>
      </c>
      <c r="D24" s="39" t="inlineStr">
        <is>
          <t>卸船计划</t>
        </is>
      </c>
      <c r="E24" s="39" t="inlineStr">
        <is>
          <t>外部客户确认</t>
        </is>
      </c>
      <c r="F24" s="39" t="inlineStr">
        <is>
          <t>第二批次</t>
        </is>
      </c>
      <c r="G24" s="39">
        <f>IF(OR(M24="挂起",M24="暂停",Q24="挂起",Q24="暂停",U24="挂起",U24="暂停",Y24="挂起",Y24="暂停"),"暂停","进行中")</f>
        <v/>
      </c>
      <c r="H24" s="39">
        <f>IF(L24&lt;&gt;"",L24,IF(P24&lt;&gt;"",P24,IF(T24&lt;&gt;"",T24,X24)))</f>
        <v/>
      </c>
      <c r="I24" s="105">
        <f>IF(COUNT(N24,R24,V24,Z24)=0,"",MIN(N24,R24,V24,Z24))</f>
        <v/>
      </c>
      <c r="J24" s="105">
        <f>IF(ISNUMBER(K24),K24,IF(COUNT(O24,S24,W24,AA24)=0,"",MAX(O24,S24,W24,AA24)))</f>
        <v/>
      </c>
      <c r="K24" s="105" t="n"/>
      <c r="L24" s="39" t="inlineStr">
        <is>
          <t>郑士旺</t>
        </is>
      </c>
      <c r="M24" s="39" t="inlineStr">
        <is>
          <t>已完成</t>
        </is>
      </c>
      <c r="N24" s="105" t="n">
        <v>46230</v>
      </c>
      <c r="O24" s="105" t="n">
        <v>46241</v>
      </c>
      <c r="P24" s="39" t="inlineStr">
        <is>
          <t>石军磊、刘凯</t>
        </is>
      </c>
      <c r="Q24" s="39" t="inlineStr">
        <is>
          <t>进行中</t>
        </is>
      </c>
      <c r="R24" s="105" t="n">
        <v>46307</v>
      </c>
      <c r="S24" s="105" t="n">
        <v>46339</v>
      </c>
      <c r="T24" s="39" t="inlineStr">
        <is>
          <t>贺航</t>
        </is>
      </c>
      <c r="U24" s="39" t="inlineStr">
        <is>
          <t>进行中</t>
        </is>
      </c>
      <c r="V24" s="105" t="n">
        <v>46307</v>
      </c>
      <c r="W24" s="105" t="n">
        <v>46339</v>
      </c>
      <c r="X24" s="39" t="inlineStr">
        <is>
          <t>袁丽荣</t>
        </is>
      </c>
      <c r="Y24" s="39" t="inlineStr">
        <is>
          <t>未开始</t>
        </is>
      </c>
      <c r="Z24" s="105" t="n">
        <v>46342</v>
      </c>
      <c r="AA24" s="105" t="n">
        <v>46353</v>
      </c>
      <c r="AB24" s="71">
        <f>(IF(M24="已完成",1,IF(M24="进行中",0.5,0))*15%+IF(Q24="已完成",1,IF(Q24="进行中",0.5,0))*35%+IF(U24="已完成",1,IF(U24="进行中",0.5,0))*30%+IF(Y24="已完成",1,IF(Y24="进行中",0.5,0))*20%)</f>
        <v/>
      </c>
      <c r="AC24" s="39">
        <f>IF(G24="已完成","正常",IF(OR(G24="暂停",G24="挂起"),"暂停",IF(J24="","日期缺失",IF(J24&lt;'项目驾驶舱'!$B$3,"已延期",IF(J24&lt;='项目驾驶舱'!$B$3+7,"临近到期","正常")))))</f>
        <v/>
      </c>
      <c r="AD24" s="39" t="inlineStr"/>
      <c r="AE24" s="40" t="inlineStr"/>
    </row>
    <row r="25" hidden="1" ht="34" customHeight="1" s="1">
      <c r="A25" s="37" t="inlineStr">
        <is>
          <t>T022</t>
        </is>
      </c>
      <c r="B25" s="39" t="inlineStr">
        <is>
          <t>网上营业厅</t>
        </is>
      </c>
      <c r="C25" s="39" t="inlineStr">
        <is>
          <t>卸船作业</t>
        </is>
      </c>
      <c r="D25" s="39" t="inlineStr">
        <is>
          <t>卸船作业信息管理</t>
        </is>
      </c>
      <c r="E25" s="39" t="inlineStr">
        <is>
          <t>对接卸船作业信息</t>
        </is>
      </c>
      <c r="F25" s="39" t="inlineStr">
        <is>
          <t>第二批次</t>
        </is>
      </c>
      <c r="G25" s="39">
        <f>IF(OR(M25="挂起",M25="暂停",Q25="挂起",Q25="暂停",U25="挂起",U25="暂停",Y25="挂起",Y25="暂停"),"暂停","未开始")</f>
        <v/>
      </c>
      <c r="H25" s="39">
        <f>IF(L25&lt;&gt;"",L25,IF(P25&lt;&gt;"",P25,IF(T25&lt;&gt;"",T25,X25)))</f>
        <v/>
      </c>
      <c r="I25" s="105">
        <f>IF(COUNT(N25,R25,V25,Z25)=0,"",MIN(N25,R25,V25,Z25))</f>
        <v/>
      </c>
      <c r="J25" s="105">
        <f>IF(ISNUMBER(K25),K25,IF(COUNT(O25,S25,W25,AA25)=0,"",MAX(O25,S25,W25,AA25)))</f>
        <v/>
      </c>
      <c r="K25" s="105" t="n"/>
      <c r="L25" s="39" t="inlineStr">
        <is>
          <t>郑士旺</t>
        </is>
      </c>
      <c r="M25" s="39" t="inlineStr">
        <is>
          <t>未开始</t>
        </is>
      </c>
      <c r="N25" s="105" t="n">
        <v>46230</v>
      </c>
      <c r="O25" s="105" t="n">
        <v>46241</v>
      </c>
      <c r="P25" s="39" t="inlineStr">
        <is>
          <t>石军磊、刘凯</t>
        </is>
      </c>
      <c r="Q25" s="39" t="inlineStr">
        <is>
          <t>未开始</t>
        </is>
      </c>
      <c r="R25" s="105" t="n">
        <v>46307</v>
      </c>
      <c r="S25" s="105" t="n">
        <v>46339</v>
      </c>
      <c r="T25" s="39" t="inlineStr">
        <is>
          <t>贺航</t>
        </is>
      </c>
      <c r="U25" s="39" t="inlineStr">
        <is>
          <t>未开始</t>
        </is>
      </c>
      <c r="V25" s="105" t="n">
        <v>46307</v>
      </c>
      <c r="W25" s="105" t="n">
        <v>46339</v>
      </c>
      <c r="X25" s="39" t="inlineStr">
        <is>
          <t>袁丽荣</t>
        </is>
      </c>
      <c r="Y25" s="39" t="inlineStr">
        <is>
          <t>未开始</t>
        </is>
      </c>
      <c r="Z25" s="105" t="n">
        <v>46342</v>
      </c>
      <c r="AA25" s="105" t="n">
        <v>46353</v>
      </c>
      <c r="AB25" s="71">
        <f>(IF(M25="已完成",1,IF(M25="进行中",0.5,0))*15%+IF(Q25="已完成",1,IF(Q25="进行中",0.5,0))*35%+IF(U25="已完成",1,IF(U25="进行中",0.5,0))*30%+IF(Y25="已完成",1,IF(Y25="进行中",0.5,0))*20%)</f>
        <v/>
      </c>
      <c r="AC25" s="39">
        <f>IF(G25="已完成","正常",IF(OR(G25="暂停",G25="挂起"),"暂停",IF(J25="","日期缺失",IF(J25&lt;'项目驾驶舱'!$B$3,"已延期",IF(J25&lt;='项目驾驶舱'!$B$3+7,"临近到期","正常")))))</f>
        <v/>
      </c>
      <c r="AD25" s="39" t="inlineStr"/>
      <c r="AE25" s="40" t="inlineStr"/>
    </row>
    <row r="26" hidden="1" ht="34" customHeight="1" s="1">
      <c r="A26" s="37" t="inlineStr">
        <is>
          <t>T023</t>
        </is>
      </c>
      <c r="B26" s="39" t="inlineStr">
        <is>
          <t>网上营业厅</t>
        </is>
      </c>
      <c r="C26" s="39" t="inlineStr">
        <is>
          <t>卸船作业</t>
        </is>
      </c>
      <c r="D26" s="39" t="inlineStr">
        <is>
          <t>卸船作业信息管理</t>
        </is>
      </c>
      <c r="E26" s="39" t="inlineStr">
        <is>
          <t>查询卸船作业信息</t>
        </is>
      </c>
      <c r="F26" s="39" t="inlineStr">
        <is>
          <t>第二批次</t>
        </is>
      </c>
      <c r="G26" s="39">
        <f>IF(OR(M26="挂起",M26="暂停",Q26="挂起",Q26="暂停",U26="挂起",U26="暂停",Y26="挂起",Y26="暂停"),"暂停","未开始")</f>
        <v/>
      </c>
      <c r="H26" s="39">
        <f>IF(L26&lt;&gt;"",L26,IF(P26&lt;&gt;"",P26,IF(T26&lt;&gt;"",T26,X26)))</f>
        <v/>
      </c>
      <c r="I26" s="105">
        <f>IF(COUNT(N26,R26,V26,Z26)=0,"",MIN(N26,R26,V26,Z26))</f>
        <v/>
      </c>
      <c r="J26" s="105">
        <f>IF(ISNUMBER(K26),K26,IF(COUNT(O26,S26,W26,AA26)=0,"",MAX(O26,S26,W26,AA26)))</f>
        <v/>
      </c>
      <c r="K26" s="105" t="n"/>
      <c r="L26" s="39" t="inlineStr">
        <is>
          <t>郑士旺</t>
        </is>
      </c>
      <c r="M26" s="39" t="inlineStr">
        <is>
          <t>未开始</t>
        </is>
      </c>
      <c r="N26" s="105" t="n">
        <v>46230</v>
      </c>
      <c r="O26" s="105" t="n">
        <v>46241</v>
      </c>
      <c r="P26" s="39" t="inlineStr">
        <is>
          <t>石军磊、刘凯</t>
        </is>
      </c>
      <c r="Q26" s="39" t="inlineStr">
        <is>
          <t>未开始</t>
        </is>
      </c>
      <c r="R26" s="105" t="n">
        <v>46307</v>
      </c>
      <c r="S26" s="105" t="n">
        <v>46339</v>
      </c>
      <c r="T26" s="39" t="inlineStr">
        <is>
          <t>贺航</t>
        </is>
      </c>
      <c r="U26" s="39" t="inlineStr">
        <is>
          <t>未开始</t>
        </is>
      </c>
      <c r="V26" s="105" t="n">
        <v>46307</v>
      </c>
      <c r="W26" s="105" t="n">
        <v>46339</v>
      </c>
      <c r="X26" s="39" t="inlineStr">
        <is>
          <t>袁丽荣</t>
        </is>
      </c>
      <c r="Y26" s="39" t="inlineStr">
        <is>
          <t>未开始</t>
        </is>
      </c>
      <c r="Z26" s="105" t="n">
        <v>46342</v>
      </c>
      <c r="AA26" s="105" t="n">
        <v>46353</v>
      </c>
      <c r="AB26" s="71">
        <f>(IF(M26="已完成",1,IF(M26="进行中",0.5,0))*15%+IF(Q26="已完成",1,IF(Q26="进行中",0.5,0))*35%+IF(U26="已完成",1,IF(U26="进行中",0.5,0))*30%+IF(Y26="已完成",1,IF(Y26="进行中",0.5,0))*20%)</f>
        <v/>
      </c>
      <c r="AC26" s="39">
        <f>IF(G26="已完成","正常",IF(OR(G26="暂停",G26="挂起"),"暂停",IF(J26="","日期缺失",IF(J26&lt;'项目驾驶舱'!$B$3,"已延期",IF(J26&lt;='项目驾驶舱'!$B$3+7,"临近到期","正常")))))</f>
        <v/>
      </c>
      <c r="AD26" s="39" t="inlineStr"/>
      <c r="AE26" s="40" t="inlineStr"/>
    </row>
    <row r="27" hidden="1" ht="17" customHeight="1" s="1">
      <c r="A27" s="37" t="inlineStr">
        <is>
          <t>T024</t>
        </is>
      </c>
      <c r="B27" s="39" t="inlineStr">
        <is>
          <t>网上营业厅</t>
        </is>
      </c>
      <c r="C27" s="39" t="inlineStr">
        <is>
          <t>卸船作业</t>
        </is>
      </c>
      <c r="D27" s="39" t="inlineStr">
        <is>
          <t>卸船查询</t>
        </is>
      </c>
      <c r="E27" s="39" t="inlineStr">
        <is>
          <t>卸船查询列表</t>
        </is>
      </c>
      <c r="F27" s="39" t="inlineStr">
        <is>
          <t>第二批次</t>
        </is>
      </c>
      <c r="G27" s="39">
        <f>IF(OR(M27="挂起",M27="暂停",Q27="挂起",Q27="暂停",U27="挂起",U27="暂停",Y27="挂起",Y27="暂停"),"暂停","未开始")</f>
        <v/>
      </c>
      <c r="H27" s="39">
        <f>IF(L27&lt;&gt;"",L27,IF(P27&lt;&gt;"",P27,IF(T27&lt;&gt;"",T27,X27)))</f>
        <v/>
      </c>
      <c r="I27" s="105">
        <f>IF(COUNT(N27,R27,V27,Z27)=0,"",MIN(N27,R27,V27,Z27))</f>
        <v/>
      </c>
      <c r="J27" s="105">
        <f>IF(ISNUMBER(K27),K27,IF(COUNT(O27,S27,W27,AA27)=0,"",MAX(O27,S27,W27,AA27)))</f>
        <v/>
      </c>
      <c r="K27" s="105" t="n"/>
      <c r="L27" s="39" t="inlineStr">
        <is>
          <t>郑士旺</t>
        </is>
      </c>
      <c r="M27" s="39" t="inlineStr">
        <is>
          <t>未开始</t>
        </is>
      </c>
      <c r="N27" s="105" t="n">
        <v>46230</v>
      </c>
      <c r="O27" s="105" t="n">
        <v>46241</v>
      </c>
      <c r="P27" s="39" t="inlineStr">
        <is>
          <t>石军磊、刘凯</t>
        </is>
      </c>
      <c r="Q27" s="39" t="inlineStr">
        <is>
          <t>未开始</t>
        </is>
      </c>
      <c r="R27" s="105" t="n">
        <v>46307</v>
      </c>
      <c r="S27" s="105" t="n">
        <v>46339</v>
      </c>
      <c r="T27" s="39" t="inlineStr">
        <is>
          <t>贺航</t>
        </is>
      </c>
      <c r="U27" s="39" t="inlineStr">
        <is>
          <t>未开始</t>
        </is>
      </c>
      <c r="V27" s="105" t="n">
        <v>46307</v>
      </c>
      <c r="W27" s="105" t="n">
        <v>46339</v>
      </c>
      <c r="X27" s="39" t="inlineStr">
        <is>
          <t>袁丽荣</t>
        </is>
      </c>
      <c r="Y27" s="39" t="inlineStr">
        <is>
          <t>未开始</t>
        </is>
      </c>
      <c r="Z27" s="105" t="n">
        <v>46342</v>
      </c>
      <c r="AA27" s="105" t="n">
        <v>46353</v>
      </c>
      <c r="AB27" s="71">
        <f>(IF(M27="已完成",1,IF(M27="进行中",0.5,0))*15%+IF(Q27="已完成",1,IF(Q27="进行中",0.5,0))*35%+IF(U27="已完成",1,IF(U27="进行中",0.5,0))*30%+IF(Y27="已完成",1,IF(Y27="进行中",0.5,0))*20%)</f>
        <v/>
      </c>
      <c r="AC27" s="39">
        <f>IF(G27="已完成","正常",IF(OR(G27="暂停",G27="挂起"),"暂停",IF(J27="","日期缺失",IF(J27&lt;'项目驾驶舱'!$B$3,"已延期",IF(J27&lt;='项目驾驶舱'!$B$3+7,"临近到期","正常")))))</f>
        <v/>
      </c>
      <c r="AD27" s="39" t="inlineStr"/>
      <c r="AE27" s="40" t="inlineStr"/>
    </row>
    <row r="28" hidden="1" ht="17" customHeight="1" s="1">
      <c r="A28" s="37" t="inlineStr">
        <is>
          <t>T025</t>
        </is>
      </c>
      <c r="B28" s="39" t="inlineStr">
        <is>
          <t>网上营业厅</t>
        </is>
      </c>
      <c r="C28" s="39" t="inlineStr">
        <is>
          <t>卸船作业</t>
        </is>
      </c>
      <c r="D28" s="39" t="inlineStr">
        <is>
          <t>卸船查询</t>
        </is>
      </c>
      <c r="E28" s="39" t="inlineStr">
        <is>
          <t>卸船查询详情</t>
        </is>
      </c>
      <c r="F28" s="39" t="inlineStr">
        <is>
          <t>第二批次</t>
        </is>
      </c>
      <c r="G28" s="39">
        <f>IF(OR(M28="挂起",M28="暂停",Q28="挂起",Q28="暂停",U28="挂起",U28="暂停",Y28="挂起",Y28="暂停"),"暂停","未开始")</f>
        <v/>
      </c>
      <c r="H28" s="39">
        <f>IF(L28&lt;&gt;"",L28,IF(P28&lt;&gt;"",P28,IF(T28&lt;&gt;"",T28,X28)))</f>
        <v/>
      </c>
      <c r="I28" s="105">
        <f>IF(COUNT(N28,R28,V28,Z28)=0,"",MIN(N28,R28,V28,Z28))</f>
        <v/>
      </c>
      <c r="J28" s="105">
        <f>IF(ISNUMBER(K28),K28,IF(COUNT(O28,S28,W28,AA28)=0,"",MAX(O28,S28,W28,AA28)))</f>
        <v/>
      </c>
      <c r="K28" s="105" t="n">
        <v>46261</v>
      </c>
      <c r="L28" s="39" t="inlineStr">
        <is>
          <t>郑士旺</t>
        </is>
      </c>
      <c r="M28" s="39" t="inlineStr">
        <is>
          <t>未开始</t>
        </is>
      </c>
      <c r="N28" s="105" t="n">
        <v>46230</v>
      </c>
      <c r="O28" s="105" t="n">
        <v>46241</v>
      </c>
      <c r="P28" s="39" t="inlineStr">
        <is>
          <t>石军磊、刘凯</t>
        </is>
      </c>
      <c r="Q28" s="39" t="inlineStr">
        <is>
          <t>未开始</t>
        </is>
      </c>
      <c r="R28" s="105" t="n">
        <v>46307</v>
      </c>
      <c r="S28" s="105" t="n">
        <v>46339</v>
      </c>
      <c r="T28" s="39" t="inlineStr">
        <is>
          <t>贺航</t>
        </is>
      </c>
      <c r="U28" s="39" t="inlineStr">
        <is>
          <t>未开始</t>
        </is>
      </c>
      <c r="V28" s="105" t="n">
        <v>46307</v>
      </c>
      <c r="W28" s="105" t="n">
        <v>46339</v>
      </c>
      <c r="X28" s="39" t="inlineStr">
        <is>
          <t>袁丽荣</t>
        </is>
      </c>
      <c r="Y28" s="39" t="inlineStr">
        <is>
          <t>未开始</t>
        </is>
      </c>
      <c r="Z28" s="105" t="n">
        <v>46342</v>
      </c>
      <c r="AA28" s="105" t="n">
        <v>46353</v>
      </c>
      <c r="AB28" s="71">
        <f>(IF(M28="已完成",1,IF(M28="进行中",0.5,0))*15%+IF(Q28="已完成",1,IF(Q28="进行中",0.5,0))*35%+IF(U28="已完成",1,IF(U28="进行中",0.5,0))*30%+IF(Y28="已完成",1,IF(Y28="进行中",0.5,0))*20%)</f>
        <v/>
      </c>
      <c r="AC28" s="39">
        <f>IF(G28="已完成","正常",IF(OR(G28="暂停",G28="挂起"),"暂停",IF(J28="","日期缺失",IF(J28&lt;'项目驾驶舱'!$B$3,"已延期",IF(J28&lt;='项目驾驶舱'!$B$3+7,"临近到期","正常")))))</f>
        <v/>
      </c>
      <c r="AD28" s="39" t="inlineStr"/>
      <c r="AE28" s="40" t="inlineStr"/>
    </row>
    <row r="29" ht="17" customHeight="1" s="1">
      <c r="A29" s="37" t="inlineStr">
        <is>
          <t>T026</t>
        </is>
      </c>
      <c r="B29" s="39" t="inlineStr">
        <is>
          <t>网上营业厅</t>
        </is>
      </c>
      <c r="C29" s="39" t="inlineStr">
        <is>
          <t>卸船作业</t>
        </is>
      </c>
      <c r="D29" s="39" t="inlineStr">
        <is>
          <t>卸船作业委托</t>
        </is>
      </c>
      <c r="E29" s="39" t="inlineStr">
        <is>
          <t>创建卸船作业委托信息</t>
        </is>
      </c>
      <c r="F29" s="39" t="inlineStr">
        <is>
          <t>第二批次</t>
        </is>
      </c>
      <c r="G29" s="39">
        <f>IF(OR(M29="挂起",M29="暂停",Q29="挂起",Q29="暂停",U29="挂起",U29="暂停",Y29="挂起",Y29="暂停"),"暂停","进行中")</f>
        <v/>
      </c>
      <c r="H29" s="39">
        <f>IF(L29&lt;&gt;"",L29,IF(P29&lt;&gt;"",P29,IF(T29&lt;&gt;"",T29,X29)))</f>
        <v/>
      </c>
      <c r="I29" s="105">
        <f>IF(COUNT(N29,R29,V29,Z29)=0,"",MIN(N29,R29,V29,Z29))</f>
        <v/>
      </c>
      <c r="J29" s="105">
        <f>IF(ISNUMBER(K29),K29,IF(COUNT(O29,S29,W29,AA29)=0,"",MAX(O29,S29,W29,AA29)))</f>
        <v/>
      </c>
      <c r="K29" s="105" t="n">
        <v>46261</v>
      </c>
      <c r="L29" s="39" t="inlineStr">
        <is>
          <t>郑士旺</t>
        </is>
      </c>
      <c r="M29" s="39" t="inlineStr">
        <is>
          <t>已完成</t>
        </is>
      </c>
      <c r="N29" s="105" t="n">
        <v>46230</v>
      </c>
      <c r="O29" s="105" t="n">
        <v>46241</v>
      </c>
      <c r="P29" s="39" t="inlineStr">
        <is>
          <t>石军磊、刘凯</t>
        </is>
      </c>
      <c r="Q29" s="39" t="inlineStr">
        <is>
          <t>进行中</t>
        </is>
      </c>
      <c r="R29" s="105" t="n">
        <v>46307</v>
      </c>
      <c r="S29" s="105" t="n">
        <v>46339</v>
      </c>
      <c r="T29" s="39" t="inlineStr">
        <is>
          <t>贺航</t>
        </is>
      </c>
      <c r="U29" s="39" t="inlineStr">
        <is>
          <t>进行中</t>
        </is>
      </c>
      <c r="V29" s="105" t="n">
        <v>46307</v>
      </c>
      <c r="W29" s="105" t="n">
        <v>46339</v>
      </c>
      <c r="X29" s="39" t="inlineStr">
        <is>
          <t>袁丽荣</t>
        </is>
      </c>
      <c r="Y29" s="39" t="inlineStr">
        <is>
          <t>未开始</t>
        </is>
      </c>
      <c r="Z29" s="105" t="n">
        <v>46342</v>
      </c>
      <c r="AA29" s="105" t="n">
        <v>46353</v>
      </c>
      <c r="AB29" s="71">
        <f>(IF(M29="已完成",1,IF(M29="进行中",0.5,0))*15%+IF(Q29="已完成",1,IF(Q29="进行中",0.5,0))*35%+IF(U29="已完成",1,IF(U29="进行中",0.5,0))*30%+IF(Y29="已完成",1,IF(Y29="进行中",0.5,0))*20%)</f>
        <v/>
      </c>
      <c r="AC29" s="39">
        <f>IF(G29="已完成","正常",IF(OR(G29="暂停",G29="挂起"),"暂停",IF(J29="","日期缺失",IF(J29&lt;'项目驾驶舱'!$B$3,"已延期",IF(J29&lt;='项目驾驶舱'!$B$3+7,"临近到期","正常")))))</f>
        <v/>
      </c>
      <c r="AD29" s="39" t="inlineStr"/>
      <c r="AE29" s="40" t="inlineStr"/>
    </row>
    <row r="30" ht="17" customHeight="1" s="1">
      <c r="A30" s="37" t="inlineStr">
        <is>
          <t>T027</t>
        </is>
      </c>
      <c r="B30" s="39" t="inlineStr">
        <is>
          <t>网上营业厅</t>
        </is>
      </c>
      <c r="C30" s="39" t="inlineStr">
        <is>
          <t>卸船作业</t>
        </is>
      </c>
      <c r="D30" s="39" t="inlineStr">
        <is>
          <t>卸船作业委托</t>
        </is>
      </c>
      <c r="E30" s="39" t="inlineStr">
        <is>
          <t>修改卸船作业委托信息</t>
        </is>
      </c>
      <c r="F30" s="39" t="inlineStr">
        <is>
          <t>第二批次</t>
        </is>
      </c>
      <c r="G30" s="39">
        <f>IF(OR(M30="挂起",M30="暂停",Q30="挂起",Q30="暂停",U30="挂起",U30="暂停",Y30="挂起",Y30="暂停"),"暂停","进行中")</f>
        <v/>
      </c>
      <c r="H30" s="39">
        <f>IF(L30&lt;&gt;"",L30,IF(P30&lt;&gt;"",P30,IF(T30&lt;&gt;"",T30,X30)))</f>
        <v/>
      </c>
      <c r="I30" s="105">
        <f>IF(COUNT(N30,R30,V30,Z30)=0,"",MIN(N30,R30,V30,Z30))</f>
        <v/>
      </c>
      <c r="J30" s="105">
        <f>IF(ISNUMBER(K30),K30,IF(COUNT(O30,S30,W30,AA30)=0,"",MAX(O30,S30,W30,AA30)))</f>
        <v/>
      </c>
      <c r="K30" s="105" t="n">
        <v>46261</v>
      </c>
      <c r="L30" s="39" t="inlineStr">
        <is>
          <t>郑士旺</t>
        </is>
      </c>
      <c r="M30" s="39" t="inlineStr">
        <is>
          <t>已完成</t>
        </is>
      </c>
      <c r="N30" s="105" t="n">
        <v>46230</v>
      </c>
      <c r="O30" s="105" t="n">
        <v>46241</v>
      </c>
      <c r="P30" s="39" t="inlineStr">
        <is>
          <t>石军磊、刘凯</t>
        </is>
      </c>
      <c r="Q30" s="39" t="inlineStr">
        <is>
          <t>进行中</t>
        </is>
      </c>
      <c r="R30" s="105" t="n">
        <v>46307</v>
      </c>
      <c r="S30" s="105" t="n">
        <v>46339</v>
      </c>
      <c r="T30" s="39" t="inlineStr">
        <is>
          <t>贺航</t>
        </is>
      </c>
      <c r="U30" s="39" t="inlineStr">
        <is>
          <t>进行中</t>
        </is>
      </c>
      <c r="V30" s="105" t="n">
        <v>46307</v>
      </c>
      <c r="W30" s="105" t="n">
        <v>46339</v>
      </c>
      <c r="X30" s="39" t="inlineStr">
        <is>
          <t>袁丽荣</t>
        </is>
      </c>
      <c r="Y30" s="39" t="inlineStr">
        <is>
          <t>未开始</t>
        </is>
      </c>
      <c r="Z30" s="105" t="n">
        <v>46342</v>
      </c>
      <c r="AA30" s="105" t="n">
        <v>46353</v>
      </c>
      <c r="AB30" s="71">
        <f>(IF(M30="已完成",1,IF(M30="进行中",0.5,0))*15%+IF(Q30="已完成",1,IF(Q30="进行中",0.5,0))*35%+IF(U30="已完成",1,IF(U30="进行中",0.5,0))*30%+IF(Y30="已完成",1,IF(Y30="进行中",0.5,0))*20%)</f>
        <v/>
      </c>
      <c r="AC30" s="39">
        <f>IF(G30="已完成","正常",IF(OR(G30="暂停",G30="挂起"),"暂停",IF(J30="","日期缺失",IF(J30&lt;'项目驾驶舱'!$B$3,"已延期",IF(J30&lt;='项目驾驶舱'!$B$3+7,"临近到期","正常")))))</f>
        <v/>
      </c>
      <c r="AD30" s="39" t="inlineStr"/>
      <c r="AE30" s="40" t="inlineStr"/>
    </row>
    <row r="31" ht="17" customHeight="1" s="1">
      <c r="A31" s="37" t="inlineStr">
        <is>
          <t>T028</t>
        </is>
      </c>
      <c r="B31" s="39" t="inlineStr">
        <is>
          <t>网上营业厅</t>
        </is>
      </c>
      <c r="C31" s="39" t="inlineStr">
        <is>
          <t>卸船作业</t>
        </is>
      </c>
      <c r="D31" s="39" t="inlineStr">
        <is>
          <t>卸船作业委托</t>
        </is>
      </c>
      <c r="E31" s="39" t="inlineStr">
        <is>
          <t>作废卸船作业委托信息</t>
        </is>
      </c>
      <c r="F31" s="39" t="inlineStr">
        <is>
          <t>第二批次</t>
        </is>
      </c>
      <c r="G31" s="39">
        <f>IF(OR(M31="挂起",M31="暂停",Q31="挂起",Q31="暂停",U31="挂起",U31="暂停",Y31="挂起",Y31="暂停"),"暂停","进行中")</f>
        <v/>
      </c>
      <c r="H31" s="39">
        <f>IF(L31&lt;&gt;"",L31,IF(P31&lt;&gt;"",P31,IF(T31&lt;&gt;"",T31,X31)))</f>
        <v/>
      </c>
      <c r="I31" s="105">
        <f>IF(COUNT(N31,R31,V31,Z31)=0,"",MIN(N31,R31,V31,Z31))</f>
        <v/>
      </c>
      <c r="J31" s="105">
        <f>IF(ISNUMBER(K31),K31,IF(COUNT(O31,S31,W31,AA31)=0,"",MAX(O31,S31,W31,AA31)))</f>
        <v/>
      </c>
      <c r="K31" s="105" t="n">
        <v>46261</v>
      </c>
      <c r="L31" s="39" t="inlineStr">
        <is>
          <t>郑士旺</t>
        </is>
      </c>
      <c r="M31" s="39" t="inlineStr">
        <is>
          <t>进行中</t>
        </is>
      </c>
      <c r="N31" s="105" t="n">
        <v>46230</v>
      </c>
      <c r="O31" s="105" t="n">
        <v>46241</v>
      </c>
      <c r="P31" s="39" t="inlineStr">
        <is>
          <t>石军磊、刘凯</t>
        </is>
      </c>
      <c r="Q31" s="39" t="inlineStr">
        <is>
          <t>未开始</t>
        </is>
      </c>
      <c r="R31" s="105" t="n">
        <v>46307</v>
      </c>
      <c r="S31" s="105" t="n">
        <v>46339</v>
      </c>
      <c r="T31" s="39" t="inlineStr">
        <is>
          <t>贺航</t>
        </is>
      </c>
      <c r="U31" s="39" t="inlineStr">
        <is>
          <t>未开始</t>
        </is>
      </c>
      <c r="V31" s="105" t="n">
        <v>46307</v>
      </c>
      <c r="W31" s="105" t="n">
        <v>46339</v>
      </c>
      <c r="X31" s="39" t="inlineStr">
        <is>
          <t>袁丽荣</t>
        </is>
      </c>
      <c r="Y31" s="39" t="inlineStr">
        <is>
          <t>未开始</t>
        </is>
      </c>
      <c r="Z31" s="105" t="n">
        <v>46342</v>
      </c>
      <c r="AA31" s="105" t="n">
        <v>46353</v>
      </c>
      <c r="AB31" s="71">
        <f>(IF(M31="已完成",1,IF(M31="进行中",0.5,0))*15%+IF(Q31="已完成",1,IF(Q31="进行中",0.5,0))*35%+IF(U31="已完成",1,IF(U31="进行中",0.5,0))*30%+IF(Y31="已完成",1,IF(Y31="进行中",0.5,0))*20%)</f>
        <v/>
      </c>
      <c r="AC31" s="39">
        <f>IF(G31="已完成","正常",IF(OR(G31="暂停",G31="挂起"),"暂停",IF(J31="","日期缺失",IF(J31&lt;'项目驾驶舱'!$B$3,"已延期",IF(J31&lt;='项目驾驶舱'!$B$3+7,"临近到期","正常")))))</f>
        <v/>
      </c>
      <c r="AD31" s="39" t="inlineStr"/>
      <c r="AE31" s="40" t="inlineStr"/>
    </row>
    <row r="32" ht="17" customHeight="1" s="1">
      <c r="A32" s="37" t="inlineStr">
        <is>
          <t>T029</t>
        </is>
      </c>
      <c r="B32" s="39" t="inlineStr">
        <is>
          <t>网上营业厅</t>
        </is>
      </c>
      <c r="C32" s="39" t="inlineStr">
        <is>
          <t>卸船作业</t>
        </is>
      </c>
      <c r="D32" s="39" t="inlineStr">
        <is>
          <t>卸船作业委托</t>
        </is>
      </c>
      <c r="E32" s="39" t="inlineStr">
        <is>
          <t>推送卸船作业委托信息</t>
        </is>
      </c>
      <c r="F32" s="39" t="inlineStr">
        <is>
          <t>第二批次</t>
        </is>
      </c>
      <c r="G32" s="39">
        <f>IF(OR(M32="挂起",M32="暂停",Q32="挂起",Q32="暂停",U32="挂起",U32="暂停",Y32="挂起",Y32="暂停"),"暂停","进行中")</f>
        <v/>
      </c>
      <c r="H32" s="39">
        <f>IF(L32&lt;&gt;"",L32,IF(P32&lt;&gt;"",P32,IF(T32&lt;&gt;"",T32,X32)))</f>
        <v/>
      </c>
      <c r="I32" s="105">
        <f>IF(COUNT(N32,R32,V32,Z32)=0,"",MIN(N32,R32,V32,Z32))</f>
        <v/>
      </c>
      <c r="J32" s="105">
        <f>IF(ISNUMBER(K32),K32,IF(COUNT(O32,S32,W32,AA32)=0,"",MAX(O32,S32,W32,AA32)))</f>
        <v/>
      </c>
      <c r="K32" s="105" t="n">
        <v>46261</v>
      </c>
      <c r="L32" s="39" t="inlineStr">
        <is>
          <t>郑士旺</t>
        </is>
      </c>
      <c r="M32" s="39" t="inlineStr">
        <is>
          <t>进行中</t>
        </is>
      </c>
      <c r="N32" s="105" t="n">
        <v>46230</v>
      </c>
      <c r="O32" s="105" t="n">
        <v>46241</v>
      </c>
      <c r="P32" s="39" t="inlineStr">
        <is>
          <t>石军磊、刘凯</t>
        </is>
      </c>
      <c r="Q32" s="39" t="inlineStr">
        <is>
          <t>未开始</t>
        </is>
      </c>
      <c r="R32" s="105" t="n">
        <v>46307</v>
      </c>
      <c r="S32" s="105" t="n">
        <v>46339</v>
      </c>
      <c r="T32" s="39" t="inlineStr">
        <is>
          <t>贺航</t>
        </is>
      </c>
      <c r="U32" s="39" t="inlineStr">
        <is>
          <t>未开始</t>
        </is>
      </c>
      <c r="V32" s="105" t="n">
        <v>46307</v>
      </c>
      <c r="W32" s="105" t="n">
        <v>46339</v>
      </c>
      <c r="X32" s="39" t="inlineStr">
        <is>
          <t>袁丽荣</t>
        </is>
      </c>
      <c r="Y32" s="39" t="inlineStr">
        <is>
          <t>未开始</t>
        </is>
      </c>
      <c r="Z32" s="105" t="n">
        <v>46342</v>
      </c>
      <c r="AA32" s="105" t="n">
        <v>46353</v>
      </c>
      <c r="AB32" s="71">
        <f>(IF(M32="已完成",1,IF(M32="进行中",0.5,0))*15%+IF(Q32="已完成",1,IF(Q32="进行中",0.5,0))*35%+IF(U32="已完成",1,IF(U32="进行中",0.5,0))*30%+IF(Y32="已完成",1,IF(Y32="进行中",0.5,0))*20%)</f>
        <v/>
      </c>
      <c r="AC32" s="39">
        <f>IF(G32="已完成","正常",IF(OR(G32="暂停",G32="挂起"),"暂停",IF(J32="","日期缺失",IF(J32&lt;'项目驾驶舱'!$B$3,"已延期",IF(J32&lt;='项目驾驶舱'!$B$3+7,"临近到期","正常")))))</f>
        <v/>
      </c>
      <c r="AD32" s="39" t="inlineStr"/>
      <c r="AE32" s="40" t="inlineStr"/>
    </row>
    <row r="33" ht="17" customHeight="1" s="1">
      <c r="A33" s="37" t="inlineStr">
        <is>
          <t>T030</t>
        </is>
      </c>
      <c r="B33" s="39" t="inlineStr">
        <is>
          <t>网上营业厅</t>
        </is>
      </c>
      <c r="C33" s="39" t="inlineStr">
        <is>
          <t>卸船作业</t>
        </is>
      </c>
      <c r="D33" s="39" t="inlineStr">
        <is>
          <t>卸船作业委托</t>
        </is>
      </c>
      <c r="E33" s="39" t="inlineStr">
        <is>
          <t>查询卸船作业委托信息</t>
        </is>
      </c>
      <c r="F33" s="39" t="inlineStr">
        <is>
          <t>第二批次</t>
        </is>
      </c>
      <c r="G33" s="39">
        <f>IF(OR(M33="挂起",M33="暂停",Q33="挂起",Q33="暂停",U33="挂起",U33="暂停",Y33="挂起",Y33="暂停"),"暂停","进行中")</f>
        <v/>
      </c>
      <c r="H33" s="39">
        <f>IF(L33&lt;&gt;"",L33,IF(P33&lt;&gt;"",P33,IF(T33&lt;&gt;"",T33,X33)))</f>
        <v/>
      </c>
      <c r="I33" s="105">
        <f>IF(COUNT(N33,R33,V33,Z33)=0,"",MIN(N33,R33,V33,Z33))</f>
        <v/>
      </c>
      <c r="J33" s="105">
        <f>IF(ISNUMBER(K33),K33,IF(COUNT(O33,S33,W33,AA33)=0,"",MAX(O33,S33,W33,AA33)))</f>
        <v/>
      </c>
      <c r="K33" s="105" t="n">
        <v>46261</v>
      </c>
      <c r="L33" s="39" t="inlineStr">
        <is>
          <t>郑士旺</t>
        </is>
      </c>
      <c r="M33" s="39" t="inlineStr">
        <is>
          <t>已完成</t>
        </is>
      </c>
      <c r="N33" s="105" t="n">
        <v>46230</v>
      </c>
      <c r="O33" s="105" t="n">
        <v>46241</v>
      </c>
      <c r="P33" s="39" t="inlineStr">
        <is>
          <t>石军磊、刘凯</t>
        </is>
      </c>
      <c r="Q33" s="39" t="inlineStr">
        <is>
          <t>进行中</t>
        </is>
      </c>
      <c r="R33" s="105" t="n">
        <v>46307</v>
      </c>
      <c r="S33" s="105" t="n">
        <v>46339</v>
      </c>
      <c r="T33" s="39" t="inlineStr">
        <is>
          <t>贺航</t>
        </is>
      </c>
      <c r="U33" s="39" t="inlineStr">
        <is>
          <t>进行中</t>
        </is>
      </c>
      <c r="V33" s="105" t="n">
        <v>46307</v>
      </c>
      <c r="W33" s="105" t="n">
        <v>46339</v>
      </c>
      <c r="X33" s="39" t="inlineStr">
        <is>
          <t>袁丽荣</t>
        </is>
      </c>
      <c r="Y33" s="39" t="inlineStr">
        <is>
          <t>未开始</t>
        </is>
      </c>
      <c r="Z33" s="105" t="n">
        <v>46342</v>
      </c>
      <c r="AA33" s="105" t="n">
        <v>46353</v>
      </c>
      <c r="AB33" s="71">
        <f>(IF(M33="已完成",1,IF(M33="进行中",0.5,0))*15%+IF(Q33="已完成",1,IF(Q33="进行中",0.5,0))*35%+IF(U33="已完成",1,IF(U33="进行中",0.5,0))*30%+IF(Y33="已完成",1,IF(Y33="进行中",0.5,0))*20%)</f>
        <v/>
      </c>
      <c r="AC33" s="39">
        <f>IF(G33="已完成","正常",IF(OR(G33="暂停",G33="挂起"),"暂停",IF(J33="","日期缺失",IF(J33&lt;'项目驾驶舱'!$B$3,"已延期",IF(J33&lt;='项目驾驶舱'!$B$3+7,"临近到期","正常")))))</f>
        <v/>
      </c>
      <c r="AD33" s="39" t="inlineStr"/>
      <c r="AE33" s="40" t="inlineStr"/>
    </row>
    <row r="34" hidden="1" ht="17" customHeight="1" s="1">
      <c r="A34" s="37" t="inlineStr">
        <is>
          <t>T031</t>
        </is>
      </c>
      <c r="B34" s="39" t="inlineStr">
        <is>
          <t>网上营业厅</t>
        </is>
      </c>
      <c r="C34" s="39" t="inlineStr">
        <is>
          <t>卸船作业</t>
        </is>
      </c>
      <c r="D34" s="39" t="inlineStr">
        <is>
          <t>外轮转内贸业务</t>
        </is>
      </c>
      <c r="E34" s="39" t="inlineStr">
        <is>
          <t>创建外轮转内贸业务信息</t>
        </is>
      </c>
      <c r="F34" s="39" t="inlineStr">
        <is>
          <t>第二批次</t>
        </is>
      </c>
      <c r="G34" s="39">
        <f>IF(OR(M34="挂起",M34="暂停",Q34="挂起",Q34="暂停",U34="挂起",U34="暂停",Y34="挂起",Y34="暂停"),"暂停","未开始")</f>
        <v/>
      </c>
      <c r="H34" s="39">
        <f>IF(L34&lt;&gt;"",L34,IF(P34&lt;&gt;"",P34,IF(T34&lt;&gt;"",T34,X34)))</f>
        <v/>
      </c>
      <c r="I34" s="105">
        <f>IF(COUNT(N34,R34,V34,Z34)=0,"",MIN(N34,R34,V34,Z34))</f>
        <v/>
      </c>
      <c r="J34" s="105">
        <f>IF(ISNUMBER(K34),K34,IF(COUNT(O34,S34,W34,AA34)=0,"",MAX(O34,S34,W34,AA34)))</f>
        <v/>
      </c>
      <c r="K34" s="105" t="n"/>
      <c r="L34" s="39" t="inlineStr">
        <is>
          <t>郑士旺</t>
        </is>
      </c>
      <c r="M34" s="39" t="inlineStr">
        <is>
          <t>未开始</t>
        </is>
      </c>
      <c r="N34" s="105" t="n">
        <v>46230</v>
      </c>
      <c r="O34" s="105" t="n">
        <v>46241</v>
      </c>
      <c r="P34" s="39" t="inlineStr">
        <is>
          <t>石军磊、刘凯</t>
        </is>
      </c>
      <c r="Q34" s="39" t="inlineStr">
        <is>
          <t>未开始</t>
        </is>
      </c>
      <c r="R34" s="105" t="n">
        <v>46307</v>
      </c>
      <c r="S34" s="105" t="n">
        <v>46339</v>
      </c>
      <c r="T34" s="39" t="inlineStr">
        <is>
          <t>贺航</t>
        </is>
      </c>
      <c r="U34" s="39" t="inlineStr">
        <is>
          <t>未开始</t>
        </is>
      </c>
      <c r="V34" s="105" t="n">
        <v>46307</v>
      </c>
      <c r="W34" s="105" t="n">
        <v>46339</v>
      </c>
      <c r="X34" s="39" t="inlineStr">
        <is>
          <t>袁丽荣</t>
        </is>
      </c>
      <c r="Y34" s="39" t="inlineStr">
        <is>
          <t>未开始</t>
        </is>
      </c>
      <c r="Z34" s="105" t="n">
        <v>46342</v>
      </c>
      <c r="AA34" s="105" t="n">
        <v>46353</v>
      </c>
      <c r="AB34" s="71">
        <f>(IF(M34="已完成",1,IF(M34="进行中",0.5,0))*15%+IF(Q34="已完成",1,IF(Q34="进行中",0.5,0))*35%+IF(U34="已完成",1,IF(U34="进行中",0.5,0))*30%+IF(Y34="已完成",1,IF(Y34="进行中",0.5,0))*20%)</f>
        <v/>
      </c>
      <c r="AC34" s="39">
        <f>IF(G34="已完成","正常",IF(OR(G34="暂停",G34="挂起"),"暂停",IF(J34="","日期缺失",IF(J34&lt;'项目驾驶舱'!$B$3,"已延期",IF(J34&lt;='项目驾驶舱'!$B$3+7,"临近到期","正常")))))</f>
        <v/>
      </c>
      <c r="AD34" s="39" t="inlineStr"/>
      <c r="AE34" s="40" t="inlineStr"/>
    </row>
    <row r="35" hidden="1" ht="17" customHeight="1" s="1">
      <c r="A35" s="37" t="inlineStr">
        <is>
          <t>T032</t>
        </is>
      </c>
      <c r="B35" s="39" t="inlineStr">
        <is>
          <t>网上营业厅</t>
        </is>
      </c>
      <c r="C35" s="39" t="inlineStr">
        <is>
          <t>卸船作业</t>
        </is>
      </c>
      <c r="D35" s="39" t="inlineStr">
        <is>
          <t>外轮转内贸业务</t>
        </is>
      </c>
      <c r="E35" s="39" t="inlineStr">
        <is>
          <t>作废外轮转内贸业务信息</t>
        </is>
      </c>
      <c r="F35" s="39" t="inlineStr">
        <is>
          <t>第二批次</t>
        </is>
      </c>
      <c r="G35" s="39">
        <f>IF(OR(M35="挂起",M35="暂停",Q35="挂起",Q35="暂停",U35="挂起",U35="暂停",Y35="挂起",Y35="暂停"),"暂停","未开始")</f>
        <v/>
      </c>
      <c r="H35" s="39">
        <f>IF(L35&lt;&gt;"",L35,IF(P35&lt;&gt;"",P35,IF(T35&lt;&gt;"",T35,X35)))</f>
        <v/>
      </c>
      <c r="I35" s="105">
        <f>IF(COUNT(N35,R35,V35,Z35)=0,"",MIN(N35,R35,V35,Z35))</f>
        <v/>
      </c>
      <c r="J35" s="105">
        <f>IF(ISNUMBER(K35),K35,IF(COUNT(O35,S35,W35,AA35)=0,"",MAX(O35,S35,W35,AA35)))</f>
        <v/>
      </c>
      <c r="K35" s="105" t="n"/>
      <c r="L35" s="39" t="inlineStr">
        <is>
          <t>郑士旺</t>
        </is>
      </c>
      <c r="M35" s="39" t="inlineStr">
        <is>
          <t>未开始</t>
        </is>
      </c>
      <c r="N35" s="105" t="n">
        <v>46230</v>
      </c>
      <c r="O35" s="105" t="n">
        <v>46241</v>
      </c>
      <c r="P35" s="39" t="inlineStr">
        <is>
          <t>石军磊、刘凯</t>
        </is>
      </c>
      <c r="Q35" s="39" t="inlineStr">
        <is>
          <t>未开始</t>
        </is>
      </c>
      <c r="R35" s="105" t="n">
        <v>46307</v>
      </c>
      <c r="S35" s="105" t="n">
        <v>46339</v>
      </c>
      <c r="T35" s="39" t="inlineStr">
        <is>
          <t>贺航</t>
        </is>
      </c>
      <c r="U35" s="39" t="inlineStr">
        <is>
          <t>未开始</t>
        </is>
      </c>
      <c r="V35" s="105" t="n">
        <v>46307</v>
      </c>
      <c r="W35" s="105" t="n">
        <v>46339</v>
      </c>
      <c r="X35" s="39" t="inlineStr">
        <is>
          <t>袁丽荣</t>
        </is>
      </c>
      <c r="Y35" s="39" t="inlineStr">
        <is>
          <t>未开始</t>
        </is>
      </c>
      <c r="Z35" s="105" t="n">
        <v>46342</v>
      </c>
      <c r="AA35" s="105" t="n">
        <v>46353</v>
      </c>
      <c r="AB35" s="71">
        <f>(IF(M35="已完成",1,IF(M35="进行中",0.5,0))*15%+IF(Q35="已完成",1,IF(Q35="进行中",0.5,0))*35%+IF(U35="已完成",1,IF(U35="进行中",0.5,0))*30%+IF(Y35="已完成",1,IF(Y35="进行中",0.5,0))*20%)</f>
        <v/>
      </c>
      <c r="AC35" s="39">
        <f>IF(G35="已完成","正常",IF(OR(G35="暂停",G35="挂起"),"暂停",IF(J35="","日期缺失",IF(J35&lt;'项目驾驶舱'!$B$3,"已延期",IF(J35&lt;='项目驾驶舱'!$B$3+7,"临近到期","正常")))))</f>
        <v/>
      </c>
      <c r="AD35" s="39" t="inlineStr"/>
      <c r="AE35" s="40" t="inlineStr"/>
    </row>
    <row r="36" hidden="1" ht="17" customHeight="1" s="1">
      <c r="A36" s="37" t="inlineStr">
        <is>
          <t>T033</t>
        </is>
      </c>
      <c r="B36" s="39" t="inlineStr">
        <is>
          <t>网上营业厅</t>
        </is>
      </c>
      <c r="C36" s="39" t="inlineStr">
        <is>
          <t>卸船作业</t>
        </is>
      </c>
      <c r="D36" s="39" t="inlineStr">
        <is>
          <t>外轮转内贸业务</t>
        </is>
      </c>
      <c r="E36" s="39" t="inlineStr">
        <is>
          <t>查询外轮转内贸业务信息</t>
        </is>
      </c>
      <c r="F36" s="39" t="inlineStr">
        <is>
          <t>第二批次</t>
        </is>
      </c>
      <c r="G36" s="39">
        <f>IF(OR(M36="挂起",M36="暂停",Q36="挂起",Q36="暂停",U36="挂起",U36="暂停",Y36="挂起",Y36="暂停"),"暂停","未开始")</f>
        <v/>
      </c>
      <c r="H36" s="39">
        <f>IF(L36&lt;&gt;"",L36,IF(P36&lt;&gt;"",P36,IF(T36&lt;&gt;"",T36,X36)))</f>
        <v/>
      </c>
      <c r="I36" s="105">
        <f>IF(COUNT(N36,R36,V36,Z36)=0,"",MIN(N36,R36,V36,Z36))</f>
        <v/>
      </c>
      <c r="J36" s="105">
        <f>IF(ISNUMBER(K36),K36,IF(COUNT(O36,S36,W36,AA36)=0,"",MAX(O36,S36,W36,AA36)))</f>
        <v/>
      </c>
      <c r="K36" s="105" t="n"/>
      <c r="L36" s="39" t="inlineStr">
        <is>
          <t>郑士旺</t>
        </is>
      </c>
      <c r="M36" s="39" t="inlineStr">
        <is>
          <t>未开始</t>
        </is>
      </c>
      <c r="N36" s="105" t="n">
        <v>46230</v>
      </c>
      <c r="O36" s="105" t="n">
        <v>46241</v>
      </c>
      <c r="P36" s="39" t="inlineStr">
        <is>
          <t>石军磊、刘凯</t>
        </is>
      </c>
      <c r="Q36" s="39" t="inlineStr">
        <is>
          <t>未开始</t>
        </is>
      </c>
      <c r="R36" s="105" t="n">
        <v>46307</v>
      </c>
      <c r="S36" s="105" t="n">
        <v>46339</v>
      </c>
      <c r="T36" s="39" t="inlineStr">
        <is>
          <t>贺航</t>
        </is>
      </c>
      <c r="U36" s="39" t="inlineStr">
        <is>
          <t>未开始</t>
        </is>
      </c>
      <c r="V36" s="105" t="n">
        <v>46307</v>
      </c>
      <c r="W36" s="105" t="n">
        <v>46339</v>
      </c>
      <c r="X36" s="39" t="inlineStr">
        <is>
          <t>袁丽荣</t>
        </is>
      </c>
      <c r="Y36" s="39" t="inlineStr">
        <is>
          <t>未开始</t>
        </is>
      </c>
      <c r="Z36" s="105" t="n">
        <v>46342</v>
      </c>
      <c r="AA36" s="105" t="n">
        <v>46353</v>
      </c>
      <c r="AB36" s="71">
        <f>(IF(M36="已完成",1,IF(M36="进行中",0.5,0))*15%+IF(Q36="已完成",1,IF(Q36="进行中",0.5,0))*35%+IF(U36="已完成",1,IF(U36="进行中",0.5,0))*30%+IF(Y36="已完成",1,IF(Y36="进行中",0.5,0))*20%)</f>
        <v/>
      </c>
      <c r="AC36" s="39">
        <f>IF(G36="已完成","正常",IF(OR(G36="暂停",G36="挂起"),"暂停",IF(J36="","日期缺失",IF(J36&lt;'项目驾驶舱'!$B$3,"已延期",IF(J36&lt;='项目驾驶舱'!$B$3+7,"临近到期","正常")))))</f>
        <v/>
      </c>
      <c r="AD36" s="39" t="inlineStr"/>
      <c r="AE36" s="40" t="inlineStr"/>
    </row>
    <row r="37" ht="17" customHeight="1" s="1">
      <c r="A37" s="37" t="inlineStr">
        <is>
          <t>T034</t>
        </is>
      </c>
      <c r="B37" s="39" t="inlineStr">
        <is>
          <t>网上营业厅</t>
        </is>
      </c>
      <c r="C37" s="39" t="inlineStr">
        <is>
          <t>卸船作业</t>
        </is>
      </c>
      <c r="D37" s="39" t="inlineStr">
        <is>
          <t>船舶靠泊通知单</t>
        </is>
      </c>
      <c r="E37" s="39" t="inlineStr">
        <is>
          <t>新增船舶靠泊通知单</t>
        </is>
      </c>
      <c r="F37" s="39" t="inlineStr">
        <is>
          <t>第二批次</t>
        </is>
      </c>
      <c r="G37" s="39">
        <f>IF(OR(M37="挂起",M37="暂停",Q37="挂起",Q37="暂停",U37="挂起",U37="暂停",Y37="挂起",Y37="暂停"),"暂停","进行中")</f>
        <v/>
      </c>
      <c r="H37" s="39">
        <f>IF(L37&lt;&gt;"",L37,IF(P37&lt;&gt;"",P37,IF(T37&lt;&gt;"",T37,X37)))</f>
        <v/>
      </c>
      <c r="I37" s="105">
        <f>IF(COUNT(N37,R37,V37,Z37)=0,"",MIN(N37,R37,V37,Z37))</f>
        <v/>
      </c>
      <c r="J37" s="105">
        <f>IF(ISNUMBER(K37),K37,IF(COUNT(O37,S37,W37,AA37)=0,"",MAX(O37,S37,W37,AA37)))</f>
        <v/>
      </c>
      <c r="K37" s="105" t="n"/>
      <c r="L37" s="39" t="inlineStr">
        <is>
          <t>郑士旺</t>
        </is>
      </c>
      <c r="M37" s="39" t="inlineStr">
        <is>
          <t>已完成</t>
        </is>
      </c>
      <c r="N37" s="105" t="n">
        <v>46230</v>
      </c>
      <c r="O37" s="105" t="n">
        <v>46241</v>
      </c>
      <c r="P37" s="39" t="inlineStr">
        <is>
          <t>石军磊、刘凯</t>
        </is>
      </c>
      <c r="Q37" s="39" t="inlineStr">
        <is>
          <t>进行中</t>
        </is>
      </c>
      <c r="R37" s="105" t="n">
        <v>46307</v>
      </c>
      <c r="S37" s="105" t="n">
        <v>46339</v>
      </c>
      <c r="T37" s="39" t="inlineStr">
        <is>
          <t>贺航</t>
        </is>
      </c>
      <c r="U37" s="39" t="inlineStr">
        <is>
          <t>进行中</t>
        </is>
      </c>
      <c r="V37" s="105" t="n">
        <v>46307</v>
      </c>
      <c r="W37" s="105" t="n">
        <v>46339</v>
      </c>
      <c r="X37" s="39" t="inlineStr">
        <is>
          <t>袁丽荣</t>
        </is>
      </c>
      <c r="Y37" s="39" t="inlineStr">
        <is>
          <t>未开始</t>
        </is>
      </c>
      <c r="Z37" s="105" t="n">
        <v>46342</v>
      </c>
      <c r="AA37" s="105" t="n">
        <v>46353</v>
      </c>
      <c r="AB37" s="71">
        <f>(IF(M37="已完成",1,IF(M37="进行中",0.5,0))*15%+IF(Q37="已完成",1,IF(Q37="进行中",0.5,0))*35%+IF(U37="已完成",1,IF(U37="进行中",0.5,0))*30%+IF(Y37="已完成",1,IF(Y37="进行中",0.5,0))*20%)</f>
        <v/>
      </c>
      <c r="AC37" s="39">
        <f>IF(G37="已完成","正常",IF(OR(G37="暂停",G37="挂起"),"暂停",IF(J37="","日期缺失",IF(J37&lt;'项目驾驶舱'!$B$3,"已延期",IF(J37&lt;='项目驾驶舱'!$B$3+7,"临近到期","正常")))))</f>
        <v/>
      </c>
      <c r="AD37" s="39" t="inlineStr"/>
      <c r="AE37" s="40" t="inlineStr"/>
    </row>
    <row r="38" ht="17" customHeight="1" s="1">
      <c r="A38" s="37" t="inlineStr">
        <is>
          <t>T035</t>
        </is>
      </c>
      <c r="B38" s="39" t="inlineStr">
        <is>
          <t>网上营业厅</t>
        </is>
      </c>
      <c r="C38" s="39" t="inlineStr">
        <is>
          <t>卸船作业</t>
        </is>
      </c>
      <c r="D38" s="39" t="inlineStr">
        <is>
          <t>船舶靠泊通知单</t>
        </is>
      </c>
      <c r="E38" s="39" t="inlineStr">
        <is>
          <t>审批船舶靠泊通知单</t>
        </is>
      </c>
      <c r="F38" s="39" t="inlineStr">
        <is>
          <t>第二批次</t>
        </is>
      </c>
      <c r="G38" s="39">
        <f>IF(OR(M38="挂起",M38="暂停",Q38="挂起",Q38="暂停",U38="挂起",U38="暂停",Y38="挂起",Y38="暂停"),"暂停","进行中")</f>
        <v/>
      </c>
      <c r="H38" s="39">
        <f>IF(L38&lt;&gt;"",L38,IF(P38&lt;&gt;"",P38,IF(T38&lt;&gt;"",T38,X38)))</f>
        <v/>
      </c>
      <c r="I38" s="105">
        <f>IF(COUNT(N38,R38,V38,Z38)=0,"",MIN(N38,R38,V38,Z38))</f>
        <v/>
      </c>
      <c r="J38" s="105">
        <f>IF(ISNUMBER(K38),K38,IF(COUNT(O38,S38,W38,AA38)=0,"",MAX(O38,S38,W38,AA38)))</f>
        <v/>
      </c>
      <c r="K38" s="105" t="n"/>
      <c r="L38" s="39" t="inlineStr">
        <is>
          <t>郑士旺</t>
        </is>
      </c>
      <c r="M38" s="39" t="inlineStr">
        <is>
          <t>已完成</t>
        </is>
      </c>
      <c r="N38" s="105" t="n">
        <v>46230</v>
      </c>
      <c r="O38" s="105" t="n">
        <v>46241</v>
      </c>
      <c r="P38" s="39" t="inlineStr">
        <is>
          <t>石军磊、刘凯</t>
        </is>
      </c>
      <c r="Q38" s="39" t="inlineStr">
        <is>
          <t>进行中</t>
        </is>
      </c>
      <c r="R38" s="105" t="n">
        <v>46307</v>
      </c>
      <c r="S38" s="105" t="n">
        <v>46339</v>
      </c>
      <c r="T38" s="39" t="inlineStr">
        <is>
          <t>贺航</t>
        </is>
      </c>
      <c r="U38" s="39" t="inlineStr">
        <is>
          <t>进行中</t>
        </is>
      </c>
      <c r="V38" s="105" t="n">
        <v>46307</v>
      </c>
      <c r="W38" s="105" t="n">
        <v>46339</v>
      </c>
      <c r="X38" s="39" t="inlineStr">
        <is>
          <t>袁丽荣</t>
        </is>
      </c>
      <c r="Y38" s="39" t="inlineStr">
        <is>
          <t>未开始</t>
        </is>
      </c>
      <c r="Z38" s="105" t="n">
        <v>46342</v>
      </c>
      <c r="AA38" s="105" t="n">
        <v>46353</v>
      </c>
      <c r="AB38" s="71">
        <f>(IF(M38="已完成",1,IF(M38="进行中",0.5,0))*15%+IF(Q38="已完成",1,IF(Q38="进行中",0.5,0))*35%+IF(U38="已完成",1,IF(U38="进行中",0.5,0))*30%+IF(Y38="已完成",1,IF(Y38="进行中",0.5,0))*20%)</f>
        <v/>
      </c>
      <c r="AC38" s="39">
        <f>IF(G38="已完成","正常",IF(OR(G38="暂停",G38="挂起"),"暂停",IF(J38="","日期缺失",IF(J38&lt;'项目驾驶舱'!$B$3,"已延期",IF(J38&lt;='项目驾驶舱'!$B$3+7,"临近到期","正常")))))</f>
        <v/>
      </c>
      <c r="AD38" s="39" t="inlineStr"/>
      <c r="AE38" s="40" t="inlineStr"/>
    </row>
    <row r="39" ht="17" customHeight="1" s="1">
      <c r="A39" s="37" t="inlineStr">
        <is>
          <t>T036</t>
        </is>
      </c>
      <c r="B39" s="39" t="inlineStr">
        <is>
          <t>网上营业厅</t>
        </is>
      </c>
      <c r="C39" s="39" t="inlineStr">
        <is>
          <t>卸船作业</t>
        </is>
      </c>
      <c r="D39" s="39" t="inlineStr">
        <is>
          <t>船舶靠泊通知单</t>
        </is>
      </c>
      <c r="E39" s="39" t="inlineStr">
        <is>
          <t>查询船舶靠泊通知单</t>
        </is>
      </c>
      <c r="F39" s="39" t="inlineStr">
        <is>
          <t>第二批次</t>
        </is>
      </c>
      <c r="G39" s="39">
        <f>IF(OR(M39="挂起",M39="暂停",Q39="挂起",Q39="暂停",U39="挂起",U39="暂停",Y39="挂起",Y39="暂停"),"暂停","进行中")</f>
        <v/>
      </c>
      <c r="H39" s="39">
        <f>IF(L39&lt;&gt;"",L39,IF(P39&lt;&gt;"",P39,IF(T39&lt;&gt;"",T39,X39)))</f>
        <v/>
      </c>
      <c r="I39" s="105">
        <f>IF(COUNT(N39,R39,V39,Z39)=0,"",MIN(N39,R39,V39,Z39))</f>
        <v/>
      </c>
      <c r="J39" s="105">
        <f>IF(ISNUMBER(K39),K39,IF(COUNT(O39,S39,W39,AA39)=0,"",MAX(O39,S39,W39,AA39)))</f>
        <v/>
      </c>
      <c r="K39" s="105" t="n"/>
      <c r="L39" s="39" t="inlineStr">
        <is>
          <t>郑士旺</t>
        </is>
      </c>
      <c r="M39" s="39" t="inlineStr">
        <is>
          <t>已完成</t>
        </is>
      </c>
      <c r="N39" s="105" t="n">
        <v>46230</v>
      </c>
      <c r="O39" s="105" t="n">
        <v>46241</v>
      </c>
      <c r="P39" s="39" t="inlineStr">
        <is>
          <t>石军磊、刘凯</t>
        </is>
      </c>
      <c r="Q39" s="39" t="inlineStr">
        <is>
          <t>进行中</t>
        </is>
      </c>
      <c r="R39" s="105" t="n">
        <v>46307</v>
      </c>
      <c r="S39" s="105" t="n">
        <v>46339</v>
      </c>
      <c r="T39" s="39" t="inlineStr">
        <is>
          <t>贺航</t>
        </is>
      </c>
      <c r="U39" s="39" t="inlineStr">
        <is>
          <t>进行中</t>
        </is>
      </c>
      <c r="V39" s="105" t="n">
        <v>46307</v>
      </c>
      <c r="W39" s="105" t="n">
        <v>46339</v>
      </c>
      <c r="X39" s="39" t="inlineStr">
        <is>
          <t>袁丽荣</t>
        </is>
      </c>
      <c r="Y39" s="39" t="inlineStr">
        <is>
          <t>未开始</t>
        </is>
      </c>
      <c r="Z39" s="105" t="n">
        <v>46342</v>
      </c>
      <c r="AA39" s="105" t="n">
        <v>46353</v>
      </c>
      <c r="AB39" s="71">
        <f>(IF(M39="已完成",1,IF(M39="进行中",0.5,0))*15%+IF(Q39="已完成",1,IF(Q39="进行中",0.5,0))*35%+IF(U39="已完成",1,IF(U39="进行中",0.5,0))*30%+IF(Y39="已完成",1,IF(Y39="进行中",0.5,0))*20%)</f>
        <v/>
      </c>
      <c r="AC39" s="39">
        <f>IF(G39="已完成","正常",IF(OR(G39="暂停",G39="挂起"),"暂停",IF(J39="","日期缺失",IF(J39&lt;'项目驾驶舱'!$B$3,"已延期",IF(J39&lt;='项目驾驶舱'!$B$3+7,"临近到期","正常")))))</f>
        <v/>
      </c>
      <c r="AD39" s="39" t="inlineStr"/>
      <c r="AE39" s="40" t="inlineStr"/>
    </row>
    <row r="40" hidden="1" ht="17" customHeight="1" s="1">
      <c r="A40" s="37" t="inlineStr">
        <is>
          <t>T037</t>
        </is>
      </c>
      <c r="B40" s="39" t="inlineStr">
        <is>
          <t>网上营业厅</t>
        </is>
      </c>
      <c r="C40" s="39" t="inlineStr">
        <is>
          <t>卸车流程跟踪</t>
        </is>
      </c>
      <c r="D40" s="39" t="inlineStr">
        <is>
          <t>创建卸车流程</t>
        </is>
      </c>
      <c r="E40" s="39" t="inlineStr">
        <is>
          <t>/</t>
        </is>
      </c>
      <c r="F40" s="39" t="inlineStr">
        <is>
          <t>第一批次</t>
        </is>
      </c>
      <c r="G40" s="39">
        <f>IF(OR(M40="挂起",M40="暂停",Q40="挂起",Q40="暂停",U40="挂起",U40="暂停",Y40="挂起",Y40="暂停"),"暂停","已完成")</f>
        <v/>
      </c>
      <c r="H40" s="39">
        <f>IF(L40&lt;&gt;"",L40,IF(P40&lt;&gt;"",P40,IF(T40&lt;&gt;"",T40,X40)))</f>
        <v/>
      </c>
      <c r="I40" s="105">
        <f>IF(COUNT(N40,R40,V40,Z40)=0,"",MIN(N40,R40,V40,Z40))</f>
        <v/>
      </c>
      <c r="J40" s="105">
        <f>IF(ISNUMBER(K40),K40,IF(COUNT(O40,S40,W40,AA40)=0,"",MAX(O40,S40,W40,AA40)))</f>
        <v/>
      </c>
      <c r="K40" s="105" t="n">
        <v>46261</v>
      </c>
      <c r="L40" s="39" t="inlineStr">
        <is>
          <t>郑士旺</t>
        </is>
      </c>
      <c r="M40" s="39" t="inlineStr">
        <is>
          <t>已完成</t>
        </is>
      </c>
      <c r="N40" s="105" t="n">
        <v>46209</v>
      </c>
      <c r="O40" s="105" t="n">
        <v>46213</v>
      </c>
      <c r="P40" s="39" t="inlineStr">
        <is>
          <t>石军磊、刘凯</t>
        </is>
      </c>
      <c r="Q40" s="39" t="inlineStr">
        <is>
          <t>已完成</t>
        </is>
      </c>
      <c r="R40" s="105" t="n">
        <v>46230</v>
      </c>
      <c r="S40" s="105" t="n">
        <v>46262</v>
      </c>
      <c r="T40" s="39" t="inlineStr">
        <is>
          <t>贺航</t>
        </is>
      </c>
      <c r="U40" s="39" t="inlineStr">
        <is>
          <t>已完成</t>
        </is>
      </c>
      <c r="V40" s="105" t="n">
        <v>46230</v>
      </c>
      <c r="W40" s="105" t="n">
        <v>46262</v>
      </c>
      <c r="X40" s="39" t="inlineStr">
        <is>
          <t>袁丽荣</t>
        </is>
      </c>
      <c r="Y40" s="39" t="inlineStr">
        <is>
          <t>已完成</t>
        </is>
      </c>
      <c r="Z40" s="105" t="n">
        <v>46253</v>
      </c>
      <c r="AA40" s="105" t="n">
        <v>46269</v>
      </c>
      <c r="AB40" s="71">
        <f>(IF(M40="已完成",1,IF(M40="进行中",0.5,0))*15%+IF(Q40="已完成",1,IF(Q40="进行中",0.5,0))*35%+IF(U40="已完成",1,IF(U40="进行中",0.5,0))*30%+IF(Y40="已完成",1,IF(Y40="进行中",0.5,0))*20%)</f>
        <v/>
      </c>
      <c r="AC40" s="39">
        <f>IF(G40="已完成","正常",IF(OR(G40="暂停",G40="挂起"),"暂停",IF(J40="","日期缺失",IF(J40&lt;'项目驾驶舱'!$B$3,"已延期",IF(J40&lt;='项目驾驶舱'!$B$3+7,"临近到期","正常")))))</f>
        <v/>
      </c>
      <c r="AD40" s="39" t="inlineStr"/>
      <c r="AE40" s="40" t="inlineStr"/>
    </row>
    <row r="41" hidden="1" ht="17" customHeight="1" s="1">
      <c r="A41" s="37" t="inlineStr">
        <is>
          <t>T038</t>
        </is>
      </c>
      <c r="B41" s="39" t="inlineStr">
        <is>
          <t>网上营业厅</t>
        </is>
      </c>
      <c r="C41" s="39" t="inlineStr">
        <is>
          <t>卸车流程跟踪</t>
        </is>
      </c>
      <c r="D41" s="39" t="inlineStr">
        <is>
          <t>查询卸车流程</t>
        </is>
      </c>
      <c r="E41" s="39" t="inlineStr">
        <is>
          <t>/</t>
        </is>
      </c>
      <c r="F41" s="39" t="inlineStr">
        <is>
          <t>第一批次</t>
        </is>
      </c>
      <c r="G41" s="39">
        <f>IF(OR(M41="挂起",M41="暂停",Q41="挂起",Q41="暂停",U41="挂起",U41="暂停",Y41="挂起",Y41="暂停"),"暂停","已完成")</f>
        <v/>
      </c>
      <c r="H41" s="39">
        <f>IF(L41&lt;&gt;"",L41,IF(P41&lt;&gt;"",P41,IF(T41&lt;&gt;"",T41,X41)))</f>
        <v/>
      </c>
      <c r="I41" s="105">
        <f>IF(COUNT(N41,R41,V41,Z41)=0,"",MIN(N41,R41,V41,Z41))</f>
        <v/>
      </c>
      <c r="J41" s="105">
        <f>IF(ISNUMBER(K41),K41,IF(COUNT(O41,S41,W41,AA41)=0,"",MAX(O41,S41,W41,AA41)))</f>
        <v/>
      </c>
      <c r="K41" s="105" t="n">
        <v>46261</v>
      </c>
      <c r="L41" s="39" t="inlineStr">
        <is>
          <t>郑士旺</t>
        </is>
      </c>
      <c r="M41" s="39" t="inlineStr">
        <is>
          <t>已完成</t>
        </is>
      </c>
      <c r="N41" s="105" t="n">
        <v>46209</v>
      </c>
      <c r="O41" s="105" t="n">
        <v>46213</v>
      </c>
      <c r="P41" s="39" t="inlineStr">
        <is>
          <t>石军磊、刘凯</t>
        </is>
      </c>
      <c r="Q41" s="39" t="inlineStr">
        <is>
          <t>已完成</t>
        </is>
      </c>
      <c r="R41" s="105" t="n">
        <v>46230</v>
      </c>
      <c r="S41" s="105" t="n">
        <v>46262</v>
      </c>
      <c r="T41" s="39" t="inlineStr">
        <is>
          <t>贺航</t>
        </is>
      </c>
      <c r="U41" s="39" t="inlineStr">
        <is>
          <t>已完成</t>
        </is>
      </c>
      <c r="V41" s="105" t="n">
        <v>46230</v>
      </c>
      <c r="W41" s="105" t="n">
        <v>46262</v>
      </c>
      <c r="X41" s="39" t="inlineStr">
        <is>
          <t>袁丽荣</t>
        </is>
      </c>
      <c r="Y41" s="39" t="inlineStr">
        <is>
          <t>已完成</t>
        </is>
      </c>
      <c r="Z41" s="105" t="n">
        <v>46253</v>
      </c>
      <c r="AA41" s="105" t="n">
        <v>46269</v>
      </c>
      <c r="AB41" s="71">
        <f>(IF(M41="已完成",1,IF(M41="进行中",0.5,0))*15%+IF(Q41="已完成",1,IF(Q41="进行中",0.5,0))*35%+IF(U41="已完成",1,IF(U41="进行中",0.5,0))*30%+IF(Y41="已完成",1,IF(Y41="进行中",0.5,0))*20%)</f>
        <v/>
      </c>
      <c r="AC41" s="39">
        <f>IF(G41="已完成","正常",IF(OR(G41="暂停",G41="挂起"),"暂停",IF(J41="","日期缺失",IF(J41&lt;'项目驾驶舱'!$B$3,"已延期",IF(J41&lt;='项目驾驶舱'!$B$3+7,"临近到期","正常")))))</f>
        <v/>
      </c>
      <c r="AD41" s="39" t="inlineStr"/>
      <c r="AE41" s="40" t="inlineStr"/>
    </row>
    <row r="42" hidden="1" ht="34" customHeight="1" s="1">
      <c r="A42" s="37" t="inlineStr">
        <is>
          <t>T039</t>
        </is>
      </c>
      <c r="B42" s="39" t="inlineStr">
        <is>
          <t>网上营业厅</t>
        </is>
      </c>
      <c r="C42" s="39" t="inlineStr">
        <is>
          <t>卸车流程跟踪</t>
        </is>
      </c>
      <c r="D42" s="39" t="inlineStr">
        <is>
          <t>修改卸车流程</t>
        </is>
      </c>
      <c r="E42" s="39" t="inlineStr">
        <is>
          <t>/</t>
        </is>
      </c>
      <c r="F42" s="39" t="inlineStr">
        <is>
          <t>第一批次</t>
        </is>
      </c>
      <c r="G42" s="39">
        <f>IF(OR(M42="挂起",M42="暂停",Q42="挂起",Q42="暂停",U42="挂起",U42="暂停",Y42="挂起",Y42="暂停"),"暂停","已完成")</f>
        <v/>
      </c>
      <c r="H42" s="39">
        <f>IF(L42&lt;&gt;"",L42,IF(P42&lt;&gt;"",P42,IF(T42&lt;&gt;"",T42,X42)))</f>
        <v/>
      </c>
      <c r="I42" s="105">
        <f>IF(COUNT(N42,R42,V42,Z42)=0,"",MIN(N42,R42,V42,Z42))</f>
        <v/>
      </c>
      <c r="J42" s="105">
        <f>IF(ISNUMBER(K42),K42,IF(COUNT(O42,S42,W42,AA42)=0,"",MAX(O42,S42,W42,AA42)))</f>
        <v/>
      </c>
      <c r="K42" s="105" t="n">
        <v>46261</v>
      </c>
      <c r="L42" s="39" t="inlineStr">
        <is>
          <t>郑士旺</t>
        </is>
      </c>
      <c r="M42" s="39" t="inlineStr">
        <is>
          <t>已完成</t>
        </is>
      </c>
      <c r="N42" s="105" t="n">
        <v>46209</v>
      </c>
      <c r="O42" s="105" t="n">
        <v>46213</v>
      </c>
      <c r="P42" s="39" t="inlineStr">
        <is>
          <t>石军磊、刘凯</t>
        </is>
      </c>
      <c r="Q42" s="39" t="inlineStr">
        <is>
          <t>已完成</t>
        </is>
      </c>
      <c r="R42" s="105" t="n">
        <v>46230</v>
      </c>
      <c r="S42" s="105" t="n">
        <v>46262</v>
      </c>
      <c r="T42" s="39" t="inlineStr">
        <is>
          <t>贺航</t>
        </is>
      </c>
      <c r="U42" s="39" t="inlineStr">
        <is>
          <t>已完成</t>
        </is>
      </c>
      <c r="V42" s="105" t="n">
        <v>46230</v>
      </c>
      <c r="W42" s="105" t="n">
        <v>46262</v>
      </c>
      <c r="X42" s="39" t="inlineStr">
        <is>
          <t>袁丽荣</t>
        </is>
      </c>
      <c r="Y42" s="39" t="inlineStr">
        <is>
          <t>已完成</t>
        </is>
      </c>
      <c r="Z42" s="105" t="n">
        <v>46253</v>
      </c>
      <c r="AA42" s="105" t="n">
        <v>46269</v>
      </c>
      <c r="AB42" s="71">
        <f>(IF(M42="已完成",1,IF(M42="进行中",0.5,0))*15%+IF(Q42="已完成",1,IF(Q42="进行中",0.5,0))*35%+IF(U42="已完成",1,IF(U42="进行中",0.5,0))*30%+IF(Y42="已完成",1,IF(Y42="进行中",0.5,0))*20%)</f>
        <v/>
      </c>
      <c r="AC42" s="39">
        <f>IF(G42="已完成","正常",IF(OR(G42="暂停",G42="挂起"),"暂停",IF(J42="","日期缺失",IF(J42&lt;'项目驾驶舱'!$B$3,"已延期",IF(J42&lt;='项目驾驶舱'!$B$3+7,"临近到期","正常")))))</f>
        <v/>
      </c>
      <c r="AD42" s="39" t="inlineStr"/>
      <c r="AE42" s="40" t="inlineStr"/>
    </row>
    <row r="43" hidden="1" ht="17" customHeight="1" s="1">
      <c r="A43" s="37" t="inlineStr">
        <is>
          <t>T040</t>
        </is>
      </c>
      <c r="B43" s="39" t="inlineStr">
        <is>
          <t>网上营业厅</t>
        </is>
      </c>
      <c r="C43" s="39" t="inlineStr">
        <is>
          <t>装船流程跟踪</t>
        </is>
      </c>
      <c r="D43" s="39" t="inlineStr">
        <is>
          <t>创建装船流程</t>
        </is>
      </c>
      <c r="E43" s="39" t="inlineStr">
        <is>
          <t>/</t>
        </is>
      </c>
      <c r="F43" s="39" t="inlineStr">
        <is>
          <t>第一批次</t>
        </is>
      </c>
      <c r="G43" s="39">
        <f>IF(OR(M43="挂起",M43="暂停",Q43="挂起",Q43="暂停",U43="挂起",U43="暂停",Y43="挂起",Y43="暂停"),"暂停","已完成")</f>
        <v/>
      </c>
      <c r="H43" s="39">
        <f>IF(L43&lt;&gt;"",L43,IF(P43&lt;&gt;"",P43,IF(T43&lt;&gt;"",T43,X43)))</f>
        <v/>
      </c>
      <c r="I43" s="105">
        <f>IF(COUNT(N43,R43,V43,Z43)=0,"",MIN(N43,R43,V43,Z43))</f>
        <v/>
      </c>
      <c r="J43" s="105">
        <f>IF(ISNUMBER(K43),K43,IF(COUNT(O43,S43,W43,AA43)=0,"",MAX(O43,S43,W43,AA43)))</f>
        <v/>
      </c>
      <c r="K43" s="105" t="n">
        <v>46261</v>
      </c>
      <c r="L43" s="39" t="inlineStr">
        <is>
          <t>郑士旺</t>
        </is>
      </c>
      <c r="M43" s="39" t="inlineStr">
        <is>
          <t>已完成</t>
        </is>
      </c>
      <c r="N43" s="105" t="n">
        <v>46209</v>
      </c>
      <c r="O43" s="105" t="n">
        <v>46213</v>
      </c>
      <c r="P43" s="39" t="inlineStr">
        <is>
          <t>石军磊、刘凯</t>
        </is>
      </c>
      <c r="Q43" s="39" t="inlineStr">
        <is>
          <t>已完成</t>
        </is>
      </c>
      <c r="R43" s="105" t="n">
        <v>46230</v>
      </c>
      <c r="S43" s="105" t="n">
        <v>46262</v>
      </c>
      <c r="T43" s="39" t="inlineStr">
        <is>
          <t>贺航</t>
        </is>
      </c>
      <c r="U43" s="39" t="inlineStr">
        <is>
          <t>已完成</t>
        </is>
      </c>
      <c r="V43" s="105" t="n">
        <v>46230</v>
      </c>
      <c r="W43" s="105" t="n">
        <v>46262</v>
      </c>
      <c r="X43" s="39" t="inlineStr">
        <is>
          <t>袁丽荣</t>
        </is>
      </c>
      <c r="Y43" s="39" t="inlineStr">
        <is>
          <t>已完成</t>
        </is>
      </c>
      <c r="Z43" s="105" t="n">
        <v>46253</v>
      </c>
      <c r="AA43" s="105" t="n">
        <v>46269</v>
      </c>
      <c r="AB43" s="71">
        <f>(IF(M43="已完成",1,IF(M43="进行中",0.5,0))*15%+IF(Q43="已完成",1,IF(Q43="进行中",0.5,0))*35%+IF(U43="已完成",1,IF(U43="进行中",0.5,0))*30%+IF(Y43="已完成",1,IF(Y43="进行中",0.5,0))*20%)</f>
        <v/>
      </c>
      <c r="AC43" s="39">
        <f>IF(G43="已完成","正常",IF(OR(G43="暂停",G43="挂起"),"暂停",IF(J43="","日期缺失",IF(J43&lt;'项目驾驶舱'!$B$3,"已延期",IF(J43&lt;='项目驾驶舱'!$B$3+7,"临近到期","正常")))))</f>
        <v/>
      </c>
      <c r="AD43" s="39" t="inlineStr"/>
      <c r="AE43" s="40" t="inlineStr"/>
    </row>
    <row r="44" hidden="1" ht="17" customHeight="1" s="1">
      <c r="A44" s="37" t="inlineStr">
        <is>
          <t>T041</t>
        </is>
      </c>
      <c r="B44" s="39" t="inlineStr">
        <is>
          <t>网上营业厅</t>
        </is>
      </c>
      <c r="C44" s="39" t="inlineStr">
        <is>
          <t>装船流程跟踪</t>
        </is>
      </c>
      <c r="D44" s="39" t="inlineStr">
        <is>
          <t>查询装船流程</t>
        </is>
      </c>
      <c r="E44" s="39" t="inlineStr">
        <is>
          <t>/</t>
        </is>
      </c>
      <c r="F44" s="39" t="inlineStr">
        <is>
          <t>第一批次</t>
        </is>
      </c>
      <c r="G44" s="39">
        <f>IF(OR(M44="挂起",M44="暂停",Q44="挂起",Q44="暂停",U44="挂起",U44="暂停",Y44="挂起",Y44="暂停"),"暂停","已完成")</f>
        <v/>
      </c>
      <c r="H44" s="39">
        <f>IF(L44&lt;&gt;"",L44,IF(P44&lt;&gt;"",P44,IF(T44&lt;&gt;"",T44,X44)))</f>
        <v/>
      </c>
      <c r="I44" s="105">
        <f>IF(COUNT(N44,R44,V44,Z44)=0,"",MIN(N44,R44,V44,Z44))</f>
        <v/>
      </c>
      <c r="J44" s="105">
        <f>IF(ISNUMBER(K44),K44,IF(COUNT(O44,S44,W44,AA44)=0,"",MAX(O44,S44,W44,AA44)))</f>
        <v/>
      </c>
      <c r="K44" s="105" t="n">
        <v>46261</v>
      </c>
      <c r="L44" s="39" t="inlineStr">
        <is>
          <t>郑士旺</t>
        </is>
      </c>
      <c r="M44" s="39" t="inlineStr">
        <is>
          <t>已完成</t>
        </is>
      </c>
      <c r="N44" s="105" t="n">
        <v>46209</v>
      </c>
      <c r="O44" s="105" t="n">
        <v>46213</v>
      </c>
      <c r="P44" s="39" t="inlineStr">
        <is>
          <t>石军磊、刘凯</t>
        </is>
      </c>
      <c r="Q44" s="39" t="inlineStr">
        <is>
          <t>已完成</t>
        </is>
      </c>
      <c r="R44" s="105" t="n">
        <v>46230</v>
      </c>
      <c r="S44" s="105" t="n">
        <v>46262</v>
      </c>
      <c r="T44" s="39" t="inlineStr">
        <is>
          <t>贺航</t>
        </is>
      </c>
      <c r="U44" s="39" t="inlineStr">
        <is>
          <t>已完成</t>
        </is>
      </c>
      <c r="V44" s="105" t="n">
        <v>46230</v>
      </c>
      <c r="W44" s="105" t="n">
        <v>46262</v>
      </c>
      <c r="X44" s="39" t="inlineStr">
        <is>
          <t>袁丽荣</t>
        </is>
      </c>
      <c r="Y44" s="39" t="inlineStr">
        <is>
          <t>已完成</t>
        </is>
      </c>
      <c r="Z44" s="105" t="n">
        <v>46253</v>
      </c>
      <c r="AA44" s="105" t="n">
        <v>46269</v>
      </c>
      <c r="AB44" s="71">
        <f>(IF(M44="已完成",1,IF(M44="进行中",0.5,0))*15%+IF(Q44="已完成",1,IF(Q44="进行中",0.5,0))*35%+IF(U44="已完成",1,IF(U44="进行中",0.5,0))*30%+IF(Y44="已完成",1,IF(Y44="进行中",0.5,0))*20%)</f>
        <v/>
      </c>
      <c r="AC44" s="39">
        <f>IF(G44="已完成","正常",IF(OR(G44="暂停",G44="挂起"),"暂停",IF(J44="","日期缺失",IF(J44&lt;'项目驾驶舱'!$B$3,"已延期",IF(J44&lt;='项目驾驶舱'!$B$3+7,"临近到期","正常")))))</f>
        <v/>
      </c>
      <c r="AD44" s="39" t="inlineStr"/>
      <c r="AE44" s="40" t="inlineStr"/>
    </row>
    <row r="45" hidden="1" ht="17" customHeight="1" s="1">
      <c r="A45" s="37" t="inlineStr">
        <is>
          <t>T042</t>
        </is>
      </c>
      <c r="B45" s="39" t="inlineStr">
        <is>
          <t>网上营业厅</t>
        </is>
      </c>
      <c r="C45" s="39" t="inlineStr">
        <is>
          <t>装船流程跟踪</t>
        </is>
      </c>
      <c r="D45" s="39" t="inlineStr">
        <is>
          <t>修改装船流程</t>
        </is>
      </c>
      <c r="E45" s="39" t="inlineStr">
        <is>
          <t>/</t>
        </is>
      </c>
      <c r="F45" s="39" t="inlineStr">
        <is>
          <t>第一批次</t>
        </is>
      </c>
      <c r="G45" s="39">
        <f>IF(OR(M45="挂起",M45="暂停",Q45="挂起",Q45="暂停",U45="挂起",U45="暂停",Y45="挂起",Y45="暂停"),"暂停","已完成")</f>
        <v/>
      </c>
      <c r="H45" s="39">
        <f>IF(L45&lt;&gt;"",L45,IF(P45&lt;&gt;"",P45,IF(T45&lt;&gt;"",T45,X45)))</f>
        <v/>
      </c>
      <c r="I45" s="105">
        <f>IF(COUNT(N45,R45,V45,Z45)=0,"",MIN(N45,R45,V45,Z45))</f>
        <v/>
      </c>
      <c r="J45" s="105">
        <f>IF(ISNUMBER(K45),K45,IF(COUNT(O45,S45,W45,AA45)=0,"",MAX(O45,S45,W45,AA45)))</f>
        <v/>
      </c>
      <c r="K45" s="105" t="n">
        <v>46261</v>
      </c>
      <c r="L45" s="39" t="inlineStr">
        <is>
          <t>郑士旺</t>
        </is>
      </c>
      <c r="M45" s="39" t="inlineStr">
        <is>
          <t>已完成</t>
        </is>
      </c>
      <c r="N45" s="105" t="n">
        <v>46209</v>
      </c>
      <c r="O45" s="105" t="n">
        <v>46213</v>
      </c>
      <c r="P45" s="39" t="inlineStr">
        <is>
          <t>石军磊、刘凯</t>
        </is>
      </c>
      <c r="Q45" s="39" t="inlineStr">
        <is>
          <t>已完成</t>
        </is>
      </c>
      <c r="R45" s="105" t="n">
        <v>46230</v>
      </c>
      <c r="S45" s="105" t="n">
        <v>46262</v>
      </c>
      <c r="T45" s="39" t="inlineStr">
        <is>
          <t>贺航</t>
        </is>
      </c>
      <c r="U45" s="39" t="inlineStr">
        <is>
          <t>已完成</t>
        </is>
      </c>
      <c r="V45" s="105" t="n">
        <v>46230</v>
      </c>
      <c r="W45" s="105" t="n">
        <v>46262</v>
      </c>
      <c r="X45" s="39" t="inlineStr">
        <is>
          <t>袁丽荣</t>
        </is>
      </c>
      <c r="Y45" s="39" t="inlineStr">
        <is>
          <t>已完成</t>
        </is>
      </c>
      <c r="Z45" s="105" t="n">
        <v>46253</v>
      </c>
      <c r="AA45" s="105" t="n">
        <v>46269</v>
      </c>
      <c r="AB45" s="71">
        <f>(IF(M45="已完成",1,IF(M45="进行中",0.5,0))*15%+IF(Q45="已完成",1,IF(Q45="进行中",0.5,0))*35%+IF(U45="已完成",1,IF(U45="进行中",0.5,0))*30%+IF(Y45="已完成",1,IF(Y45="进行中",0.5,0))*20%)</f>
        <v/>
      </c>
      <c r="AC45" s="39">
        <f>IF(G45="已完成","正常",IF(OR(G45="暂停",G45="挂起"),"暂停",IF(J45="","日期缺失",IF(J45&lt;'项目驾驶舱'!$B$3,"已延期",IF(J45&lt;='项目驾驶舱'!$B$3+7,"临近到期","正常")))))</f>
        <v/>
      </c>
      <c r="AD45" s="39" t="inlineStr"/>
      <c r="AE45" s="40" t="inlineStr"/>
    </row>
    <row r="46" hidden="1" ht="17" customHeight="1" s="1">
      <c r="A46" s="37" t="inlineStr">
        <is>
          <t>T043</t>
        </is>
      </c>
      <c r="B46" s="39" t="inlineStr">
        <is>
          <t>网上营业厅</t>
        </is>
      </c>
      <c r="C46" s="39" t="inlineStr">
        <is>
          <t>卸船流程跟踪</t>
        </is>
      </c>
      <c r="D46" s="39" t="inlineStr">
        <is>
          <t>创建卸船流程</t>
        </is>
      </c>
      <c r="E46" s="39" t="inlineStr">
        <is>
          <t>/</t>
        </is>
      </c>
      <c r="F46" s="39" t="inlineStr">
        <is>
          <t>第二批次</t>
        </is>
      </c>
      <c r="G46" s="39">
        <f>IF(OR(M46="挂起",M46="暂停",Q46="挂起",Q46="暂停",U46="挂起",U46="暂停",Y46="挂起",Y46="暂停"),"暂停","已完成")</f>
        <v/>
      </c>
      <c r="H46" s="39">
        <f>IF(L46&lt;&gt;"",L46,IF(P46&lt;&gt;"",P46,IF(T46&lt;&gt;"",T46,X46)))</f>
        <v/>
      </c>
      <c r="I46" s="105">
        <f>IF(COUNT(N46,R46,V46,Z46)=0,"",MIN(N46,R46,V46,Z46))</f>
        <v/>
      </c>
      <c r="J46" s="105">
        <f>IF(ISNUMBER(K46),K46,IF(COUNT(O46,S46,W46,AA46)=0,"",MAX(O46,S46,W46,AA46)))</f>
        <v/>
      </c>
      <c r="K46" s="105" t="n"/>
      <c r="L46" s="39" t="inlineStr">
        <is>
          <t>郑士旺</t>
        </is>
      </c>
      <c r="M46" s="39" t="inlineStr">
        <is>
          <t>已完成</t>
        </is>
      </c>
      <c r="N46" s="105" t="n">
        <v>46209</v>
      </c>
      <c r="O46" s="105" t="n">
        <v>46213</v>
      </c>
      <c r="P46" s="39" t="inlineStr">
        <is>
          <t>石军磊、刘凯</t>
        </is>
      </c>
      <c r="Q46" s="39" t="inlineStr">
        <is>
          <t>已完成</t>
        </is>
      </c>
      <c r="R46" s="105" t="n">
        <v>46230</v>
      </c>
      <c r="S46" s="105" t="n">
        <v>46262</v>
      </c>
      <c r="T46" s="39" t="inlineStr">
        <is>
          <t>贺航</t>
        </is>
      </c>
      <c r="U46" s="39" t="inlineStr">
        <is>
          <t>已完成</t>
        </is>
      </c>
      <c r="V46" s="105" t="n">
        <v>46230</v>
      </c>
      <c r="W46" s="105" t="n">
        <v>46262</v>
      </c>
      <c r="X46" s="39" t="inlineStr">
        <is>
          <t>袁丽荣</t>
        </is>
      </c>
      <c r="Y46" s="39" t="inlineStr">
        <is>
          <t>已完成</t>
        </is>
      </c>
      <c r="Z46" s="105" t="n">
        <v>46253</v>
      </c>
      <c r="AA46" s="105" t="n">
        <v>46269</v>
      </c>
      <c r="AB46" s="71">
        <f>(IF(M46="已完成",1,IF(M46="进行中",0.5,0))*15%+IF(Q46="已完成",1,IF(Q46="进行中",0.5,0))*35%+IF(U46="已完成",1,IF(U46="进行中",0.5,0))*30%+IF(Y46="已完成",1,IF(Y46="进行中",0.5,0))*20%)</f>
        <v/>
      </c>
      <c r="AC46" s="39">
        <f>IF(G46="已完成","正常",IF(OR(G46="暂停",G46="挂起"),"暂停",IF(J46="","日期缺失",IF(J46&lt;'项目驾驶舱'!$B$3,"已延期",IF(J46&lt;='项目驾驶舱'!$B$3+7,"临近到期","正常")))))</f>
        <v/>
      </c>
      <c r="AD46" s="39" t="inlineStr"/>
      <c r="AE46" s="40" t="inlineStr"/>
    </row>
    <row r="47" hidden="1" ht="17" customHeight="1" s="1">
      <c r="A47" s="37" t="inlineStr">
        <is>
          <t>T044</t>
        </is>
      </c>
      <c r="B47" s="39" t="inlineStr">
        <is>
          <t>网上营业厅</t>
        </is>
      </c>
      <c r="C47" s="39" t="inlineStr">
        <is>
          <t>卸船流程跟踪</t>
        </is>
      </c>
      <c r="D47" s="39" t="inlineStr">
        <is>
          <t>查询卸船流程</t>
        </is>
      </c>
      <c r="E47" s="39" t="inlineStr">
        <is>
          <t>/</t>
        </is>
      </c>
      <c r="F47" s="39" t="inlineStr">
        <is>
          <t>第二批次</t>
        </is>
      </c>
      <c r="G47" s="39">
        <f>IF(OR(M47="挂起",M47="暂停",Q47="挂起",Q47="暂停",U47="挂起",U47="暂停",Y47="挂起",Y47="暂停"),"暂停","已完成")</f>
        <v/>
      </c>
      <c r="H47" s="39">
        <f>IF(L47&lt;&gt;"",L47,IF(P47&lt;&gt;"",P47,IF(T47&lt;&gt;"",T47,X47)))</f>
        <v/>
      </c>
      <c r="I47" s="105">
        <f>IF(COUNT(N47,R47,V47,Z47)=0,"",MIN(N47,R47,V47,Z47))</f>
        <v/>
      </c>
      <c r="J47" s="105">
        <f>IF(ISNUMBER(K47),K47,IF(COUNT(O47,S47,W47,AA47)=0,"",MAX(O47,S47,W47,AA47)))</f>
        <v/>
      </c>
      <c r="K47" s="105" t="n"/>
      <c r="L47" s="39" t="inlineStr">
        <is>
          <t>郑士旺</t>
        </is>
      </c>
      <c r="M47" s="39" t="inlineStr">
        <is>
          <t>已完成</t>
        </is>
      </c>
      <c r="N47" s="105" t="n">
        <v>46209</v>
      </c>
      <c r="O47" s="105" t="n">
        <v>46213</v>
      </c>
      <c r="P47" s="39" t="inlineStr">
        <is>
          <t>石军磊、刘凯</t>
        </is>
      </c>
      <c r="Q47" s="39" t="inlineStr">
        <is>
          <t>已完成</t>
        </is>
      </c>
      <c r="R47" s="105" t="n">
        <v>46230</v>
      </c>
      <c r="S47" s="105" t="n">
        <v>46262</v>
      </c>
      <c r="T47" s="39" t="inlineStr">
        <is>
          <t>贺航</t>
        </is>
      </c>
      <c r="U47" s="39" t="inlineStr">
        <is>
          <t>已完成</t>
        </is>
      </c>
      <c r="V47" s="105" t="n">
        <v>46230</v>
      </c>
      <c r="W47" s="105" t="n">
        <v>46262</v>
      </c>
      <c r="X47" s="39" t="inlineStr">
        <is>
          <t>袁丽荣</t>
        </is>
      </c>
      <c r="Y47" s="39" t="inlineStr">
        <is>
          <t>已完成</t>
        </is>
      </c>
      <c r="Z47" s="105" t="n">
        <v>46253</v>
      </c>
      <c r="AA47" s="105" t="n">
        <v>46269</v>
      </c>
      <c r="AB47" s="71">
        <f>(IF(M47="已完成",1,IF(M47="进行中",0.5,0))*15%+IF(Q47="已完成",1,IF(Q47="进行中",0.5,0))*35%+IF(U47="已完成",1,IF(U47="进行中",0.5,0))*30%+IF(Y47="已完成",1,IF(Y47="进行中",0.5,0))*20%)</f>
        <v/>
      </c>
      <c r="AC47" s="39">
        <f>IF(G47="已完成","正常",IF(OR(G47="暂停",G47="挂起"),"暂停",IF(J47="","日期缺失",IF(J47&lt;'项目驾驶舱'!$B$3,"已延期",IF(J47&lt;='项目驾驶舱'!$B$3+7,"临近到期","正常")))))</f>
        <v/>
      </c>
      <c r="AD47" s="39" t="inlineStr"/>
      <c r="AE47" s="40" t="inlineStr"/>
    </row>
    <row r="48" hidden="1" ht="17" customHeight="1" s="1">
      <c r="A48" s="37" t="inlineStr">
        <is>
          <t>T045</t>
        </is>
      </c>
      <c r="B48" s="39" t="inlineStr">
        <is>
          <t>网上营业厅</t>
        </is>
      </c>
      <c r="C48" s="39" t="inlineStr">
        <is>
          <t>卸船流程跟踪</t>
        </is>
      </c>
      <c r="D48" s="39" t="inlineStr">
        <is>
          <t>修改卸船流程</t>
        </is>
      </c>
      <c r="E48" s="39" t="inlineStr">
        <is>
          <t>/</t>
        </is>
      </c>
      <c r="F48" s="39" t="inlineStr">
        <is>
          <t>第二批次</t>
        </is>
      </c>
      <c r="G48" s="39">
        <f>IF(OR(M48="挂起",M48="暂停",Q48="挂起",Q48="暂停",U48="挂起",U48="暂停",Y48="挂起",Y48="暂停"),"暂停","已完成")</f>
        <v/>
      </c>
      <c r="H48" s="39">
        <f>IF(L48&lt;&gt;"",L48,IF(P48&lt;&gt;"",P48,IF(T48&lt;&gt;"",T48,X48)))</f>
        <v/>
      </c>
      <c r="I48" s="105">
        <f>IF(COUNT(N48,R48,V48,Z48)=0,"",MIN(N48,R48,V48,Z48))</f>
        <v/>
      </c>
      <c r="J48" s="105">
        <f>IF(ISNUMBER(K48),K48,IF(COUNT(O48,S48,W48,AA48)=0,"",MAX(O48,S48,W48,AA48)))</f>
        <v/>
      </c>
      <c r="K48" s="105" t="n"/>
      <c r="L48" s="39" t="inlineStr">
        <is>
          <t>郑士旺</t>
        </is>
      </c>
      <c r="M48" s="39" t="inlineStr">
        <is>
          <t>已完成</t>
        </is>
      </c>
      <c r="N48" s="105" t="n">
        <v>46209</v>
      </c>
      <c r="O48" s="105" t="n">
        <v>46213</v>
      </c>
      <c r="P48" s="39" t="inlineStr">
        <is>
          <t>石军磊、刘凯</t>
        </is>
      </c>
      <c r="Q48" s="39" t="inlineStr">
        <is>
          <t>已完成</t>
        </is>
      </c>
      <c r="R48" s="105" t="n">
        <v>46230</v>
      </c>
      <c r="S48" s="105" t="n">
        <v>46262</v>
      </c>
      <c r="T48" s="39" t="inlineStr">
        <is>
          <t>贺航</t>
        </is>
      </c>
      <c r="U48" s="39" t="inlineStr">
        <is>
          <t>已完成</t>
        </is>
      </c>
      <c r="V48" s="105" t="n">
        <v>46230</v>
      </c>
      <c r="W48" s="105" t="n">
        <v>46262</v>
      </c>
      <c r="X48" s="39" t="inlineStr">
        <is>
          <t>袁丽荣</t>
        </is>
      </c>
      <c r="Y48" s="39" t="inlineStr">
        <is>
          <t>已完成</t>
        </is>
      </c>
      <c r="Z48" s="105" t="n">
        <v>46253</v>
      </c>
      <c r="AA48" s="105" t="n">
        <v>46269</v>
      </c>
      <c r="AB48" s="71">
        <f>(IF(M48="已完成",1,IF(M48="进行中",0.5,0))*15%+IF(Q48="已完成",1,IF(Q48="进行中",0.5,0))*35%+IF(U48="已完成",1,IF(U48="进行中",0.5,0))*30%+IF(Y48="已完成",1,IF(Y48="进行中",0.5,0))*20%)</f>
        <v/>
      </c>
      <c r="AC48" s="39">
        <f>IF(G48="已完成","正常",IF(OR(G48="暂停",G48="挂起"),"暂停",IF(J48="","日期缺失",IF(J48&lt;'项目驾驶舱'!$B$3,"已延期",IF(J48&lt;='项目驾驶舱'!$B$3+7,"临近到期","正常")))))</f>
        <v/>
      </c>
      <c r="AD48" s="39" t="inlineStr"/>
      <c r="AE48" s="40" t="inlineStr"/>
    </row>
    <row r="49" hidden="1" ht="17" customHeight="1" s="1">
      <c r="A49" s="37" t="inlineStr">
        <is>
          <t>T046</t>
        </is>
      </c>
      <c r="B49" s="39" t="inlineStr">
        <is>
          <t>网上营业厅</t>
        </is>
      </c>
      <c r="C49" s="39" t="inlineStr">
        <is>
          <t>船舶预到（外贸）</t>
        </is>
      </c>
      <c r="D49" s="39" t="inlineStr">
        <is>
          <t>新增船舶预到（外贸）</t>
        </is>
      </c>
      <c r="E49" s="39" t="inlineStr">
        <is>
          <t>/</t>
        </is>
      </c>
      <c r="F49" s="39" t="inlineStr">
        <is>
          <t>第二批次</t>
        </is>
      </c>
      <c r="G49" s="39">
        <f>IF(OR(M49="挂起",M49="暂停",Q49="挂起",Q49="暂停",U49="挂起",U49="暂停",Y49="挂起",Y49="暂停"),"暂停","已完成")</f>
        <v/>
      </c>
      <c r="H49" s="39">
        <f>IF(L49&lt;&gt;"",L49,IF(P49&lt;&gt;"",P49,IF(T49&lt;&gt;"",T49,X49)))</f>
        <v/>
      </c>
      <c r="I49" s="105">
        <f>IF(COUNT(N49,R49,V49,Z49)=0,"",MIN(N49,R49,V49,Z49))</f>
        <v/>
      </c>
      <c r="J49" s="105">
        <f>IF(ISNUMBER(K49),K49,IF(COUNT(O49,S49,W49,AA49)=0,"",MAX(O49,S49,W49,AA49)))</f>
        <v/>
      </c>
      <c r="K49" s="105" t="inlineStr">
        <is>
          <t>/</t>
        </is>
      </c>
      <c r="L49" s="39" t="inlineStr">
        <is>
          <t>郑士旺</t>
        </is>
      </c>
      <c r="M49" s="39" t="inlineStr">
        <is>
          <t>已完成</t>
        </is>
      </c>
      <c r="N49" s="105" t="n">
        <v>46230</v>
      </c>
      <c r="O49" s="105" t="n">
        <v>46241</v>
      </c>
      <c r="P49" s="39" t="inlineStr">
        <is>
          <t>石军磊、刘凯</t>
        </is>
      </c>
      <c r="Q49" s="39" t="inlineStr">
        <is>
          <t>已完成</t>
        </is>
      </c>
      <c r="R49" s="105" t="n">
        <v>46307</v>
      </c>
      <c r="S49" s="105" t="n">
        <v>46339</v>
      </c>
      <c r="T49" s="39" t="inlineStr">
        <is>
          <t>贺航</t>
        </is>
      </c>
      <c r="U49" s="39" t="inlineStr">
        <is>
          <t>已完成</t>
        </is>
      </c>
      <c r="V49" s="105" t="n">
        <v>46307</v>
      </c>
      <c r="W49" s="105" t="n">
        <v>46339</v>
      </c>
      <c r="X49" s="39" t="inlineStr">
        <is>
          <t>袁丽荣</t>
        </is>
      </c>
      <c r="Y49" s="39" t="inlineStr">
        <is>
          <t>已完成</t>
        </is>
      </c>
      <c r="Z49" s="105" t="n">
        <v>46342</v>
      </c>
      <c r="AA49" s="105" t="n">
        <v>46353</v>
      </c>
      <c r="AB49" s="71">
        <f>(IF(M49="已完成",1,IF(M49="进行中",0.5,0))*15%+IF(Q49="已完成",1,IF(Q49="进行中",0.5,0))*35%+IF(U49="已完成",1,IF(U49="进行中",0.5,0))*30%+IF(Y49="已完成",1,IF(Y49="进行中",0.5,0))*20%)</f>
        <v/>
      </c>
      <c r="AC49" s="39">
        <f>IF(G49="已完成","正常",IF(OR(G49="暂停",G49="挂起"),"暂停",IF(J49="","日期缺失",IF(J49&lt;'项目驾驶舱'!$B$3,"已延期",IF(J49&lt;='项目驾驶舱'!$B$3+7,"临近到期","正常")))))</f>
        <v/>
      </c>
      <c r="AD49" s="39" t="inlineStr"/>
      <c r="AE49" s="40" t="inlineStr"/>
    </row>
    <row r="50" hidden="1" ht="17" customHeight="1" s="1">
      <c r="A50" s="37" t="inlineStr">
        <is>
          <t>T047</t>
        </is>
      </c>
      <c r="B50" s="39" t="inlineStr">
        <is>
          <t>网上营业厅</t>
        </is>
      </c>
      <c r="C50" s="39" t="inlineStr">
        <is>
          <t>船舶预到（外贸）</t>
        </is>
      </c>
      <c r="D50" s="39" t="inlineStr">
        <is>
          <t>退回船舶预到（外贸）</t>
        </is>
      </c>
      <c r="E50" s="39" t="inlineStr">
        <is>
          <t>/</t>
        </is>
      </c>
      <c r="F50" s="39" t="inlineStr">
        <is>
          <t>第二批次</t>
        </is>
      </c>
      <c r="G50" s="39">
        <f>IF(OR(M50="挂起",M50="暂停",Q50="挂起",Q50="暂停",U50="挂起",U50="暂停",Y50="挂起",Y50="暂停"),"暂停","未开始")</f>
        <v/>
      </c>
      <c r="H50" s="39">
        <f>IF(L50&lt;&gt;"",L50,IF(P50&lt;&gt;"",P50,IF(T50&lt;&gt;"",T50,X50)))</f>
        <v/>
      </c>
      <c r="I50" s="105">
        <f>IF(COUNT(N50,R50,V50,Z50)=0,"",MIN(N50,R50,V50,Z50))</f>
        <v/>
      </c>
      <c r="J50" s="105">
        <f>IF(ISNUMBER(K50),K50,IF(COUNT(O50,S50,W50,AA50)=0,"",MAX(O50,S50,W50,AA50)))</f>
        <v/>
      </c>
      <c r="K50" s="105" t="n"/>
      <c r="L50" s="39" t="inlineStr">
        <is>
          <t>郑士旺</t>
        </is>
      </c>
      <c r="M50" s="39" t="inlineStr">
        <is>
          <t>未开始</t>
        </is>
      </c>
      <c r="N50" s="105" t="n">
        <v>46230</v>
      </c>
      <c r="O50" s="105" t="n">
        <v>46241</v>
      </c>
      <c r="P50" s="39" t="inlineStr">
        <is>
          <t>石军磊、刘凯</t>
        </is>
      </c>
      <c r="Q50" s="39" t="inlineStr">
        <is>
          <t>未开始</t>
        </is>
      </c>
      <c r="R50" s="105" t="n">
        <v>46307</v>
      </c>
      <c r="S50" s="105" t="n">
        <v>46339</v>
      </c>
      <c r="T50" s="39" t="inlineStr">
        <is>
          <t>贺航</t>
        </is>
      </c>
      <c r="U50" s="39" t="inlineStr">
        <is>
          <t>未开始</t>
        </is>
      </c>
      <c r="V50" s="105" t="n">
        <v>46307</v>
      </c>
      <c r="W50" s="105" t="n">
        <v>46339</v>
      </c>
      <c r="X50" s="39" t="inlineStr">
        <is>
          <t>袁丽荣</t>
        </is>
      </c>
      <c r="Y50" s="39" t="inlineStr">
        <is>
          <t>未开始</t>
        </is>
      </c>
      <c r="Z50" s="105" t="n">
        <v>46342</v>
      </c>
      <c r="AA50" s="105" t="n">
        <v>46353</v>
      </c>
      <c r="AB50" s="71">
        <f>(IF(M50="已完成",1,IF(M50="进行中",0.5,0))*15%+IF(Q50="已完成",1,IF(Q50="进行中",0.5,0))*35%+IF(U50="已完成",1,IF(U50="进行中",0.5,0))*30%+IF(Y50="已完成",1,IF(Y50="进行中",0.5,0))*20%)</f>
        <v/>
      </c>
      <c r="AC50" s="39">
        <f>IF(G50="已完成","正常",IF(OR(G50="暂停",G50="挂起"),"暂停",IF(J50="","日期缺失",IF(J50&lt;'项目驾驶舱'!$B$3,"已延期",IF(J50&lt;='项目驾驶舱'!$B$3+7,"临近到期","正常")))))</f>
        <v/>
      </c>
      <c r="AD50" s="39" t="inlineStr"/>
      <c r="AE50" s="40" t="inlineStr"/>
    </row>
    <row r="51" hidden="1" ht="17" customHeight="1" s="1">
      <c r="A51" s="37" t="inlineStr">
        <is>
          <t>T048</t>
        </is>
      </c>
      <c r="B51" s="39" t="inlineStr">
        <is>
          <t>网上营业厅</t>
        </is>
      </c>
      <c r="C51" s="39" t="inlineStr">
        <is>
          <t>船舶预到（内贸）</t>
        </is>
      </c>
      <c r="D51" s="39" t="inlineStr">
        <is>
          <t>退回船舶预到（外贸）</t>
        </is>
      </c>
      <c r="E51" s="39" t="inlineStr">
        <is>
          <t>/</t>
        </is>
      </c>
      <c r="F51" s="39" t="inlineStr">
        <is>
          <t>第二批次</t>
        </is>
      </c>
      <c r="G51" s="39">
        <f>IF(OR(M51="挂起",M51="暂停",Q51="挂起",Q51="暂停",U51="挂起",U51="暂停",Y51="挂起",Y51="暂停"),"暂停","未开始")</f>
        <v/>
      </c>
      <c r="H51" s="39">
        <f>IF(L51&lt;&gt;"",L51,IF(P51&lt;&gt;"",P51,IF(T51&lt;&gt;"",T51,X51)))</f>
        <v/>
      </c>
      <c r="I51" s="105">
        <f>IF(COUNT(N51,R51,V51,Z51)=0,"",MIN(N51,R51,V51,Z51))</f>
        <v/>
      </c>
      <c r="J51" s="105">
        <f>IF(ISNUMBER(K51),K51,IF(COUNT(O51,S51,W51,AA51)=0,"",MAX(O51,S51,W51,AA51)))</f>
        <v/>
      </c>
      <c r="K51" s="105" t="n">
        <v>46261</v>
      </c>
      <c r="L51" s="39" t="inlineStr">
        <is>
          <t>郑士旺</t>
        </is>
      </c>
      <c r="M51" s="39" t="inlineStr">
        <is>
          <t>未开始</t>
        </is>
      </c>
      <c r="N51" s="105" t="n">
        <v>46230</v>
      </c>
      <c r="O51" s="105" t="n">
        <v>46241</v>
      </c>
      <c r="P51" s="39" t="inlineStr">
        <is>
          <t>石军磊、刘凯</t>
        </is>
      </c>
      <c r="Q51" s="39" t="inlineStr">
        <is>
          <t>未开始</t>
        </is>
      </c>
      <c r="R51" s="105" t="n">
        <v>46307</v>
      </c>
      <c r="S51" s="105" t="n">
        <v>46339</v>
      </c>
      <c r="T51" s="39" t="inlineStr">
        <is>
          <t>贺航</t>
        </is>
      </c>
      <c r="U51" s="39" t="inlineStr">
        <is>
          <t>未开始</t>
        </is>
      </c>
      <c r="V51" s="105" t="n">
        <v>46307</v>
      </c>
      <c r="W51" s="105" t="n">
        <v>46339</v>
      </c>
      <c r="X51" s="39" t="inlineStr">
        <is>
          <t>袁丽荣</t>
        </is>
      </c>
      <c r="Y51" s="39" t="inlineStr">
        <is>
          <t>未开始</t>
        </is>
      </c>
      <c r="Z51" s="105" t="n">
        <v>46342</v>
      </c>
      <c r="AA51" s="105" t="n">
        <v>46353</v>
      </c>
      <c r="AB51" s="71">
        <f>(IF(M51="已完成",1,IF(M51="进行中",0.5,0))*15%+IF(Q51="已完成",1,IF(Q51="进行中",0.5,0))*35%+IF(U51="已完成",1,IF(U51="进行中",0.5,0))*30%+IF(Y51="已完成",1,IF(Y51="进行中",0.5,0))*20%)</f>
        <v/>
      </c>
      <c r="AC51" s="39">
        <f>IF(G51="已完成","正常",IF(OR(G51="暂停",G51="挂起"),"暂停",IF(J51="","日期缺失",IF(J51&lt;'项目驾驶舱'!$B$3,"已延期",IF(J51&lt;='项目驾驶舱'!$B$3+7,"临近到期","正常")))))</f>
        <v/>
      </c>
      <c r="AD51" s="39" t="inlineStr"/>
      <c r="AE51" s="40" t="inlineStr"/>
    </row>
    <row r="52" hidden="1" ht="17" customHeight="1" s="1">
      <c r="A52" s="37" t="inlineStr">
        <is>
          <t>T049</t>
        </is>
      </c>
      <c r="B52" s="39" t="inlineStr">
        <is>
          <t>网上营业厅</t>
        </is>
      </c>
      <c r="C52" s="39" t="inlineStr">
        <is>
          <t>采样申请（外贸）</t>
        </is>
      </c>
      <c r="D52" s="39" t="inlineStr">
        <is>
          <t>申请采样申请（外贸）</t>
        </is>
      </c>
      <c r="E52" s="39" t="inlineStr">
        <is>
          <t>/</t>
        </is>
      </c>
      <c r="F52" s="39" t="inlineStr">
        <is>
          <t>第二批次</t>
        </is>
      </c>
      <c r="G52" s="39">
        <f>IF(OR(M52="挂起",M52="暂停",Q52="挂起",Q52="暂停",U52="挂起",U52="暂停",Y52="挂起",Y52="暂停"),"暂停","已完成")</f>
        <v/>
      </c>
      <c r="H52" s="39">
        <f>IF(L52&lt;&gt;"",L52,IF(P52&lt;&gt;"",P52,IF(T52&lt;&gt;"",T52,X52)))</f>
        <v/>
      </c>
      <c r="I52" s="105">
        <f>IF(COUNT(N52,R52,V52,Z52)=0,"",MIN(N52,R52,V52,Z52))</f>
        <v/>
      </c>
      <c r="J52" s="105">
        <f>IF(ISNUMBER(K52),K52,IF(COUNT(O52,S52,W52,AA52)=0,"",MAX(O52,S52,W52,AA52)))</f>
        <v/>
      </c>
      <c r="K52" s="105" t="n">
        <v>46261</v>
      </c>
      <c r="L52" s="39" t="inlineStr">
        <is>
          <t>郑士旺</t>
        </is>
      </c>
      <c r="M52" s="39" t="inlineStr">
        <is>
          <t>已完成</t>
        </is>
      </c>
      <c r="N52" s="105" t="n">
        <v>46230</v>
      </c>
      <c r="O52" s="105" t="n">
        <v>46241</v>
      </c>
      <c r="P52" s="39" t="inlineStr">
        <is>
          <t>石军磊、刘凯</t>
        </is>
      </c>
      <c r="Q52" s="39" t="inlineStr">
        <is>
          <t>已完成</t>
        </is>
      </c>
      <c r="R52" s="105" t="n">
        <v>46307</v>
      </c>
      <c r="S52" s="105" t="n">
        <v>46339</v>
      </c>
      <c r="T52" s="39" t="inlineStr">
        <is>
          <t>贺航</t>
        </is>
      </c>
      <c r="U52" s="39" t="inlineStr">
        <is>
          <t>已完成</t>
        </is>
      </c>
      <c r="V52" s="105" t="n">
        <v>46307</v>
      </c>
      <c r="W52" s="105" t="n">
        <v>46339</v>
      </c>
      <c r="X52" s="39" t="inlineStr">
        <is>
          <t>袁丽荣</t>
        </is>
      </c>
      <c r="Y52" s="39" t="inlineStr">
        <is>
          <t>已完成</t>
        </is>
      </c>
      <c r="Z52" s="105" t="n">
        <v>46342</v>
      </c>
      <c r="AA52" s="105" t="n">
        <v>46353</v>
      </c>
      <c r="AB52" s="71">
        <f>(IF(M52="已完成",1,IF(M52="进行中",0.5,0))*15%+IF(Q52="已完成",1,IF(Q52="进行中",0.5,0))*35%+IF(U52="已完成",1,IF(U52="进行中",0.5,0))*30%+IF(Y52="已完成",1,IF(Y52="进行中",0.5,0))*20%)</f>
        <v/>
      </c>
      <c r="AC52" s="39">
        <f>IF(G52="已完成","正常",IF(OR(G52="暂停",G52="挂起"),"暂停",IF(J52="","日期缺失",IF(J52&lt;'项目驾驶舱'!$B$3,"已延期",IF(J52&lt;='项目驾驶舱'!$B$3+7,"临近到期","正常")))))</f>
        <v/>
      </c>
      <c r="AD52" s="39" t="inlineStr"/>
      <c r="AE52" s="40" t="inlineStr"/>
    </row>
    <row r="53" ht="17" customHeight="1" s="1">
      <c r="A53" s="37" t="inlineStr">
        <is>
          <t>T050</t>
        </is>
      </c>
      <c r="B53" s="39" t="inlineStr">
        <is>
          <t>网上营业厅</t>
        </is>
      </c>
      <c r="C53" s="39" t="inlineStr">
        <is>
          <t>船舶轨迹跟踪</t>
        </is>
      </c>
      <c r="D53" s="39" t="inlineStr">
        <is>
          <t>维护需跟踪船舶清单</t>
        </is>
      </c>
      <c r="E53" s="39" t="inlineStr">
        <is>
          <t>/</t>
        </is>
      </c>
      <c r="F53" s="39" t="inlineStr">
        <is>
          <t>第一批次</t>
        </is>
      </c>
      <c r="G53" s="39">
        <f>IF(OR(M53="挂起",M53="暂停",Q53="挂起",Q53="暂停",U53="挂起",U53="暂停",Y53="挂起",Y53="暂停"),"暂停","进行中")</f>
        <v/>
      </c>
      <c r="H53" s="39">
        <f>IF(L53&lt;&gt;"",L53,IF(P53&lt;&gt;"",P53,IF(T53&lt;&gt;"",T53,X53)))</f>
        <v/>
      </c>
      <c r="I53" s="105">
        <f>IF(COUNT(N53,R53,V53,Z53)=0,"",MIN(N53,R53,V53,Z53))</f>
        <v/>
      </c>
      <c r="J53" s="105">
        <f>IF(ISNUMBER(K53),K53,IF(COUNT(O53,S53,W53,AA53)=0,"",MAX(O53,S53,W53,AA53)))</f>
        <v/>
      </c>
      <c r="K53" s="105" t="inlineStr">
        <is>
          <t>/</t>
        </is>
      </c>
      <c r="L53" s="39" t="inlineStr">
        <is>
          <t>郑士旺</t>
        </is>
      </c>
      <c r="M53" s="39" t="inlineStr">
        <is>
          <t>已完成</t>
        </is>
      </c>
      <c r="N53" s="105" t="n">
        <v>46202</v>
      </c>
      <c r="O53" s="105" t="n">
        <v>46206</v>
      </c>
      <c r="P53" s="39" t="inlineStr">
        <is>
          <t>石军磊、常浩</t>
        </is>
      </c>
      <c r="Q53" s="39" t="inlineStr">
        <is>
          <t>已完成</t>
        </is>
      </c>
      <c r="R53" s="105" t="n">
        <v>46209</v>
      </c>
      <c r="S53" s="105" t="n">
        <v>46227</v>
      </c>
      <c r="T53" s="39" t="inlineStr">
        <is>
          <t>贺航、常浩</t>
        </is>
      </c>
      <c r="U53" s="39" t="inlineStr">
        <is>
          <t>已完成</t>
        </is>
      </c>
      <c r="V53" s="105" t="n">
        <v>46209</v>
      </c>
      <c r="W53" s="105" t="n">
        <v>46227</v>
      </c>
      <c r="X53" s="39" t="inlineStr">
        <is>
          <t>袁丽荣</t>
        </is>
      </c>
      <c r="Y53" s="39" t="inlineStr">
        <is>
          <t>进行中</t>
        </is>
      </c>
      <c r="Z53" s="105" t="n">
        <v>46216</v>
      </c>
      <c r="AA53" s="105" t="n">
        <v>46234</v>
      </c>
      <c r="AB53" s="71">
        <f>(IF(M53="已完成",1,IF(M53="进行中",0.5,0))*15%+IF(Q53="已完成",1,IF(Q53="进行中",0.5,0))*35%+IF(U53="已完成",1,IF(U53="进行中",0.5,0))*30%+IF(Y53="已完成",1,IF(Y53="进行中",0.5,0))*20%)</f>
        <v/>
      </c>
      <c r="AC53" s="39">
        <f>IF(G53="已完成","正常",IF(OR(G53="暂停",G53="挂起"),"暂停",IF(J53="","日期缺失",IF(J53&lt;'项目驾驶舱'!$B$3,"已延期",IF(J53&lt;='项目驾驶舱'!$B$3+7,"临近到期","正常")))))</f>
        <v/>
      </c>
      <c r="AD53" s="39" t="inlineStr"/>
      <c r="AE53" s="40" t="inlineStr"/>
    </row>
    <row r="54" ht="17" customHeight="1" s="1">
      <c r="A54" s="37" t="inlineStr">
        <is>
          <t>T051</t>
        </is>
      </c>
      <c r="B54" s="39" t="inlineStr">
        <is>
          <t>网上营业厅</t>
        </is>
      </c>
      <c r="C54" s="39" t="inlineStr">
        <is>
          <t>船舶轨迹跟踪</t>
        </is>
      </c>
      <c r="D54" s="39" t="inlineStr">
        <is>
          <t>根据船舶清单更新第三方系统推送数据船舶清单</t>
        </is>
      </c>
      <c r="E54" s="39" t="inlineStr">
        <is>
          <t>/</t>
        </is>
      </c>
      <c r="F54" s="39" t="inlineStr">
        <is>
          <t>第一批次</t>
        </is>
      </c>
      <c r="G54" s="39">
        <f>IF(OR(M54="挂起",M54="暂停",Q54="挂起",Q54="暂停",U54="挂起",U54="暂停",Y54="挂起",Y54="暂停"),"暂停","进行中")</f>
        <v/>
      </c>
      <c r="H54" s="39">
        <f>IF(L54&lt;&gt;"",L54,IF(P54&lt;&gt;"",P54,IF(T54&lt;&gt;"",T54,X54)))</f>
        <v/>
      </c>
      <c r="I54" s="105">
        <f>IF(COUNT(N54,R54,V54,Z54)=0,"",MIN(N54,R54,V54,Z54))</f>
        <v/>
      </c>
      <c r="J54" s="105">
        <f>IF(ISNUMBER(K54),K54,IF(COUNT(O54,S54,W54,AA54)=0,"",MAX(O54,S54,W54,AA54)))</f>
        <v/>
      </c>
      <c r="K54" s="105" t="n">
        <v>46261</v>
      </c>
      <c r="L54" s="39" t="inlineStr">
        <is>
          <t>郑士旺</t>
        </is>
      </c>
      <c r="M54" s="39" t="inlineStr">
        <is>
          <t>已完成</t>
        </is>
      </c>
      <c r="N54" s="105" t="n">
        <v>46202</v>
      </c>
      <c r="O54" s="105" t="n">
        <v>46206</v>
      </c>
      <c r="P54" s="39" t="inlineStr">
        <is>
          <t>石军磊、常浩</t>
        </is>
      </c>
      <c r="Q54" s="39" t="inlineStr">
        <is>
          <t>已完成</t>
        </is>
      </c>
      <c r="R54" s="105" t="n">
        <v>46209</v>
      </c>
      <c r="S54" s="105" t="n">
        <v>46227</v>
      </c>
      <c r="T54" s="39" t="inlineStr">
        <is>
          <t>贺航、常浩</t>
        </is>
      </c>
      <c r="U54" s="39" t="inlineStr">
        <is>
          <t>已完成</t>
        </is>
      </c>
      <c r="V54" s="105" t="n">
        <v>46209</v>
      </c>
      <c r="W54" s="105" t="n">
        <v>46227</v>
      </c>
      <c r="X54" s="39" t="inlineStr">
        <is>
          <t>袁丽荣</t>
        </is>
      </c>
      <c r="Y54" s="39" t="inlineStr">
        <is>
          <t>进行中</t>
        </is>
      </c>
      <c r="Z54" s="105" t="n">
        <v>46216</v>
      </c>
      <c r="AA54" s="105" t="n">
        <v>46234</v>
      </c>
      <c r="AB54" s="71">
        <f>(IF(M54="已完成",1,IF(M54="进行中",0.5,0))*15%+IF(Q54="已完成",1,IF(Q54="进行中",0.5,0))*35%+IF(U54="已完成",1,IF(U54="进行中",0.5,0))*30%+IF(Y54="已完成",1,IF(Y54="进行中",0.5,0))*20%)</f>
        <v/>
      </c>
      <c r="AC54" s="39">
        <f>IF(G54="已完成","正常",IF(OR(G54="暂停",G54="挂起"),"暂停",IF(J54="","日期缺失",IF(J54&lt;'项目驾驶舱'!$B$3,"已延期",IF(J54&lt;='项目驾驶舱'!$B$3+7,"临近到期","正常")))))</f>
        <v/>
      </c>
      <c r="AD54" s="39" t="inlineStr"/>
      <c r="AE54" s="40" t="inlineStr"/>
    </row>
    <row r="55" ht="17" customHeight="1" s="1">
      <c r="A55" s="37" t="inlineStr">
        <is>
          <t>T052</t>
        </is>
      </c>
      <c r="B55" s="39" t="inlineStr">
        <is>
          <t>网上营业厅</t>
        </is>
      </c>
      <c r="C55" s="39" t="inlineStr">
        <is>
          <t>船舶轨迹跟踪</t>
        </is>
      </c>
      <c r="D55" s="39" t="inlineStr">
        <is>
          <t>船舶轨迹跟踪</t>
        </is>
      </c>
      <c r="E55" s="39" t="inlineStr">
        <is>
          <t>/</t>
        </is>
      </c>
      <c r="F55" s="39" t="inlineStr">
        <is>
          <t>第一批次</t>
        </is>
      </c>
      <c r="G55" s="39">
        <f>IF(OR(M55="挂起",M55="暂停",Q55="挂起",Q55="暂停",U55="挂起",U55="暂停",Y55="挂起",Y55="暂停"),"暂停","进行中")</f>
        <v/>
      </c>
      <c r="H55" s="39">
        <f>IF(L55&lt;&gt;"",L55,IF(P55&lt;&gt;"",P55,IF(T55&lt;&gt;"",T55,X55)))</f>
        <v/>
      </c>
      <c r="I55" s="105">
        <f>IF(COUNT(N55,R55,V55,Z55)=0,"",MIN(N55,R55,V55,Z55))</f>
        <v/>
      </c>
      <c r="J55" s="105">
        <f>IF(ISNUMBER(K55),K55,IF(COUNT(O55,S55,W55,AA55)=0,"",MAX(O55,S55,W55,AA55)))</f>
        <v/>
      </c>
      <c r="K55" s="105" t="n">
        <v>46261</v>
      </c>
      <c r="L55" s="39" t="inlineStr">
        <is>
          <t>郑士旺</t>
        </is>
      </c>
      <c r="M55" s="39" t="inlineStr">
        <is>
          <t>已完成</t>
        </is>
      </c>
      <c r="N55" s="105" t="n">
        <v>46202</v>
      </c>
      <c r="O55" s="105" t="n">
        <v>46206</v>
      </c>
      <c r="P55" s="39" t="inlineStr">
        <is>
          <t>石军磊、常浩</t>
        </is>
      </c>
      <c r="Q55" s="39" t="inlineStr">
        <is>
          <t>已完成</t>
        </is>
      </c>
      <c r="R55" s="105" t="n">
        <v>46209</v>
      </c>
      <c r="S55" s="105" t="n">
        <v>46227</v>
      </c>
      <c r="T55" s="39" t="inlineStr">
        <is>
          <t>贺航、常浩</t>
        </is>
      </c>
      <c r="U55" s="39" t="inlineStr">
        <is>
          <t>已完成</t>
        </is>
      </c>
      <c r="V55" s="105" t="n">
        <v>46209</v>
      </c>
      <c r="W55" s="105" t="n">
        <v>46227</v>
      </c>
      <c r="X55" s="39" t="inlineStr">
        <is>
          <t>袁丽荣</t>
        </is>
      </c>
      <c r="Y55" s="39" t="inlineStr">
        <is>
          <t>进行中</t>
        </is>
      </c>
      <c r="Z55" s="105" t="n">
        <v>46216</v>
      </c>
      <c r="AA55" s="105" t="n">
        <v>46234</v>
      </c>
      <c r="AB55" s="71">
        <f>(IF(M55="已完成",1,IF(M55="进行中",0.5,0))*15%+IF(Q55="已完成",1,IF(Q55="进行中",0.5,0))*35%+IF(U55="已完成",1,IF(U55="进行中",0.5,0))*30%+IF(Y55="已完成",1,IF(Y55="进行中",0.5,0))*20%)</f>
        <v/>
      </c>
      <c r="AC55" s="39">
        <f>IF(G55="已完成","正常",IF(OR(G55="暂停",G55="挂起"),"暂停",IF(J55="","日期缺失",IF(J55&lt;'项目驾驶舱'!$B$3,"已延期",IF(J55&lt;='项目驾驶舱'!$B$3+7,"临近到期","正常")))))</f>
        <v/>
      </c>
      <c r="AD55" s="39" t="inlineStr"/>
      <c r="AE55" s="40" t="inlineStr"/>
    </row>
    <row r="56" hidden="1" ht="34" customHeight="1" s="1">
      <c r="A56" s="37" t="inlineStr">
        <is>
          <t>T053</t>
        </is>
      </c>
      <c r="B56" s="39" t="inlineStr">
        <is>
          <t>网上营业厅</t>
        </is>
      </c>
      <c r="C56" s="39" t="inlineStr">
        <is>
          <t>协同视览</t>
        </is>
      </c>
      <c r="D56" s="39" t="inlineStr">
        <is>
          <t>接入港口侧视频监控</t>
        </is>
      </c>
      <c r="E56" s="39" t="inlineStr">
        <is>
          <t>/</t>
        </is>
      </c>
      <c r="F56" s="39" t="inlineStr">
        <is>
          <t>第二批次</t>
        </is>
      </c>
      <c r="G56" s="39">
        <f>IF(OR(M56="挂起",M56="暂停",Q56="挂起",Q56="暂停",U56="挂起",U56="暂停",Y56="挂起",Y56="暂停"),"暂停","未开始")</f>
        <v/>
      </c>
      <c r="H56" s="39">
        <f>IF(L56&lt;&gt;"",L56,IF(P56&lt;&gt;"",P56,IF(T56&lt;&gt;"",T56,X56)))</f>
        <v/>
      </c>
      <c r="I56" s="105">
        <f>IF(COUNT(N56,R56,V56,Z56)=0,"",MIN(N56,R56,V56,Z56))</f>
        <v/>
      </c>
      <c r="J56" s="105">
        <f>IF(ISNUMBER(K56),K56,IF(COUNT(O56,S56,W56,AA56)=0,"",MAX(O56,S56,W56,AA56)))</f>
        <v/>
      </c>
      <c r="K56" s="105" t="n">
        <v>46224</v>
      </c>
      <c r="L56" s="39" t="inlineStr">
        <is>
          <t>郑士旺</t>
        </is>
      </c>
      <c r="M56" s="39" t="inlineStr">
        <is>
          <t>未开始</t>
        </is>
      </c>
      <c r="N56" s="105" t="n">
        <v>46223</v>
      </c>
      <c r="O56" s="105" t="n">
        <v>46227</v>
      </c>
      <c r="P56" s="39" t="inlineStr">
        <is>
          <t>石军磊、刘凯</t>
        </is>
      </c>
      <c r="Q56" s="39" t="inlineStr">
        <is>
          <t>未开始</t>
        </is>
      </c>
      <c r="R56" s="105" t="n">
        <v>46272</v>
      </c>
      <c r="S56" s="105" t="n">
        <v>46304</v>
      </c>
      <c r="T56" s="39" t="inlineStr">
        <is>
          <t>贺航</t>
        </is>
      </c>
      <c r="U56" s="39" t="inlineStr">
        <is>
          <t>未开始</t>
        </is>
      </c>
      <c r="V56" s="105" t="n">
        <v>46272</v>
      </c>
      <c r="W56" s="105" t="n">
        <v>46304</v>
      </c>
      <c r="X56" s="39" t="inlineStr">
        <is>
          <t>袁丽荣</t>
        </is>
      </c>
      <c r="Y56" s="39" t="inlineStr">
        <is>
          <t>未开始</t>
        </is>
      </c>
      <c r="Z56" s="105" t="n">
        <v>46307</v>
      </c>
      <c r="AA56" s="105" t="n">
        <v>46318</v>
      </c>
      <c r="AB56" s="71">
        <f>(IF(M56="已完成",1,IF(M56="进行中",0.5,0))*15%+IF(Q56="已完成",1,IF(Q56="进行中",0.5,0))*35%+IF(U56="已完成",1,IF(U56="进行中",0.5,0))*30%+IF(Y56="已完成",1,IF(Y56="进行中",0.5,0))*20%)</f>
        <v/>
      </c>
      <c r="AC56" s="39">
        <f>IF(G56="已完成","正常",IF(OR(G56="暂停",G56="挂起"),"暂停",IF(J56="","日期缺失",IF(J56&lt;'项目驾驶舱'!$B$3,"已延期",IF(J56&lt;='项目驾驶舱'!$B$3+7,"临近到期","正常")))))</f>
        <v/>
      </c>
      <c r="AD56" s="39" t="inlineStr"/>
      <c r="AE56" s="40" t="inlineStr"/>
    </row>
    <row r="57" hidden="1" ht="34" customHeight="1" s="1">
      <c r="A57" s="37" t="inlineStr">
        <is>
          <t>T054</t>
        </is>
      </c>
      <c r="B57" s="39" t="inlineStr">
        <is>
          <t>网上营业厅</t>
        </is>
      </c>
      <c r="C57" s="39" t="inlineStr">
        <is>
          <t>协同视览</t>
        </is>
      </c>
      <c r="D57" s="39" t="inlineStr">
        <is>
          <t>视频查看权限申请</t>
        </is>
      </c>
      <c r="E57" s="39" t="inlineStr">
        <is>
          <t>/</t>
        </is>
      </c>
      <c r="F57" s="39" t="inlineStr">
        <is>
          <t>第二批次</t>
        </is>
      </c>
      <c r="G57" s="39">
        <f>IF(OR(M57="挂起",M57="暂停",Q57="挂起",Q57="暂停",U57="挂起",U57="暂停",Y57="挂起",Y57="暂停"),"暂停","未开始")</f>
        <v/>
      </c>
      <c r="H57" s="39">
        <f>IF(L57&lt;&gt;"",L57,IF(P57&lt;&gt;"",P57,IF(T57&lt;&gt;"",T57,X57)))</f>
        <v/>
      </c>
      <c r="I57" s="105">
        <f>IF(COUNT(N57,R57,V57,Z57)=0,"",MIN(N57,R57,V57,Z57))</f>
        <v/>
      </c>
      <c r="J57" s="105">
        <f>IF(ISNUMBER(K57),K57,IF(COUNT(O57,S57,W57,AA57)=0,"",MAX(O57,S57,W57,AA57)))</f>
        <v/>
      </c>
      <c r="K57" s="105" t="n">
        <v>46224</v>
      </c>
      <c r="L57" s="39" t="inlineStr">
        <is>
          <t>郑士旺</t>
        </is>
      </c>
      <c r="M57" s="39" t="inlineStr">
        <is>
          <t>未开始</t>
        </is>
      </c>
      <c r="N57" s="105" t="n">
        <v>46223</v>
      </c>
      <c r="O57" s="105" t="n">
        <v>46227</v>
      </c>
      <c r="P57" s="39" t="inlineStr">
        <is>
          <t>石军磊、刘凯</t>
        </is>
      </c>
      <c r="Q57" s="39" t="inlineStr">
        <is>
          <t>未开始</t>
        </is>
      </c>
      <c r="R57" s="105" t="n">
        <v>46272</v>
      </c>
      <c r="S57" s="105" t="n">
        <v>46304</v>
      </c>
      <c r="T57" s="39" t="inlineStr">
        <is>
          <t>贺航</t>
        </is>
      </c>
      <c r="U57" s="39" t="inlineStr">
        <is>
          <t>未开始</t>
        </is>
      </c>
      <c r="V57" s="105" t="n">
        <v>46272</v>
      </c>
      <c r="W57" s="105" t="n">
        <v>46304</v>
      </c>
      <c r="X57" s="39" t="inlineStr">
        <is>
          <t>袁丽荣</t>
        </is>
      </c>
      <c r="Y57" s="39" t="inlineStr">
        <is>
          <t>未开始</t>
        </is>
      </c>
      <c r="Z57" s="105" t="n">
        <v>46307</v>
      </c>
      <c r="AA57" s="105" t="n">
        <v>46318</v>
      </c>
      <c r="AB57" s="71">
        <f>(IF(M57="已完成",1,IF(M57="进行中",0.5,0))*15%+IF(Q57="已完成",1,IF(Q57="进行中",0.5,0))*35%+IF(U57="已完成",1,IF(U57="进行中",0.5,0))*30%+IF(Y57="已完成",1,IF(Y57="进行中",0.5,0))*20%)</f>
        <v/>
      </c>
      <c r="AC57" s="39">
        <f>IF(G57="已完成","正常",IF(OR(G57="暂停",G57="挂起"),"暂停",IF(J57="","日期缺失",IF(J57&lt;'项目驾驶舱'!$B$3,"已延期",IF(J57&lt;='项目驾驶舱'!$B$3+7,"临近到期","正常")))))</f>
        <v/>
      </c>
      <c r="AD57" s="39" t="inlineStr"/>
      <c r="AE57" s="40" t="inlineStr"/>
    </row>
    <row r="58" hidden="1" ht="34" customHeight="1" s="1">
      <c r="A58" s="37" t="inlineStr">
        <is>
          <t>T055</t>
        </is>
      </c>
      <c r="B58" s="39" t="inlineStr">
        <is>
          <t>网上营业厅</t>
        </is>
      </c>
      <c r="C58" s="39" t="inlineStr">
        <is>
          <t>协同视览</t>
        </is>
      </c>
      <c r="D58" s="39" t="inlineStr">
        <is>
          <t>视频查看权限审批</t>
        </is>
      </c>
      <c r="E58" s="39" t="inlineStr">
        <is>
          <t>/</t>
        </is>
      </c>
      <c r="F58" s="39" t="inlineStr">
        <is>
          <t>第二批次</t>
        </is>
      </c>
      <c r="G58" s="39">
        <f>IF(OR(M58="挂起",M58="暂停",Q58="挂起",Q58="暂停",U58="挂起",U58="暂停",Y58="挂起",Y58="暂停"),"暂停","未开始")</f>
        <v/>
      </c>
      <c r="H58" s="39">
        <f>IF(L58&lt;&gt;"",L58,IF(P58&lt;&gt;"",P58,IF(T58&lt;&gt;"",T58,X58)))</f>
        <v/>
      </c>
      <c r="I58" s="105">
        <f>IF(COUNT(N58,R58,V58,Z58)=0,"",MIN(N58,R58,V58,Z58))</f>
        <v/>
      </c>
      <c r="J58" s="105">
        <f>IF(ISNUMBER(K58),K58,IF(COUNT(O58,S58,W58,AA58)=0,"",MAX(O58,S58,W58,AA58)))</f>
        <v/>
      </c>
      <c r="K58" s="105" t="n">
        <v>46224</v>
      </c>
      <c r="L58" s="39" t="inlineStr">
        <is>
          <t>郑士旺</t>
        </is>
      </c>
      <c r="M58" s="39" t="inlineStr">
        <is>
          <t>未开始</t>
        </is>
      </c>
      <c r="N58" s="105" t="n">
        <v>46223</v>
      </c>
      <c r="O58" s="105" t="n">
        <v>46227</v>
      </c>
      <c r="P58" s="39" t="inlineStr">
        <is>
          <t>石军磊、刘凯</t>
        </is>
      </c>
      <c r="Q58" s="39" t="inlineStr">
        <is>
          <t>未开始</t>
        </is>
      </c>
      <c r="R58" s="105" t="n">
        <v>46272</v>
      </c>
      <c r="S58" s="105" t="n">
        <v>46304</v>
      </c>
      <c r="T58" s="39" t="inlineStr">
        <is>
          <t>贺航</t>
        </is>
      </c>
      <c r="U58" s="39" t="inlineStr">
        <is>
          <t>未开始</t>
        </is>
      </c>
      <c r="V58" s="105" t="n">
        <v>46272</v>
      </c>
      <c r="W58" s="105" t="n">
        <v>46304</v>
      </c>
      <c r="X58" s="39" t="inlineStr">
        <is>
          <t>袁丽荣</t>
        </is>
      </c>
      <c r="Y58" s="39" t="inlineStr">
        <is>
          <t>未开始</t>
        </is>
      </c>
      <c r="Z58" s="105" t="n">
        <v>46307</v>
      </c>
      <c r="AA58" s="105" t="n">
        <v>46318</v>
      </c>
      <c r="AB58" s="71">
        <f>(IF(M58="已完成",1,IF(M58="进行中",0.5,0))*15%+IF(Q58="已完成",1,IF(Q58="进行中",0.5,0))*35%+IF(U58="已完成",1,IF(U58="进行中",0.5,0))*30%+IF(Y58="已完成",1,IF(Y58="进行中",0.5,0))*20%)</f>
        <v/>
      </c>
      <c r="AC58" s="39">
        <f>IF(G58="已完成","正常",IF(OR(G58="暂停",G58="挂起"),"暂停",IF(J58="","日期缺失",IF(J58&lt;'项目驾驶舱'!$B$3,"已延期",IF(J58&lt;='项目驾驶舱'!$B$3+7,"临近到期","正常")))))</f>
        <v/>
      </c>
      <c r="AD58" s="39" t="inlineStr"/>
      <c r="AE58" s="40" t="inlineStr"/>
    </row>
    <row r="59" hidden="1" ht="17" customHeight="1" s="1">
      <c r="A59" s="37" t="inlineStr">
        <is>
          <t>T056</t>
        </is>
      </c>
      <c r="B59" s="39" t="inlineStr">
        <is>
          <t>网上营业厅</t>
        </is>
      </c>
      <c r="C59" s="39" t="inlineStr">
        <is>
          <t>协同视览</t>
        </is>
      </c>
      <c r="D59" s="39" t="inlineStr">
        <is>
          <t>视频查看权限有效期控制</t>
        </is>
      </c>
      <c r="E59" s="39" t="inlineStr">
        <is>
          <t>/</t>
        </is>
      </c>
      <c r="F59" s="39" t="inlineStr">
        <is>
          <t>第二批次</t>
        </is>
      </c>
      <c r="G59" s="39">
        <f>IF(OR(M59="挂起",M59="暂停",Q59="挂起",Q59="暂停",U59="挂起",U59="暂停",Y59="挂起",Y59="暂停"),"暂停","未开始")</f>
        <v/>
      </c>
      <c r="H59" s="39">
        <f>IF(L59&lt;&gt;"",L59,IF(P59&lt;&gt;"",P59,IF(T59&lt;&gt;"",T59,X59)))</f>
        <v/>
      </c>
      <c r="I59" s="105">
        <f>IF(COUNT(N59,R59,V59,Z59)=0,"",MIN(N59,R59,V59,Z59))</f>
        <v/>
      </c>
      <c r="J59" s="105">
        <f>IF(ISNUMBER(K59),K59,IF(COUNT(O59,S59,W59,AA59)=0,"",MAX(O59,S59,W59,AA59)))</f>
        <v/>
      </c>
      <c r="K59" s="105" t="n"/>
      <c r="L59" s="39" t="inlineStr">
        <is>
          <t>郑士旺</t>
        </is>
      </c>
      <c r="M59" s="39" t="inlineStr">
        <is>
          <t>未开始</t>
        </is>
      </c>
      <c r="N59" s="105" t="n">
        <v>46223</v>
      </c>
      <c r="O59" s="105" t="n">
        <v>46227</v>
      </c>
      <c r="P59" s="39" t="inlineStr">
        <is>
          <t>石军磊、刘凯</t>
        </is>
      </c>
      <c r="Q59" s="39" t="inlineStr">
        <is>
          <t>未开始</t>
        </is>
      </c>
      <c r="R59" s="105" t="n">
        <v>46272</v>
      </c>
      <c r="S59" s="105" t="n">
        <v>46304</v>
      </c>
      <c r="T59" s="39" t="inlineStr">
        <is>
          <t>贺航</t>
        </is>
      </c>
      <c r="U59" s="39" t="inlineStr">
        <is>
          <t>未开始</t>
        </is>
      </c>
      <c r="V59" s="105" t="n">
        <v>46272</v>
      </c>
      <c r="W59" s="105" t="n">
        <v>46304</v>
      </c>
      <c r="X59" s="39" t="inlineStr">
        <is>
          <t>袁丽荣</t>
        </is>
      </c>
      <c r="Y59" s="39" t="inlineStr">
        <is>
          <t>未开始</t>
        </is>
      </c>
      <c r="Z59" s="105" t="n">
        <v>46307</v>
      </c>
      <c r="AA59" s="105" t="n">
        <v>46318</v>
      </c>
      <c r="AB59" s="71">
        <f>(IF(M59="已完成",1,IF(M59="进行中",0.5,0))*15%+IF(Q59="已完成",1,IF(Q59="进行中",0.5,0))*35%+IF(U59="已完成",1,IF(U59="进行中",0.5,0))*30%+IF(Y59="已完成",1,IF(Y59="进行中",0.5,0))*20%)</f>
        <v/>
      </c>
      <c r="AC59" s="39">
        <f>IF(G59="已完成","正常",IF(OR(G59="暂停",G59="挂起"),"暂停",IF(J59="","日期缺失",IF(J59&lt;'项目驾驶舱'!$B$3,"已延期",IF(J59&lt;='项目驾驶舱'!$B$3+7,"临近到期","正常")))))</f>
        <v/>
      </c>
      <c r="AD59" s="39" t="inlineStr"/>
      <c r="AE59" s="40" t="inlineStr"/>
    </row>
    <row r="60" hidden="1" ht="17" customHeight="1" s="1">
      <c r="A60" s="37" t="inlineStr">
        <is>
          <t>T057</t>
        </is>
      </c>
      <c r="B60" s="39" t="inlineStr">
        <is>
          <t>网上营业厅</t>
        </is>
      </c>
      <c r="C60" s="39" t="inlineStr">
        <is>
          <t>协同视览</t>
        </is>
      </c>
      <c r="D60" s="39" t="inlineStr">
        <is>
          <t>外网PC端视频监控查询</t>
        </is>
      </c>
      <c r="E60" s="39" t="inlineStr">
        <is>
          <t>/</t>
        </is>
      </c>
      <c r="F60" s="39" t="inlineStr">
        <is>
          <t>第二批次</t>
        </is>
      </c>
      <c r="G60" s="39">
        <f>IF(OR(M60="挂起",M60="暂停",Q60="挂起",Q60="暂停",U60="挂起",U60="暂停",Y60="挂起",Y60="暂停"),"暂停","未开始")</f>
        <v/>
      </c>
      <c r="H60" s="39">
        <f>IF(L60&lt;&gt;"",L60,IF(P60&lt;&gt;"",P60,IF(T60&lt;&gt;"",T60,X60)))</f>
        <v/>
      </c>
      <c r="I60" s="105">
        <f>IF(COUNT(N60,R60,V60,Z60)=0,"",MIN(N60,R60,V60,Z60))</f>
        <v/>
      </c>
      <c r="J60" s="105">
        <f>IF(ISNUMBER(K60),K60,IF(COUNT(O60,S60,W60,AA60)=0,"",MAX(O60,S60,W60,AA60)))</f>
        <v/>
      </c>
      <c r="K60" s="105" t="n">
        <v>46224</v>
      </c>
      <c r="L60" s="39" t="inlineStr">
        <is>
          <t>郑士旺</t>
        </is>
      </c>
      <c r="M60" s="39" t="inlineStr">
        <is>
          <t>未开始</t>
        </is>
      </c>
      <c r="N60" s="105" t="n">
        <v>46223</v>
      </c>
      <c r="O60" s="105" t="n">
        <v>46227</v>
      </c>
      <c r="P60" s="39" t="inlineStr">
        <is>
          <t>石军磊、刘凯</t>
        </is>
      </c>
      <c r="Q60" s="39" t="inlineStr">
        <is>
          <t>未开始</t>
        </is>
      </c>
      <c r="R60" s="105" t="n">
        <v>46272</v>
      </c>
      <c r="S60" s="105" t="n">
        <v>46304</v>
      </c>
      <c r="T60" s="39" t="inlineStr">
        <is>
          <t>贺航</t>
        </is>
      </c>
      <c r="U60" s="39" t="inlineStr">
        <is>
          <t>未开始</t>
        </is>
      </c>
      <c r="V60" s="105" t="n">
        <v>46272</v>
      </c>
      <c r="W60" s="105" t="n">
        <v>46304</v>
      </c>
      <c r="X60" s="39" t="inlineStr">
        <is>
          <t>袁丽荣</t>
        </is>
      </c>
      <c r="Y60" s="39" t="inlineStr">
        <is>
          <t>未开始</t>
        </is>
      </c>
      <c r="Z60" s="105" t="n">
        <v>46307</v>
      </c>
      <c r="AA60" s="105" t="n">
        <v>46318</v>
      </c>
      <c r="AB60" s="71">
        <f>(IF(M60="已完成",1,IF(M60="进行中",0.5,0))*15%+IF(Q60="已完成",1,IF(Q60="进行中",0.5,0))*35%+IF(U60="已完成",1,IF(U60="进行中",0.5,0))*30%+IF(Y60="已完成",1,IF(Y60="进行中",0.5,0))*20%)</f>
        <v/>
      </c>
      <c r="AC60" s="39">
        <f>IF(G60="已完成","正常",IF(OR(G60="暂停",G60="挂起"),"暂停",IF(J60="","日期缺失",IF(J60&lt;'项目驾驶舱'!$B$3,"已延期",IF(J60&lt;='项目驾驶舱'!$B$3+7,"临近到期","正常")))))</f>
        <v/>
      </c>
      <c r="AD60" s="39" t="inlineStr"/>
      <c r="AE60" s="40" t="inlineStr"/>
    </row>
    <row r="61" hidden="1" ht="17" customHeight="1" s="1">
      <c r="A61" s="37" t="inlineStr">
        <is>
          <t>T058</t>
        </is>
      </c>
      <c r="B61" s="39" t="inlineStr">
        <is>
          <t>网上营业厅</t>
        </is>
      </c>
      <c r="C61" s="39" t="inlineStr">
        <is>
          <t>装船计划编制及推送</t>
        </is>
      </c>
      <c r="D61" s="39" t="inlineStr">
        <is>
          <t>OCR识别及编辑</t>
        </is>
      </c>
      <c r="E61" s="39" t="inlineStr">
        <is>
          <t>/</t>
        </is>
      </c>
      <c r="F61" s="39" t="inlineStr">
        <is>
          <t>第一批次</t>
        </is>
      </c>
      <c r="G61" s="39">
        <f>IF(OR(M61="挂起",M61="暂停",Q61="挂起",Q61="暂停",U61="挂起",U61="暂停",Y61="挂起",Y61="暂停"),"暂停","已完成")</f>
        <v/>
      </c>
      <c r="H61" s="39">
        <f>IF(L61&lt;&gt;"",L61,IF(P61&lt;&gt;"",P61,IF(T61&lt;&gt;"",T61,X61)))</f>
        <v/>
      </c>
      <c r="I61" s="105">
        <f>IF(COUNT(N61,R61,V61,Z61)=0,"",MIN(N61,R61,V61,Z61))</f>
        <v/>
      </c>
      <c r="J61" s="105">
        <f>IF(ISNUMBER(K61),K61,IF(COUNT(O61,S61,W61,AA61)=0,"",MAX(O61,S61,W61,AA61)))</f>
        <v/>
      </c>
      <c r="K61" s="105" t="n">
        <v>46224</v>
      </c>
      <c r="L61" s="39" t="inlineStr">
        <is>
          <t>郑士旺</t>
        </is>
      </c>
      <c r="M61" s="39" t="inlineStr">
        <is>
          <t>已完成</t>
        </is>
      </c>
      <c r="N61" s="105" t="inlineStr">
        <is>
          <t>/</t>
        </is>
      </c>
      <c r="O61" s="105" t="inlineStr">
        <is>
          <t>/</t>
        </is>
      </c>
      <c r="P61" s="39" t="inlineStr">
        <is>
          <t>石军磊、刘凯</t>
        </is>
      </c>
      <c r="Q61" s="39" t="inlineStr">
        <is>
          <t>已完成</t>
        </is>
      </c>
      <c r="R61" s="105" t="n">
        <v>46195</v>
      </c>
      <c r="S61" s="105" t="n">
        <v>46206</v>
      </c>
      <c r="T61" s="39" t="inlineStr">
        <is>
          <t>贺航</t>
        </is>
      </c>
      <c r="U61" s="39" t="inlineStr">
        <is>
          <t>已完成</t>
        </is>
      </c>
      <c r="V61" s="105" t="n">
        <v>46195</v>
      </c>
      <c r="W61" s="105" t="n">
        <v>46206</v>
      </c>
      <c r="X61" s="39" t="inlineStr">
        <is>
          <t>袁丽荣</t>
        </is>
      </c>
      <c r="Y61" s="39" t="inlineStr">
        <is>
          <t>已完成</t>
        </is>
      </c>
      <c r="Z61" s="105" t="n">
        <v>46202</v>
      </c>
      <c r="AA61" s="105" t="n">
        <v>46213</v>
      </c>
      <c r="AB61" s="71">
        <f>(IF(M61="已完成",1,IF(M61="进行中",0.5,0))*15%+IF(Q61="已完成",1,IF(Q61="进行中",0.5,0))*35%+IF(U61="已完成",1,IF(U61="进行中",0.5,0))*30%+IF(Y61="已完成",1,IF(Y61="进行中",0.5,0))*20%)</f>
        <v/>
      </c>
      <c r="AC61" s="39">
        <f>IF(G61="已完成","正常",IF(OR(G61="暂停",G61="挂起"),"暂停",IF(J61="","日期缺失",IF(J61&lt;'项目驾驶舱'!$B$3,"已延期",IF(J61&lt;='项目驾驶舱'!$B$3+7,"临近到期","正常")))))</f>
        <v/>
      </c>
      <c r="AD61" s="39" t="inlineStr"/>
      <c r="AE61" s="40" t="inlineStr"/>
    </row>
    <row r="62" hidden="1" ht="17" customHeight="1" s="1">
      <c r="A62" s="37" t="inlineStr">
        <is>
          <t>T059</t>
        </is>
      </c>
      <c r="B62" s="39" t="inlineStr">
        <is>
          <t>网上营业厅</t>
        </is>
      </c>
      <c r="C62" s="39" t="inlineStr">
        <is>
          <t>优化装车作业信息录入</t>
        </is>
      </c>
      <c r="D62" s="39" t="inlineStr">
        <is>
          <t>优化新增装车作业信息</t>
        </is>
      </c>
      <c r="E62" s="39" t="inlineStr">
        <is>
          <t>/</t>
        </is>
      </c>
      <c r="F62" s="39" t="inlineStr">
        <is>
          <t>第一批次</t>
        </is>
      </c>
      <c r="G62" s="39">
        <f>IF(OR(M62="挂起",M62="暂停",Q62="挂起",Q62="暂停",U62="挂起",U62="暂停",Y62="挂起",Y62="暂停"),"暂停","已完成")</f>
        <v/>
      </c>
      <c r="H62" s="39">
        <f>IF(L62&lt;&gt;"",L62,IF(P62&lt;&gt;"",P62,IF(T62&lt;&gt;"",T62,X62)))</f>
        <v/>
      </c>
      <c r="I62" s="105">
        <f>IF(COUNT(N62,R62,V62,Z62)=0,"",MIN(N62,R62,V62,Z62))</f>
        <v/>
      </c>
      <c r="J62" s="105">
        <f>IF(ISNUMBER(K62),K62,IF(COUNT(O62,S62,W62,AA62)=0,"",MAX(O62,S62,W62,AA62)))</f>
        <v/>
      </c>
      <c r="K62" s="105" t="inlineStr">
        <is>
          <t>/</t>
        </is>
      </c>
      <c r="L62" s="39" t="inlineStr">
        <is>
          <t>郑士旺</t>
        </is>
      </c>
      <c r="M62" s="39" t="inlineStr">
        <is>
          <t>已完成</t>
        </is>
      </c>
      <c r="N62" s="105" t="n">
        <v>46230</v>
      </c>
      <c r="O62" s="105" t="n">
        <v>46241</v>
      </c>
      <c r="P62" s="39" t="inlineStr">
        <is>
          <t>石军磊、刘凯</t>
        </is>
      </c>
      <c r="Q62" s="39" t="inlineStr">
        <is>
          <t>已完成</t>
        </is>
      </c>
      <c r="R62" s="105" t="n">
        <v>46230</v>
      </c>
      <c r="S62" s="105" t="n">
        <v>46241</v>
      </c>
      <c r="T62" s="39" t="inlineStr">
        <is>
          <t>贺航</t>
        </is>
      </c>
      <c r="U62" s="39" t="inlineStr">
        <is>
          <t>已完成</t>
        </is>
      </c>
      <c r="V62" s="105" t="n">
        <v>46230</v>
      </c>
      <c r="W62" s="105" t="n">
        <v>46241</v>
      </c>
      <c r="X62" s="39" t="inlineStr">
        <is>
          <t>袁丽荣</t>
        </is>
      </c>
      <c r="Y62" s="39" t="inlineStr">
        <is>
          <t>已完成</t>
        </is>
      </c>
      <c r="Z62" s="105" t="n">
        <v>46307</v>
      </c>
      <c r="AA62" s="105" t="n">
        <v>46318</v>
      </c>
      <c r="AB62" s="71">
        <f>(IF(M62="已完成",1,IF(M62="进行中",0.5,0))*15%+IF(Q62="已完成",1,IF(Q62="进行中",0.5,0))*35%+IF(U62="已完成",1,IF(U62="进行中",0.5,0))*30%+IF(Y62="已完成",1,IF(Y62="进行中",0.5,0))*20%)</f>
        <v/>
      </c>
      <c r="AC62" s="39">
        <f>IF(G62="已完成","正常",IF(OR(G62="暂停",G62="挂起"),"暂停",IF(J62="","日期缺失",IF(J62&lt;'项目驾驶舱'!$B$3,"已延期",IF(J62&lt;='项目驾驶舱'!$B$3+7,"临近到期","正常")))))</f>
        <v/>
      </c>
      <c r="AD62" s="39" t="inlineStr"/>
      <c r="AE62" s="40" t="inlineStr"/>
    </row>
    <row r="63" hidden="1" ht="17" customHeight="1" s="1">
      <c r="A63" s="37" t="inlineStr">
        <is>
          <t>T060</t>
        </is>
      </c>
      <c r="B63" s="39" t="inlineStr">
        <is>
          <t>网上营业厅</t>
        </is>
      </c>
      <c r="C63" s="39" t="inlineStr">
        <is>
          <t>货权跟踪</t>
        </is>
      </c>
      <c r="D63" s="39" t="inlineStr">
        <is>
          <t>货权录入</t>
        </is>
      </c>
      <c r="E63" s="39" t="inlineStr">
        <is>
          <t>/</t>
        </is>
      </c>
      <c r="F63" s="39" t="inlineStr">
        <is>
          <t>第一批次</t>
        </is>
      </c>
      <c r="G63" s="39">
        <f>IF(OR(M63="挂起",M63="暂停",Q63="挂起",Q63="暂停",U63="挂起",U63="暂停",Y63="挂起",Y63="暂停"),"暂停","已完成")</f>
        <v/>
      </c>
      <c r="H63" s="39">
        <f>IF(L63&lt;&gt;"",L63,IF(P63&lt;&gt;"",P63,IF(T63&lt;&gt;"",T63,X63)))</f>
        <v/>
      </c>
      <c r="I63" s="105">
        <f>IF(COUNT(N63,R63,V63,Z63)=0,"",MIN(N63,R63,V63,Z63))</f>
        <v/>
      </c>
      <c r="J63" s="105">
        <f>IF(ISNUMBER(K63),K63,IF(COUNT(O63,S63,W63,AA63)=0,"",MAX(O63,S63,W63,AA63)))</f>
        <v/>
      </c>
      <c r="K63" s="105" t="n">
        <v>46261</v>
      </c>
      <c r="L63" s="39" t="inlineStr">
        <is>
          <t>郑士旺</t>
        </is>
      </c>
      <c r="M63" s="39" t="inlineStr">
        <is>
          <t>已完成</t>
        </is>
      </c>
      <c r="N63" s="105" t="n">
        <v>46202</v>
      </c>
      <c r="O63" s="105" t="n">
        <v>46206</v>
      </c>
      <c r="P63" s="39" t="inlineStr">
        <is>
          <t>石军磊、刘凯</t>
        </is>
      </c>
      <c r="Q63" s="39" t="inlineStr">
        <is>
          <t>已完成</t>
        </is>
      </c>
      <c r="R63" s="105" t="n">
        <v>46209</v>
      </c>
      <c r="S63" s="105" t="n">
        <v>46227</v>
      </c>
      <c r="T63" s="39" t="inlineStr">
        <is>
          <t>贺航</t>
        </is>
      </c>
      <c r="U63" s="39" t="inlineStr">
        <is>
          <t>已完成</t>
        </is>
      </c>
      <c r="V63" s="105" t="n">
        <v>46209</v>
      </c>
      <c r="W63" s="105" t="n">
        <v>46227</v>
      </c>
      <c r="X63" s="39" t="inlineStr">
        <is>
          <t>袁丽荣</t>
        </is>
      </c>
      <c r="Y63" s="39" t="inlineStr">
        <is>
          <t>已完成</t>
        </is>
      </c>
      <c r="Z63" s="105" t="n">
        <v>46216</v>
      </c>
      <c r="AA63" s="105" t="n">
        <v>46234</v>
      </c>
      <c r="AB63" s="71">
        <f>(IF(M63="已完成",1,IF(M63="进行中",0.5,0))*15%+IF(Q63="已完成",1,IF(Q63="进行中",0.5,0))*35%+IF(U63="已完成",1,IF(U63="进行中",0.5,0))*30%+IF(Y63="已完成",1,IF(Y63="进行中",0.5,0))*20%)</f>
        <v/>
      </c>
      <c r="AC63" s="39">
        <f>IF(G63="已完成","正常",IF(OR(G63="暂停",G63="挂起"),"暂停",IF(J63="","日期缺失",IF(J63&lt;'项目驾驶舱'!$B$3,"已延期",IF(J63&lt;='项目驾驶舱'!$B$3+7,"临近到期","正常")))))</f>
        <v/>
      </c>
      <c r="AD63" s="39" t="inlineStr"/>
      <c r="AE63" s="40" t="inlineStr"/>
    </row>
    <row r="64" hidden="1" ht="17" customHeight="1" s="1">
      <c r="A64" s="37" t="inlineStr">
        <is>
          <t>T061</t>
        </is>
      </c>
      <c r="B64" s="39" t="inlineStr">
        <is>
          <t>网上营业厅</t>
        </is>
      </c>
      <c r="C64" s="39" t="inlineStr">
        <is>
          <t>货权跟踪</t>
        </is>
      </c>
      <c r="D64" s="39" t="inlineStr">
        <is>
          <t>货权修改</t>
        </is>
      </c>
      <c r="E64" s="39" t="inlineStr">
        <is>
          <t>/</t>
        </is>
      </c>
      <c r="F64" s="39" t="inlineStr">
        <is>
          <t>第一批次</t>
        </is>
      </c>
      <c r="G64" s="39">
        <f>IF(OR(M64="挂起",M64="暂停",Q64="挂起",Q64="暂停",U64="挂起",U64="暂停",Y64="挂起",Y64="暂停"),"暂停","已完成")</f>
        <v/>
      </c>
      <c r="H64" s="39">
        <f>IF(L64&lt;&gt;"",L64,IF(P64&lt;&gt;"",P64,IF(T64&lt;&gt;"",T64,X64)))</f>
        <v/>
      </c>
      <c r="I64" s="105">
        <f>IF(COUNT(N64,R64,V64,Z64)=0,"",MIN(N64,R64,V64,Z64))</f>
        <v/>
      </c>
      <c r="J64" s="105">
        <f>IF(ISNUMBER(K64),K64,IF(COUNT(O64,S64,W64,AA64)=0,"",MAX(O64,S64,W64,AA64)))</f>
        <v/>
      </c>
      <c r="K64" s="105" t="n">
        <v>46261</v>
      </c>
      <c r="L64" s="39" t="inlineStr">
        <is>
          <t>郑士旺</t>
        </is>
      </c>
      <c r="M64" s="39" t="inlineStr">
        <is>
          <t>已完成</t>
        </is>
      </c>
      <c r="N64" s="105" t="n">
        <v>46202</v>
      </c>
      <c r="O64" s="105" t="n">
        <v>46206</v>
      </c>
      <c r="P64" s="39" t="inlineStr">
        <is>
          <t>石军磊、刘凯</t>
        </is>
      </c>
      <c r="Q64" s="39" t="inlineStr">
        <is>
          <t>已完成</t>
        </is>
      </c>
      <c r="R64" s="105" t="n">
        <v>46209</v>
      </c>
      <c r="S64" s="105" t="n">
        <v>46227</v>
      </c>
      <c r="T64" s="39" t="inlineStr">
        <is>
          <t>贺航</t>
        </is>
      </c>
      <c r="U64" s="39" t="inlineStr">
        <is>
          <t>已完成</t>
        </is>
      </c>
      <c r="V64" s="105" t="n">
        <v>46209</v>
      </c>
      <c r="W64" s="105" t="n">
        <v>46227</v>
      </c>
      <c r="X64" s="39" t="inlineStr">
        <is>
          <t>袁丽荣</t>
        </is>
      </c>
      <c r="Y64" s="39" t="inlineStr">
        <is>
          <t>已完成</t>
        </is>
      </c>
      <c r="Z64" s="105" t="n">
        <v>46216</v>
      </c>
      <c r="AA64" s="105" t="n">
        <v>46234</v>
      </c>
      <c r="AB64" s="71">
        <f>(IF(M64="已完成",1,IF(M64="进行中",0.5,0))*15%+IF(Q64="已完成",1,IF(Q64="进行中",0.5,0))*35%+IF(U64="已完成",1,IF(U64="进行中",0.5,0))*30%+IF(Y64="已完成",1,IF(Y64="进行中",0.5,0))*20%)</f>
        <v/>
      </c>
      <c r="AC64" s="39">
        <f>IF(G64="已完成","正常",IF(OR(G64="暂停",G64="挂起"),"暂停",IF(J64="","日期缺失",IF(J64&lt;'项目驾驶舱'!$B$3,"已延期",IF(J64&lt;='项目驾驶舱'!$B$3+7,"临近到期","正常")))))</f>
        <v/>
      </c>
      <c r="AD64" s="39" t="inlineStr"/>
      <c r="AE64" s="40" t="inlineStr"/>
    </row>
    <row r="65" hidden="1" ht="17" customHeight="1" s="1">
      <c r="A65" s="37" t="inlineStr">
        <is>
          <t>T062</t>
        </is>
      </c>
      <c r="B65" s="39" t="inlineStr">
        <is>
          <t>网上营业厅</t>
        </is>
      </c>
      <c r="C65" s="39" t="inlineStr">
        <is>
          <t>货权跟踪</t>
        </is>
      </c>
      <c r="D65" s="39" t="inlineStr">
        <is>
          <t>获取查询</t>
        </is>
      </c>
      <c r="E65" s="39" t="inlineStr">
        <is>
          <t>/</t>
        </is>
      </c>
      <c r="F65" s="39" t="inlineStr">
        <is>
          <t>第一批次</t>
        </is>
      </c>
      <c r="G65" s="39">
        <f>IF(OR(M65="挂起",M65="暂停",Q65="挂起",Q65="暂停",U65="挂起",U65="暂停",Y65="挂起",Y65="暂停"),"暂停","已完成")</f>
        <v/>
      </c>
      <c r="H65" s="39">
        <f>IF(L65&lt;&gt;"",L65,IF(P65&lt;&gt;"",P65,IF(T65&lt;&gt;"",T65,X65)))</f>
        <v/>
      </c>
      <c r="I65" s="105">
        <f>IF(COUNT(N65,R65,V65,Z65)=0,"",MIN(N65,R65,V65,Z65))</f>
        <v/>
      </c>
      <c r="J65" s="105">
        <f>IF(ISNUMBER(K65),K65,IF(COUNT(O65,S65,W65,AA65)=0,"",MAX(O65,S65,W65,AA65)))</f>
        <v/>
      </c>
      <c r="K65" s="105" t="n">
        <v>46261</v>
      </c>
      <c r="L65" s="39" t="inlineStr">
        <is>
          <t>郑士旺</t>
        </is>
      </c>
      <c r="M65" s="39" t="inlineStr">
        <is>
          <t>已完成</t>
        </is>
      </c>
      <c r="N65" s="105" t="n">
        <v>46202</v>
      </c>
      <c r="O65" s="105" t="n">
        <v>46206</v>
      </c>
      <c r="P65" s="39" t="inlineStr">
        <is>
          <t>石军磊、刘凯</t>
        </is>
      </c>
      <c r="Q65" s="39" t="inlineStr">
        <is>
          <t>已完成</t>
        </is>
      </c>
      <c r="R65" s="105" t="n">
        <v>46209</v>
      </c>
      <c r="S65" s="105" t="n">
        <v>46227</v>
      </c>
      <c r="T65" s="39" t="inlineStr">
        <is>
          <t>贺航</t>
        </is>
      </c>
      <c r="U65" s="39" t="inlineStr">
        <is>
          <t>已完成</t>
        </is>
      </c>
      <c r="V65" s="105" t="n">
        <v>46209</v>
      </c>
      <c r="W65" s="105" t="n">
        <v>46227</v>
      </c>
      <c r="X65" s="39" t="inlineStr">
        <is>
          <t>袁丽荣</t>
        </is>
      </c>
      <c r="Y65" s="39" t="inlineStr">
        <is>
          <t>已完成</t>
        </is>
      </c>
      <c r="Z65" s="105" t="n">
        <v>46216</v>
      </c>
      <c r="AA65" s="105" t="n">
        <v>46234</v>
      </c>
      <c r="AB65" s="71">
        <f>(IF(M65="已完成",1,IF(M65="进行中",0.5,0))*15%+IF(Q65="已完成",1,IF(Q65="进行中",0.5,0))*35%+IF(U65="已完成",1,IF(U65="进行中",0.5,0))*30%+IF(Y65="已完成",1,IF(Y65="进行中",0.5,0))*20%)</f>
        <v/>
      </c>
      <c r="AC65" s="39">
        <f>IF(G65="已完成","正常",IF(OR(G65="暂停",G65="挂起"),"暂停",IF(J65="","日期缺失",IF(J65&lt;'项目驾驶舱'!$B$3,"已延期",IF(J65&lt;='项目驾驶舱'!$B$3+7,"临近到期","正常")))))</f>
        <v/>
      </c>
      <c r="AD65" s="39" t="inlineStr"/>
      <c r="AE65" s="40" t="inlineStr"/>
    </row>
    <row r="66" hidden="1" ht="17" customHeight="1" s="1">
      <c r="A66" s="37" t="inlineStr">
        <is>
          <t>T063</t>
        </is>
      </c>
      <c r="B66" s="39" t="inlineStr">
        <is>
          <t>网上营业厅</t>
        </is>
      </c>
      <c r="C66" s="39" t="inlineStr">
        <is>
          <t>货权提醒</t>
        </is>
      </c>
      <c r="D66" s="39" t="inlineStr">
        <is>
          <t>卸船作业货权跟踪</t>
        </is>
      </c>
      <c r="E66" s="39" t="inlineStr">
        <is>
          <t>/</t>
        </is>
      </c>
      <c r="F66" s="39" t="inlineStr">
        <is>
          <t>第一批次</t>
        </is>
      </c>
      <c r="G66" s="39">
        <f>IF(OR(M66="挂起",M66="暂停",Q66="挂起",Q66="暂停",U66="挂起",U66="暂停",Y66="挂起",Y66="暂停"),"暂停","已完成")</f>
        <v/>
      </c>
      <c r="H66" s="39">
        <f>IF(L66&lt;&gt;"",L66,IF(P66&lt;&gt;"",P66,IF(T66&lt;&gt;"",T66,X66)))</f>
        <v/>
      </c>
      <c r="I66" s="105">
        <f>IF(COUNT(N66,R66,V66,Z66)=0,"",MIN(N66,R66,V66,Z66))</f>
        <v/>
      </c>
      <c r="J66" s="105">
        <f>IF(ISNUMBER(K66),K66,IF(COUNT(O66,S66,W66,AA66)=0,"",MAX(O66,S66,W66,AA66)))</f>
        <v/>
      </c>
      <c r="K66" s="105" t="n">
        <v>46261</v>
      </c>
      <c r="L66" s="39" t="inlineStr">
        <is>
          <t>郑士旺</t>
        </is>
      </c>
      <c r="M66" s="39" t="inlineStr">
        <is>
          <t>已完成</t>
        </is>
      </c>
      <c r="N66" s="105" t="n">
        <v>46202</v>
      </c>
      <c r="O66" s="105" t="n">
        <v>46206</v>
      </c>
      <c r="P66" s="39" t="inlineStr">
        <is>
          <t>石军磊、刘凯</t>
        </is>
      </c>
      <c r="Q66" s="39" t="inlineStr">
        <is>
          <t>已完成</t>
        </is>
      </c>
      <c r="R66" s="105" t="n">
        <v>46209</v>
      </c>
      <c r="S66" s="105" t="n">
        <v>46227</v>
      </c>
      <c r="T66" s="39" t="inlineStr">
        <is>
          <t>贺航</t>
        </is>
      </c>
      <c r="U66" s="39" t="inlineStr">
        <is>
          <t>已完成</t>
        </is>
      </c>
      <c r="V66" s="105" t="n">
        <v>46209</v>
      </c>
      <c r="W66" s="105" t="n">
        <v>46227</v>
      </c>
      <c r="X66" s="39" t="inlineStr">
        <is>
          <t>袁丽荣</t>
        </is>
      </c>
      <c r="Y66" s="39" t="inlineStr">
        <is>
          <t>已完成</t>
        </is>
      </c>
      <c r="Z66" s="105" t="n">
        <v>46216</v>
      </c>
      <c r="AA66" s="105" t="n">
        <v>46234</v>
      </c>
      <c r="AB66" s="71">
        <f>(IF(M66="已完成",1,IF(M66="进行中",0.5,0))*15%+IF(Q66="已完成",1,IF(Q66="进行中",0.5,0))*35%+IF(U66="已完成",1,IF(U66="进行中",0.5,0))*30%+IF(Y66="已完成",1,IF(Y66="进行中",0.5,0))*20%)</f>
        <v/>
      </c>
      <c r="AC66" s="39">
        <f>IF(G66="已完成","正常",IF(OR(G66="暂停",G66="挂起"),"暂停",IF(J66="","日期缺失",IF(J66&lt;'项目驾驶舱'!$B$3,"已延期",IF(J66&lt;='项目驾驶舱'!$B$3+7,"临近到期","正常")))))</f>
        <v/>
      </c>
      <c r="AD66" s="39" t="inlineStr"/>
      <c r="AE66" s="40" t="inlineStr"/>
    </row>
    <row r="67" hidden="1" ht="17" customHeight="1" s="1">
      <c r="A67" s="37" t="inlineStr">
        <is>
          <t>T064</t>
        </is>
      </c>
      <c r="B67" s="39" t="inlineStr">
        <is>
          <t>网上营业厅</t>
        </is>
      </c>
      <c r="C67" s="39" t="inlineStr">
        <is>
          <t>货权提醒</t>
        </is>
      </c>
      <c r="D67" s="39" t="inlineStr">
        <is>
          <t>卸船作业货权跟踪</t>
        </is>
      </c>
      <c r="E67" s="39" t="inlineStr">
        <is>
          <t>/</t>
        </is>
      </c>
      <c r="F67" s="39" t="inlineStr">
        <is>
          <t>第一批次</t>
        </is>
      </c>
      <c r="G67" s="39">
        <f>IF(OR(M67="挂起",M67="暂停",Q67="挂起",Q67="暂停",U67="挂起",U67="暂停",Y67="挂起",Y67="暂停"),"暂停","已完成")</f>
        <v/>
      </c>
      <c r="H67" s="39">
        <f>IF(L67&lt;&gt;"",L67,IF(P67&lt;&gt;"",P67,IF(T67&lt;&gt;"",T67,X67)))</f>
        <v/>
      </c>
      <c r="I67" s="105">
        <f>IF(COUNT(N67,R67,V67,Z67)=0,"",MIN(N67,R67,V67,Z67))</f>
        <v/>
      </c>
      <c r="J67" s="105">
        <f>IF(ISNUMBER(K67),K67,IF(COUNT(O67,S67,W67,AA67)=0,"",MAX(O67,S67,W67,AA67)))</f>
        <v/>
      </c>
      <c r="K67" s="105" t="n">
        <v>46261</v>
      </c>
      <c r="L67" s="39" t="inlineStr">
        <is>
          <t>郑士旺</t>
        </is>
      </c>
      <c r="M67" s="39" t="inlineStr">
        <is>
          <t>已完成</t>
        </is>
      </c>
      <c r="N67" s="105" t="n">
        <v>46202</v>
      </c>
      <c r="O67" s="105" t="n">
        <v>46206</v>
      </c>
      <c r="P67" s="39" t="inlineStr">
        <is>
          <t>石军磊、刘凯</t>
        </is>
      </c>
      <c r="Q67" s="39" t="inlineStr">
        <is>
          <t>已完成</t>
        </is>
      </c>
      <c r="R67" s="105" t="n">
        <v>46209</v>
      </c>
      <c r="S67" s="105" t="n">
        <v>46227</v>
      </c>
      <c r="T67" s="39" t="inlineStr">
        <is>
          <t>贺航</t>
        </is>
      </c>
      <c r="U67" s="39" t="inlineStr">
        <is>
          <t>已完成</t>
        </is>
      </c>
      <c r="V67" s="105" t="n">
        <v>46209</v>
      </c>
      <c r="W67" s="105" t="n">
        <v>46227</v>
      </c>
      <c r="X67" s="39" t="inlineStr">
        <is>
          <t>袁丽荣</t>
        </is>
      </c>
      <c r="Y67" s="39" t="inlineStr">
        <is>
          <t>已完成</t>
        </is>
      </c>
      <c r="Z67" s="105" t="n">
        <v>46216</v>
      </c>
      <c r="AA67" s="105" t="n">
        <v>46234</v>
      </c>
      <c r="AB67" s="71">
        <f>(IF(M67="已完成",1,IF(M67="进行中",0.5,0))*15%+IF(Q67="已完成",1,IF(Q67="进行中",0.5,0))*35%+IF(U67="已完成",1,IF(U67="进行中",0.5,0))*30%+IF(Y67="已完成",1,IF(Y67="进行中",0.5,0))*20%)</f>
        <v/>
      </c>
      <c r="AC67" s="39">
        <f>IF(G67="已完成","正常",IF(OR(G67="暂停",G67="挂起"),"暂停",IF(J67="","日期缺失",IF(J67&lt;'项目驾驶舱'!$B$3,"已延期",IF(J67&lt;='项目驾驶舱'!$B$3+7,"临近到期","正常")))))</f>
        <v/>
      </c>
      <c r="AD67" s="39" t="inlineStr"/>
      <c r="AE67" s="40" t="inlineStr"/>
    </row>
    <row r="68" hidden="1" ht="17" customHeight="1" s="1">
      <c r="A68" s="37" t="inlineStr">
        <is>
          <t>T065</t>
        </is>
      </c>
      <c r="B68" s="39" t="inlineStr">
        <is>
          <t>网上营业厅</t>
        </is>
      </c>
      <c r="C68" s="39" t="inlineStr">
        <is>
          <t>货权提醒</t>
        </is>
      </c>
      <c r="D68" s="39" t="inlineStr">
        <is>
          <t>装船作业货权跟踪</t>
        </is>
      </c>
      <c r="E68" s="39" t="inlineStr">
        <is>
          <t>/</t>
        </is>
      </c>
      <c r="F68" s="39" t="inlineStr">
        <is>
          <t>第一批次</t>
        </is>
      </c>
      <c r="G68" s="39">
        <f>IF(OR(M68="挂起",M68="暂停",Q68="挂起",Q68="暂停",U68="挂起",U68="暂停",Y68="挂起",Y68="暂停"),"暂停","已完成")</f>
        <v/>
      </c>
      <c r="H68" s="39">
        <f>IF(L68&lt;&gt;"",L68,IF(P68&lt;&gt;"",P68,IF(T68&lt;&gt;"",T68,X68)))</f>
        <v/>
      </c>
      <c r="I68" s="105">
        <f>IF(COUNT(N68,R68,V68,Z68)=0,"",MIN(N68,R68,V68,Z68))</f>
        <v/>
      </c>
      <c r="J68" s="105">
        <f>IF(ISNUMBER(K68),K68,IF(COUNT(O68,S68,W68,AA68)=0,"",MAX(O68,S68,W68,AA68)))</f>
        <v/>
      </c>
      <c r="K68" s="105" t="n">
        <v>46261</v>
      </c>
      <c r="L68" s="39" t="inlineStr">
        <is>
          <t>郑士旺</t>
        </is>
      </c>
      <c r="M68" s="39" t="inlineStr">
        <is>
          <t>已完成</t>
        </is>
      </c>
      <c r="N68" s="105" t="n">
        <v>46202</v>
      </c>
      <c r="O68" s="105" t="n">
        <v>46206</v>
      </c>
      <c r="P68" s="39" t="inlineStr">
        <is>
          <t>石军磊、刘凯</t>
        </is>
      </c>
      <c r="Q68" s="39" t="inlineStr">
        <is>
          <t>已完成</t>
        </is>
      </c>
      <c r="R68" s="105" t="n">
        <v>46209</v>
      </c>
      <c r="S68" s="105" t="n">
        <v>46227</v>
      </c>
      <c r="T68" s="39" t="inlineStr">
        <is>
          <t>贺航</t>
        </is>
      </c>
      <c r="U68" s="39" t="inlineStr">
        <is>
          <t>已完成</t>
        </is>
      </c>
      <c r="V68" s="105" t="n">
        <v>46209</v>
      </c>
      <c r="W68" s="105" t="n">
        <v>46227</v>
      </c>
      <c r="X68" s="39" t="inlineStr">
        <is>
          <t>袁丽荣</t>
        </is>
      </c>
      <c r="Y68" s="39" t="inlineStr">
        <is>
          <t>已完成</t>
        </is>
      </c>
      <c r="Z68" s="105" t="n">
        <v>46216</v>
      </c>
      <c r="AA68" s="105" t="n">
        <v>46234</v>
      </c>
      <c r="AB68" s="71">
        <f>(IF(M68="已完成",1,IF(M68="进行中",0.5,0))*15%+IF(Q68="已完成",1,IF(Q68="进行中",0.5,0))*35%+IF(U68="已完成",1,IF(U68="进行中",0.5,0))*30%+IF(Y68="已完成",1,IF(Y68="进行中",0.5,0))*20%)</f>
        <v/>
      </c>
      <c r="AC68" s="39">
        <f>IF(G68="已完成","正常",IF(OR(G68="暂停",G68="挂起"),"暂停",IF(J68="","日期缺失",IF(J68&lt;'项目驾驶舱'!$B$3,"已延期",IF(J68&lt;='项目驾驶舱'!$B$3+7,"临近到期","正常")))))</f>
        <v/>
      </c>
      <c r="AD68" s="39" t="inlineStr"/>
      <c r="AE68" s="40" t="inlineStr"/>
    </row>
    <row r="69" hidden="1" ht="17" customHeight="1" s="1">
      <c r="A69" s="37" t="inlineStr">
        <is>
          <t>T066</t>
        </is>
      </c>
      <c r="B69" s="39" t="inlineStr">
        <is>
          <t>网上营业厅</t>
        </is>
      </c>
      <c r="C69" s="39" t="inlineStr">
        <is>
          <t>货权提醒</t>
        </is>
      </c>
      <c r="D69" s="39" t="inlineStr">
        <is>
          <t>装船作业货权跟踪</t>
        </is>
      </c>
      <c r="E69" s="39" t="inlineStr">
        <is>
          <t>/</t>
        </is>
      </c>
      <c r="F69" s="39" t="inlineStr">
        <is>
          <t>第一批次</t>
        </is>
      </c>
      <c r="G69" s="39">
        <f>IF(OR(M69="挂起",M69="暂停",Q69="挂起",Q69="暂停",U69="挂起",U69="暂停",Y69="挂起",Y69="暂停"),"暂停","已完成")</f>
        <v/>
      </c>
      <c r="H69" s="39">
        <f>IF(L69&lt;&gt;"",L69,IF(P69&lt;&gt;"",P69,IF(T69&lt;&gt;"",T69,X69)))</f>
        <v/>
      </c>
      <c r="I69" s="105">
        <f>IF(COUNT(N69,R69,V69,Z69)=0,"",MIN(N69,R69,V69,Z69))</f>
        <v/>
      </c>
      <c r="J69" s="105">
        <f>IF(ISNUMBER(K69),K69,IF(COUNT(O69,S69,W69,AA69)=0,"",MAX(O69,S69,W69,AA69)))</f>
        <v/>
      </c>
      <c r="K69" s="105" t="n">
        <v>46261</v>
      </c>
      <c r="L69" s="39" t="inlineStr">
        <is>
          <t>郑士旺</t>
        </is>
      </c>
      <c r="M69" s="39" t="inlineStr">
        <is>
          <t>已完成</t>
        </is>
      </c>
      <c r="N69" s="105" t="n">
        <v>46202</v>
      </c>
      <c r="O69" s="105" t="n">
        <v>46206</v>
      </c>
      <c r="P69" s="39" t="inlineStr">
        <is>
          <t>石军磊、刘凯</t>
        </is>
      </c>
      <c r="Q69" s="39" t="inlineStr">
        <is>
          <t>已完成</t>
        </is>
      </c>
      <c r="R69" s="105" t="n">
        <v>46209</v>
      </c>
      <c r="S69" s="105" t="n">
        <v>46227</v>
      </c>
      <c r="T69" s="39" t="inlineStr">
        <is>
          <t>贺航</t>
        </is>
      </c>
      <c r="U69" s="39" t="inlineStr">
        <is>
          <t>已完成</t>
        </is>
      </c>
      <c r="V69" s="105" t="n">
        <v>46209</v>
      </c>
      <c r="W69" s="105" t="n">
        <v>46227</v>
      </c>
      <c r="X69" s="39" t="inlineStr">
        <is>
          <t>袁丽荣</t>
        </is>
      </c>
      <c r="Y69" s="39" t="inlineStr">
        <is>
          <t>已完成</t>
        </is>
      </c>
      <c r="Z69" s="105" t="n">
        <v>46216</v>
      </c>
      <c r="AA69" s="105" t="n">
        <v>46234</v>
      </c>
      <c r="AB69" s="71">
        <f>(IF(M69="已完成",1,IF(M69="进行中",0.5,0))*15%+IF(Q69="已完成",1,IF(Q69="进行中",0.5,0))*35%+IF(U69="已完成",1,IF(U69="进行中",0.5,0))*30%+IF(Y69="已完成",1,IF(Y69="进行中",0.5,0))*20%)</f>
        <v/>
      </c>
      <c r="AC69" s="39">
        <f>IF(G69="已完成","正常",IF(OR(G69="暂停",G69="挂起"),"暂停",IF(J69="","日期缺失",IF(J69&lt;'项目驾驶舱'!$B$3,"已延期",IF(J69&lt;='项目驾驶舱'!$B$3+7,"临近到期","正常")))))</f>
        <v/>
      </c>
      <c r="AD69" s="39" t="inlineStr"/>
      <c r="AE69" s="40" t="inlineStr"/>
    </row>
    <row r="70" hidden="1" ht="17" customHeight="1" s="1">
      <c r="A70" s="37" t="inlineStr">
        <is>
          <t>T067</t>
        </is>
      </c>
      <c r="B70" s="39" t="inlineStr">
        <is>
          <t>网上营业厅</t>
        </is>
      </c>
      <c r="C70" s="39" t="inlineStr">
        <is>
          <t>货权提醒</t>
        </is>
      </c>
      <c r="D70" s="39" t="inlineStr">
        <is>
          <t>装船作业货权跟踪</t>
        </is>
      </c>
      <c r="E70" s="39" t="inlineStr">
        <is>
          <t>/</t>
        </is>
      </c>
      <c r="F70" s="39" t="inlineStr">
        <is>
          <t>第一批次</t>
        </is>
      </c>
      <c r="G70" s="39">
        <f>IF(OR(M70="挂起",M70="暂停",Q70="挂起",Q70="暂停",U70="挂起",U70="暂停",Y70="挂起",Y70="暂停"),"暂停","已完成")</f>
        <v/>
      </c>
      <c r="H70" s="39">
        <f>IF(L70&lt;&gt;"",L70,IF(P70&lt;&gt;"",P70,IF(T70&lt;&gt;"",T70,X70)))</f>
        <v/>
      </c>
      <c r="I70" s="105">
        <f>IF(COUNT(N70,R70,V70,Z70)=0,"",MIN(N70,R70,V70,Z70))</f>
        <v/>
      </c>
      <c r="J70" s="105">
        <f>IF(ISNUMBER(K70),K70,IF(COUNT(O70,S70,W70,AA70)=0,"",MAX(O70,S70,W70,AA70)))</f>
        <v/>
      </c>
      <c r="K70" s="105" t="n">
        <v>46261</v>
      </c>
      <c r="L70" s="39" t="inlineStr">
        <is>
          <t>郑士旺</t>
        </is>
      </c>
      <c r="M70" s="39" t="inlineStr">
        <is>
          <t>已完成</t>
        </is>
      </c>
      <c r="N70" s="105" t="n">
        <v>46202</v>
      </c>
      <c r="O70" s="105" t="n">
        <v>46206</v>
      </c>
      <c r="P70" s="39" t="inlineStr">
        <is>
          <t>石军磊、刘凯</t>
        </is>
      </c>
      <c r="Q70" s="39" t="inlineStr">
        <is>
          <t>已完成</t>
        </is>
      </c>
      <c r="R70" s="105" t="n">
        <v>46209</v>
      </c>
      <c r="S70" s="105" t="n">
        <v>46227</v>
      </c>
      <c r="T70" s="39" t="inlineStr">
        <is>
          <t>贺航</t>
        </is>
      </c>
      <c r="U70" s="39" t="inlineStr">
        <is>
          <t>已完成</t>
        </is>
      </c>
      <c r="V70" s="105" t="n">
        <v>46209</v>
      </c>
      <c r="W70" s="105" t="n">
        <v>46227</v>
      </c>
      <c r="X70" s="39" t="inlineStr">
        <is>
          <t>袁丽荣</t>
        </is>
      </c>
      <c r="Y70" s="39" t="inlineStr">
        <is>
          <t>已完成</t>
        </is>
      </c>
      <c r="Z70" s="105" t="n">
        <v>46216</v>
      </c>
      <c r="AA70" s="105" t="n">
        <v>46234</v>
      </c>
      <c r="AB70" s="71">
        <f>(IF(M70="已完成",1,IF(M70="进行中",0.5,0))*15%+IF(Q70="已完成",1,IF(Q70="进行中",0.5,0))*35%+IF(U70="已完成",1,IF(U70="进行中",0.5,0))*30%+IF(Y70="已完成",1,IF(Y70="进行中",0.5,0))*20%)</f>
        <v/>
      </c>
      <c r="AC70" s="39">
        <f>IF(G70="已完成","正常",IF(OR(G70="暂停",G70="挂起"),"暂停",IF(J70="","日期缺失",IF(J70&lt;'项目驾驶舱'!$B$3,"已延期",IF(J70&lt;='项目驾驶舱'!$B$3+7,"临近到期","正常")))))</f>
        <v/>
      </c>
      <c r="AD70" s="39" t="inlineStr"/>
      <c r="AE70" s="40" t="inlineStr"/>
    </row>
    <row r="71" hidden="1" ht="17" customHeight="1" s="1">
      <c r="A71" s="37" t="inlineStr">
        <is>
          <t>T068</t>
        </is>
      </c>
      <c r="B71" s="39" t="inlineStr">
        <is>
          <t>网上营业厅</t>
        </is>
      </c>
      <c r="C71" s="39" t="inlineStr">
        <is>
          <t>货权提醒</t>
        </is>
      </c>
      <c r="D71" s="39" t="inlineStr">
        <is>
          <t>装船作业货权跟踪</t>
        </is>
      </c>
      <c r="E71" s="39" t="inlineStr">
        <is>
          <t>/</t>
        </is>
      </c>
      <c r="F71" s="39" t="inlineStr">
        <is>
          <t>第一批次</t>
        </is>
      </c>
      <c r="G71" s="39">
        <f>IF(OR(M71="挂起",M71="暂停",Q71="挂起",Q71="暂停",U71="挂起",U71="暂停",Y71="挂起",Y71="暂停"),"暂停","已完成")</f>
        <v/>
      </c>
      <c r="H71" s="39">
        <f>IF(L71&lt;&gt;"",L71,IF(P71&lt;&gt;"",P71,IF(T71&lt;&gt;"",T71,X71)))</f>
        <v/>
      </c>
      <c r="I71" s="105">
        <f>IF(COUNT(N71,R71,V71,Z71)=0,"",MIN(N71,R71,V71,Z71))</f>
        <v/>
      </c>
      <c r="J71" s="105">
        <f>IF(ISNUMBER(K71),K71,IF(COUNT(O71,S71,W71,AA71)=0,"",MAX(O71,S71,W71,AA71)))</f>
        <v/>
      </c>
      <c r="K71" s="105" t="n">
        <v>46261</v>
      </c>
      <c r="L71" s="39" t="inlineStr">
        <is>
          <t>郑士旺</t>
        </is>
      </c>
      <c r="M71" s="39" t="inlineStr">
        <is>
          <t>已完成</t>
        </is>
      </c>
      <c r="N71" s="105" t="n">
        <v>46202</v>
      </c>
      <c r="O71" s="105" t="n">
        <v>46206</v>
      </c>
      <c r="P71" s="39" t="inlineStr">
        <is>
          <t>石军磊、刘凯</t>
        </is>
      </c>
      <c r="Q71" s="39" t="inlineStr">
        <is>
          <t>已完成</t>
        </is>
      </c>
      <c r="R71" s="105" t="n">
        <v>46209</v>
      </c>
      <c r="S71" s="105" t="n">
        <v>46227</v>
      </c>
      <c r="T71" s="39" t="inlineStr">
        <is>
          <t>贺航</t>
        </is>
      </c>
      <c r="U71" s="39" t="inlineStr">
        <is>
          <t>已完成</t>
        </is>
      </c>
      <c r="V71" s="105" t="n">
        <v>46209</v>
      </c>
      <c r="W71" s="105" t="n">
        <v>46227</v>
      </c>
      <c r="X71" s="39" t="inlineStr">
        <is>
          <t>袁丽荣</t>
        </is>
      </c>
      <c r="Y71" s="39" t="inlineStr">
        <is>
          <t>已完成</t>
        </is>
      </c>
      <c r="Z71" s="105" t="n">
        <v>46216</v>
      </c>
      <c r="AA71" s="105" t="n">
        <v>46234</v>
      </c>
      <c r="AB71" s="71">
        <f>(IF(M71="已完成",1,IF(M71="进行中",0.5,0))*15%+IF(Q71="已完成",1,IF(Q71="进行中",0.5,0))*35%+IF(U71="已完成",1,IF(U71="进行中",0.5,0))*30%+IF(Y71="已完成",1,IF(Y71="进行中",0.5,0))*20%)</f>
        <v/>
      </c>
      <c r="AC71" s="39">
        <f>IF(G71="已完成","正常",IF(OR(G71="暂停",G71="挂起"),"暂停",IF(J71="","日期缺失",IF(J71&lt;'项目驾驶舱'!$B$3,"已延期",IF(J71&lt;='项目驾驶舱'!$B$3+7,"临近到期","正常")))))</f>
        <v/>
      </c>
      <c r="AD71" s="39" t="inlineStr"/>
      <c r="AE71" s="40" t="inlineStr"/>
    </row>
    <row r="72" hidden="1" ht="17" customHeight="1" s="1">
      <c r="A72" s="37" t="inlineStr">
        <is>
          <t>T069</t>
        </is>
      </c>
      <c r="B72" s="39" t="inlineStr">
        <is>
          <t>网上营业厅</t>
        </is>
      </c>
      <c r="C72" s="39" t="inlineStr">
        <is>
          <t>卸船作业信息录入优化（太仓）</t>
        </is>
      </c>
      <c r="D72" s="39" t="inlineStr">
        <is>
          <t>新增、详情、修改页内容调整</t>
        </is>
      </c>
      <c r="E72" s="39" t="inlineStr">
        <is>
          <t>/</t>
        </is>
      </c>
      <c r="F72" s="39" t="inlineStr">
        <is>
          <t>第一批次</t>
        </is>
      </c>
      <c r="G72" s="39">
        <f>IF(OR(M72="挂起",M72="暂停",Q72="挂起",Q72="暂停",U72="挂起",U72="暂停",Y72="挂起",Y72="暂停"),"暂停","已完成")</f>
        <v/>
      </c>
      <c r="H72" s="39">
        <f>IF(L72&lt;&gt;"",L72,IF(P72&lt;&gt;"",P72,IF(T72&lt;&gt;"",T72,X72)))</f>
        <v/>
      </c>
      <c r="I72" s="105">
        <f>IF(COUNT(N72,R72,V72,Z72)=0,"",MIN(N72,R72,V72,Z72))</f>
        <v/>
      </c>
      <c r="J72" s="105">
        <f>IF(ISNUMBER(K72),K72,IF(COUNT(O72,S72,W72,AA72)=0,"",MAX(O72,S72,W72,AA72)))</f>
        <v/>
      </c>
      <c r="K72" s="105" t="n">
        <v>46224</v>
      </c>
      <c r="L72" s="39" t="inlineStr">
        <is>
          <t>郑士旺</t>
        </is>
      </c>
      <c r="M72" s="39" t="inlineStr">
        <is>
          <t>已完成</t>
        </is>
      </c>
      <c r="N72" s="105" t="inlineStr">
        <is>
          <t>/</t>
        </is>
      </c>
      <c r="O72" s="105" t="inlineStr">
        <is>
          <t>/</t>
        </is>
      </c>
      <c r="P72" s="39" t="inlineStr">
        <is>
          <t>常浩</t>
        </is>
      </c>
      <c r="Q72" s="39" t="inlineStr">
        <is>
          <t>已完成</t>
        </is>
      </c>
      <c r="R72" s="105" t="n">
        <v>46195</v>
      </c>
      <c r="S72" s="105" t="n">
        <v>46206</v>
      </c>
      <c r="T72" s="39" t="inlineStr">
        <is>
          <t>常浩</t>
        </is>
      </c>
      <c r="U72" s="39" t="inlineStr">
        <is>
          <t>已完成</t>
        </is>
      </c>
      <c r="V72" s="105" t="n">
        <v>46195</v>
      </c>
      <c r="W72" s="105" t="n">
        <v>46206</v>
      </c>
      <c r="X72" s="39" t="inlineStr">
        <is>
          <t>袁丽荣</t>
        </is>
      </c>
      <c r="Y72" s="39" t="inlineStr">
        <is>
          <t>已完成</t>
        </is>
      </c>
      <c r="Z72" s="105" t="n">
        <v>46216</v>
      </c>
      <c r="AA72" s="105" t="n">
        <v>46234</v>
      </c>
      <c r="AB72" s="71">
        <f>(IF(M72="已完成",1,IF(M72="进行中",0.5,0))*15%+IF(Q72="已完成",1,IF(Q72="进行中",0.5,0))*35%+IF(U72="已完成",1,IF(U72="进行中",0.5,0))*30%+IF(Y72="已完成",1,IF(Y72="进行中",0.5,0))*20%)</f>
        <v/>
      </c>
      <c r="AC72" s="39">
        <f>IF(G72="已完成","正常",IF(OR(G72="暂停",G72="挂起"),"暂停",IF(J72="","日期缺失",IF(J72&lt;'项目驾驶舱'!$B$3,"已延期",IF(J72&lt;='项目驾驶舱'!$B$3+7,"临近到期","正常")))))</f>
        <v/>
      </c>
      <c r="AD72" s="39" t="inlineStr"/>
      <c r="AE72" s="40" t="inlineStr"/>
    </row>
    <row r="73" hidden="1" ht="17" customHeight="1" s="1">
      <c r="A73" s="37" t="inlineStr">
        <is>
          <t>T070</t>
        </is>
      </c>
      <c r="B73" s="39" t="inlineStr">
        <is>
          <t>网上营业厅</t>
        </is>
      </c>
      <c r="C73" s="39" t="inlineStr">
        <is>
          <t>卸船作业信息录入优化（太仓）</t>
        </is>
      </c>
      <c r="D73" s="39" t="inlineStr">
        <is>
          <t>生成报告</t>
        </is>
      </c>
      <c r="E73" s="39" t="inlineStr">
        <is>
          <t>/</t>
        </is>
      </c>
      <c r="F73" s="39" t="inlineStr">
        <is>
          <t>第一批次</t>
        </is>
      </c>
      <c r="G73" s="39">
        <f>IF(OR(M73="挂起",M73="暂停",Q73="挂起",Q73="暂停",U73="挂起",U73="暂停",Y73="挂起",Y73="暂停"),"暂停","已完成")</f>
        <v/>
      </c>
      <c r="H73" s="39">
        <f>IF(L73&lt;&gt;"",L73,IF(P73&lt;&gt;"",P73,IF(T73&lt;&gt;"",T73,X73)))</f>
        <v/>
      </c>
      <c r="I73" s="105">
        <f>IF(COUNT(N73,R73,V73,Z73)=0,"",MIN(N73,R73,V73,Z73))</f>
        <v/>
      </c>
      <c r="J73" s="105">
        <f>IF(ISNUMBER(K73),K73,IF(COUNT(O73,S73,W73,AA73)=0,"",MAX(O73,S73,W73,AA73)))</f>
        <v/>
      </c>
      <c r="K73" s="105" t="n">
        <v>46224</v>
      </c>
      <c r="L73" s="39" t="inlineStr">
        <is>
          <t>郑士旺</t>
        </is>
      </c>
      <c r="M73" s="39" t="inlineStr">
        <is>
          <t>已完成</t>
        </is>
      </c>
      <c r="N73" s="105" t="inlineStr">
        <is>
          <t>/</t>
        </is>
      </c>
      <c r="O73" s="105" t="inlineStr">
        <is>
          <t>/</t>
        </is>
      </c>
      <c r="P73" s="39" t="inlineStr">
        <is>
          <t>石军磊、刘凯</t>
        </is>
      </c>
      <c r="Q73" s="39" t="inlineStr">
        <is>
          <t>已完成</t>
        </is>
      </c>
      <c r="R73" s="105" t="n">
        <v>46195</v>
      </c>
      <c r="S73" s="105" t="n">
        <v>46206</v>
      </c>
      <c r="T73" s="39" t="inlineStr">
        <is>
          <t>贺航</t>
        </is>
      </c>
      <c r="U73" s="39" t="inlineStr">
        <is>
          <t>已完成</t>
        </is>
      </c>
      <c r="V73" s="105" t="n">
        <v>46195</v>
      </c>
      <c r="W73" s="105" t="n">
        <v>46206</v>
      </c>
      <c r="X73" s="39" t="inlineStr">
        <is>
          <t>袁丽荣</t>
        </is>
      </c>
      <c r="Y73" s="39" t="inlineStr">
        <is>
          <t>已完成</t>
        </is>
      </c>
      <c r="Z73" s="105" t="n">
        <v>46202</v>
      </c>
      <c r="AA73" s="105" t="n">
        <v>46213</v>
      </c>
      <c r="AB73" s="71">
        <f>(IF(M73="已完成",1,IF(M73="进行中",0.5,0))*15%+IF(Q73="已完成",1,IF(Q73="进行中",0.5,0))*35%+IF(U73="已完成",1,IF(U73="进行中",0.5,0))*30%+IF(Y73="已完成",1,IF(Y73="进行中",0.5,0))*20%)</f>
        <v/>
      </c>
      <c r="AC73" s="39">
        <f>IF(G73="已完成","正常",IF(OR(G73="暂停",G73="挂起"),"暂停",IF(J73="","日期缺失",IF(J73&lt;'项目驾驶舱'!$B$3,"已延期",IF(J73&lt;='项目驾驶舱'!$B$3+7,"临近到期","正常")))))</f>
        <v/>
      </c>
      <c r="AD73" s="39" t="inlineStr"/>
      <c r="AE73" s="40" t="inlineStr"/>
    </row>
    <row r="74" hidden="1" ht="17" customHeight="1" s="1">
      <c r="A74" s="37" t="inlineStr">
        <is>
          <t>T071</t>
        </is>
      </c>
      <c r="B74" s="39" t="inlineStr">
        <is>
          <t>网上营业厅</t>
        </is>
      </c>
      <c r="C74" s="39" t="inlineStr">
        <is>
          <t>装船作业信息录入优化（太仓）</t>
        </is>
      </c>
      <c r="D74" s="39" t="inlineStr">
        <is>
          <t>/</t>
        </is>
      </c>
      <c r="E74" s="39" t="inlineStr">
        <is>
          <t>/</t>
        </is>
      </c>
      <c r="F74" s="39" t="inlineStr">
        <is>
          <t>第一批次</t>
        </is>
      </c>
      <c r="G74" s="39">
        <f>IF(OR(M74="挂起",M74="暂停",Q74="挂起",Q74="暂停",U74="挂起",U74="暂停",Y74="挂起",Y74="暂停"),"暂停","已完成")</f>
        <v/>
      </c>
      <c r="H74" s="39">
        <f>IF(L74&lt;&gt;"",L74,IF(P74&lt;&gt;"",P74,IF(T74&lt;&gt;"",T74,X74)))</f>
        <v/>
      </c>
      <c r="I74" s="105">
        <f>IF(COUNT(N74,R74,V74,Z74)=0,"",MIN(N74,R74,V74,Z74))</f>
        <v/>
      </c>
      <c r="J74" s="105">
        <f>IF(ISNUMBER(K74),K74,IF(COUNT(O74,S74,W74,AA74)=0,"",MAX(O74,S74,W74,AA74)))</f>
        <v/>
      </c>
      <c r="K74" s="105" t="n">
        <v>46224</v>
      </c>
      <c r="L74" s="39" t="inlineStr">
        <is>
          <t>郑士旺</t>
        </is>
      </c>
      <c r="M74" s="39" t="inlineStr">
        <is>
          <t>已完成</t>
        </is>
      </c>
      <c r="N74" s="105" t="inlineStr">
        <is>
          <t>/</t>
        </is>
      </c>
      <c r="O74" s="105" t="inlineStr">
        <is>
          <t>/</t>
        </is>
      </c>
      <c r="P74" s="39" t="inlineStr">
        <is>
          <t>石军磊、刘凯</t>
        </is>
      </c>
      <c r="Q74" s="39" t="inlineStr">
        <is>
          <t>已完成</t>
        </is>
      </c>
      <c r="R74" s="105" t="n">
        <v>46195</v>
      </c>
      <c r="S74" s="105" t="n">
        <v>46206</v>
      </c>
      <c r="T74" s="39" t="inlineStr">
        <is>
          <t>贺航</t>
        </is>
      </c>
      <c r="U74" s="39" t="inlineStr">
        <is>
          <t>已完成</t>
        </is>
      </c>
      <c r="V74" s="105" t="n">
        <v>46195</v>
      </c>
      <c r="W74" s="105" t="n">
        <v>46206</v>
      </c>
      <c r="X74" s="39" t="inlineStr">
        <is>
          <t>袁丽荣</t>
        </is>
      </c>
      <c r="Y74" s="39" t="inlineStr">
        <is>
          <t>已完成</t>
        </is>
      </c>
      <c r="Z74" s="105" t="n">
        <v>46202</v>
      </c>
      <c r="AA74" s="105" t="n">
        <v>46213</v>
      </c>
      <c r="AB74" s="71">
        <f>(IF(M74="已完成",1,IF(M74="进行中",0.5,0))*15%+IF(Q74="已完成",1,IF(Q74="进行中",0.5,0))*35%+IF(U74="已完成",1,IF(U74="进行中",0.5,0))*30%+IF(Y74="已完成",1,IF(Y74="进行中",0.5,0))*20%)</f>
        <v/>
      </c>
      <c r="AC74" s="39">
        <f>IF(G74="已完成","正常",IF(OR(G74="暂停",G74="挂起"),"暂停",IF(J74="","日期缺失",IF(J74&lt;'项目驾驶舱'!$B$3,"已延期",IF(J74&lt;='项目驾驶舱'!$B$3+7,"临近到期","正常")))))</f>
        <v/>
      </c>
      <c r="AD74" s="39" t="inlineStr"/>
      <c r="AE74" s="40" t="inlineStr"/>
    </row>
    <row r="75" hidden="1" ht="17" customHeight="1" s="1">
      <c r="A75" s="37" t="inlineStr">
        <is>
          <t>T072</t>
        </is>
      </c>
      <c r="B75" s="39" t="inlineStr">
        <is>
          <t>网上营业厅</t>
        </is>
      </c>
      <c r="C75" s="39" t="inlineStr">
        <is>
          <t>船舶预到优化（太仓）</t>
        </is>
      </c>
      <c r="D75" s="39" t="inlineStr">
        <is>
          <t>OCR识别</t>
        </is>
      </c>
      <c r="E75" s="39" t="inlineStr">
        <is>
          <t>/</t>
        </is>
      </c>
      <c r="F75" s="39" t="inlineStr">
        <is>
          <t>第一批次</t>
        </is>
      </c>
      <c r="G75" s="39">
        <f>IF(OR(M75="挂起",M75="暂停",Q75="挂起",Q75="暂停",U75="挂起",U75="暂停",Y75="挂起",Y75="暂停"),"暂停","已完成")</f>
        <v/>
      </c>
      <c r="H75" s="39">
        <f>IF(L75&lt;&gt;"",L75,IF(P75&lt;&gt;"",P75,IF(T75&lt;&gt;"",T75,X75)))</f>
        <v/>
      </c>
      <c r="I75" s="105">
        <f>IF(COUNT(N75,R75,V75,Z75)=0,"",MIN(N75,R75,V75,Z75))</f>
        <v/>
      </c>
      <c r="J75" s="105">
        <f>IF(ISNUMBER(K75),K75,IF(COUNT(O75,S75,W75,AA75)=0,"",MAX(O75,S75,W75,AA75)))</f>
        <v/>
      </c>
      <c r="K75" s="105" t="inlineStr">
        <is>
          <t>/</t>
        </is>
      </c>
      <c r="L75" s="39" t="inlineStr">
        <is>
          <t>郑士旺</t>
        </is>
      </c>
      <c r="M75" s="39" t="inlineStr">
        <is>
          <t>已完成</t>
        </is>
      </c>
      <c r="N75" s="105" t="n">
        <v>46202</v>
      </c>
      <c r="O75" s="105" t="n">
        <v>46206</v>
      </c>
      <c r="P75" s="39" t="inlineStr">
        <is>
          <t>石军磊、刘凯</t>
        </is>
      </c>
      <c r="Q75" s="39" t="inlineStr">
        <is>
          <t>已完成</t>
        </is>
      </c>
      <c r="R75" s="105" t="n">
        <v>46209</v>
      </c>
      <c r="S75" s="105" t="n">
        <v>46225</v>
      </c>
      <c r="T75" s="39" t="inlineStr">
        <is>
          <t>贺航</t>
        </is>
      </c>
      <c r="U75" s="39" t="inlineStr">
        <is>
          <t>已完成</t>
        </is>
      </c>
      <c r="V75" s="105" t="n">
        <v>46209</v>
      </c>
      <c r="W75" s="105" t="n">
        <v>46225</v>
      </c>
      <c r="X75" s="39" t="inlineStr">
        <is>
          <t>袁丽荣</t>
        </is>
      </c>
      <c r="Y75" s="39" t="inlineStr">
        <is>
          <t>已完成</t>
        </is>
      </c>
      <c r="Z75" s="105" t="n">
        <v>46216</v>
      </c>
      <c r="AA75" s="105" t="n">
        <v>46234</v>
      </c>
      <c r="AB75" s="71">
        <f>(IF(M75="已完成",1,IF(M75="进行中",0.5,0))*15%+IF(Q75="已完成",1,IF(Q75="进行中",0.5,0))*35%+IF(U75="已完成",1,IF(U75="进行中",0.5,0))*30%+IF(Y75="已完成",1,IF(Y75="进行中",0.5,0))*20%)</f>
        <v/>
      </c>
      <c r="AC75" s="39">
        <f>IF(G75="已完成","正常",IF(OR(G75="暂停",G75="挂起"),"暂停",IF(J75="","日期缺失",IF(J75&lt;'项目驾驶舱'!$B$3,"已延期",IF(J75&lt;='项目驾驶舱'!$B$3+7,"临近到期","正常")))))</f>
        <v/>
      </c>
      <c r="AD75" s="39" t="inlineStr"/>
      <c r="AE75" s="40" t="inlineStr"/>
    </row>
    <row r="76" hidden="1" ht="17" customHeight="1" s="1">
      <c r="A76" s="37" t="inlineStr">
        <is>
          <t>T073</t>
        </is>
      </c>
      <c r="B76" s="39" t="inlineStr">
        <is>
          <t>网上营业厅</t>
        </is>
      </c>
      <c r="C76" s="39" t="inlineStr">
        <is>
          <t>采样作业信息录入</t>
        </is>
      </c>
      <c r="D76" s="39" t="inlineStr">
        <is>
          <t>采样作业信息录入新增</t>
        </is>
      </c>
      <c r="E76" s="39" t="inlineStr">
        <is>
          <t>/</t>
        </is>
      </c>
      <c r="F76" s="39" t="inlineStr">
        <is>
          <t>第一批次</t>
        </is>
      </c>
      <c r="G76" s="39">
        <f>IF(OR(M76="挂起",M76="暂停",Q76="挂起",Q76="暂停",U76="挂起",U76="暂停",Y76="挂起",Y76="暂停"),"暂停","已完成")</f>
        <v/>
      </c>
      <c r="H76" s="39">
        <f>IF(L76&lt;&gt;"",L76,IF(P76&lt;&gt;"",P76,IF(T76&lt;&gt;"",T76,X76)))</f>
        <v/>
      </c>
      <c r="I76" s="105">
        <f>IF(COUNT(N76,R76,V76,Z76)=0,"",MIN(N76,R76,V76,Z76))</f>
        <v/>
      </c>
      <c r="J76" s="105">
        <f>IF(ISNUMBER(K76),K76,IF(COUNT(O76,S76,W76,AA76)=0,"",MAX(O76,S76,W76,AA76)))</f>
        <v/>
      </c>
      <c r="K76" s="105" t="n">
        <v>46224</v>
      </c>
      <c r="L76" s="39" t="inlineStr">
        <is>
          <t>郑士旺</t>
        </is>
      </c>
      <c r="M76" s="39" t="inlineStr">
        <is>
          <t>已完成</t>
        </is>
      </c>
      <c r="N76" s="105" t="n">
        <v>46202</v>
      </c>
      <c r="O76" s="105" t="n">
        <v>46206</v>
      </c>
      <c r="P76" s="39" t="inlineStr">
        <is>
          <t>石军磊、刘凯</t>
        </is>
      </c>
      <c r="Q76" s="39" t="inlineStr">
        <is>
          <t>已完成</t>
        </is>
      </c>
      <c r="R76" s="105" t="n">
        <v>46227</v>
      </c>
      <c r="S76" s="105" t="n">
        <v>46227</v>
      </c>
      <c r="T76" s="39" t="inlineStr">
        <is>
          <t>贺航</t>
        </is>
      </c>
      <c r="U76" s="39" t="inlineStr">
        <is>
          <t>已完成</t>
        </is>
      </c>
      <c r="V76" s="105" t="n">
        <v>46227</v>
      </c>
      <c r="W76" s="105" t="n">
        <v>46227</v>
      </c>
      <c r="X76" s="39" t="inlineStr">
        <is>
          <t>袁丽荣</t>
        </is>
      </c>
      <c r="Y76" s="39" t="inlineStr">
        <is>
          <t>已完成</t>
        </is>
      </c>
      <c r="Z76" s="105" t="n">
        <v>46216</v>
      </c>
      <c r="AA76" s="105" t="n">
        <v>46234</v>
      </c>
      <c r="AB76" s="71">
        <f>(IF(M76="已完成",1,IF(M76="进行中",0.5,0))*15%+IF(Q76="已完成",1,IF(Q76="进行中",0.5,0))*35%+IF(U76="已完成",1,IF(U76="进行中",0.5,0))*30%+IF(Y76="已完成",1,IF(Y76="进行中",0.5,0))*20%)</f>
        <v/>
      </c>
      <c r="AC76" s="39">
        <f>IF(G76="已完成","正常",IF(OR(G76="暂停",G76="挂起"),"暂停",IF(J76="","日期缺失",IF(J76&lt;'项目驾驶舱'!$B$3,"已延期",IF(J76&lt;='项目驾驶舱'!$B$3+7,"临近到期","正常")))))</f>
        <v/>
      </c>
      <c r="AD76" s="39" t="inlineStr"/>
      <c r="AE76" s="40" t="inlineStr"/>
    </row>
    <row r="77" hidden="1" ht="17" customHeight="1" s="1">
      <c r="A77" s="37" t="inlineStr">
        <is>
          <t>T074</t>
        </is>
      </c>
      <c r="B77" s="39" t="inlineStr">
        <is>
          <t>网上营业厅</t>
        </is>
      </c>
      <c r="C77" s="39" t="inlineStr">
        <is>
          <t>采样作业信息录入</t>
        </is>
      </c>
      <c r="D77" s="39" t="inlineStr">
        <is>
          <t>采样作业信息录入编辑</t>
        </is>
      </c>
      <c r="E77" s="39" t="inlineStr">
        <is>
          <t>/</t>
        </is>
      </c>
      <c r="F77" s="39" t="inlineStr">
        <is>
          <t>第一批次</t>
        </is>
      </c>
      <c r="G77" s="39">
        <f>IF(OR(M77="挂起",M77="暂停",Q77="挂起",Q77="暂停",U77="挂起",U77="暂停",Y77="挂起",Y77="暂停"),"暂停","已完成")</f>
        <v/>
      </c>
      <c r="H77" s="39">
        <f>IF(L77&lt;&gt;"",L77,IF(P77&lt;&gt;"",P77,IF(T77&lt;&gt;"",T77,X77)))</f>
        <v/>
      </c>
      <c r="I77" s="105">
        <f>IF(COUNT(N77,R77,V77,Z77)=0,"",MIN(N77,R77,V77,Z77))</f>
        <v/>
      </c>
      <c r="J77" s="105">
        <f>IF(ISNUMBER(K77),K77,IF(COUNT(O77,S77,W77,AA77)=0,"",MAX(O77,S77,W77,AA77)))</f>
        <v/>
      </c>
      <c r="K77" s="105" t="n">
        <v>46224</v>
      </c>
      <c r="L77" s="39" t="inlineStr">
        <is>
          <t>郑士旺</t>
        </is>
      </c>
      <c r="M77" s="39" t="inlineStr">
        <is>
          <t>已完成</t>
        </is>
      </c>
      <c r="N77" s="105" t="n">
        <v>46202</v>
      </c>
      <c r="O77" s="105" t="n">
        <v>46206</v>
      </c>
      <c r="P77" s="39" t="inlineStr">
        <is>
          <t>石军磊、刘凯</t>
        </is>
      </c>
      <c r="Q77" s="39" t="inlineStr">
        <is>
          <t>已完成</t>
        </is>
      </c>
      <c r="R77" s="105" t="n">
        <v>46227</v>
      </c>
      <c r="S77" s="105" t="n">
        <v>46227</v>
      </c>
      <c r="T77" s="39" t="inlineStr">
        <is>
          <t>贺航</t>
        </is>
      </c>
      <c r="U77" s="39" t="inlineStr">
        <is>
          <t>已完成</t>
        </is>
      </c>
      <c r="V77" s="105" t="n">
        <v>46227</v>
      </c>
      <c r="W77" s="105" t="n">
        <v>46227</v>
      </c>
      <c r="X77" s="39" t="inlineStr">
        <is>
          <t>袁丽荣</t>
        </is>
      </c>
      <c r="Y77" s="39" t="inlineStr">
        <is>
          <t>已完成</t>
        </is>
      </c>
      <c r="Z77" s="105" t="n">
        <v>46216</v>
      </c>
      <c r="AA77" s="105" t="n">
        <v>46234</v>
      </c>
      <c r="AB77" s="71">
        <f>(IF(M77="已完成",1,IF(M77="进行中",0.5,0))*15%+IF(Q77="已完成",1,IF(Q77="进行中",0.5,0))*35%+IF(U77="已完成",1,IF(U77="进行中",0.5,0))*30%+IF(Y77="已完成",1,IF(Y77="进行中",0.5,0))*20%)</f>
        <v/>
      </c>
      <c r="AC77" s="39">
        <f>IF(G77="已完成","正常",IF(OR(G77="暂停",G77="挂起"),"暂停",IF(J77="","日期缺失",IF(J77&lt;'项目驾驶舱'!$B$3,"已延期",IF(J77&lt;='项目驾驶舱'!$B$3+7,"临近到期","正常")))))</f>
        <v/>
      </c>
      <c r="AD77" s="39" t="inlineStr"/>
      <c r="AE77" s="40" t="inlineStr"/>
    </row>
    <row r="78" hidden="1" ht="17" customHeight="1" s="1">
      <c r="A78" s="37" t="inlineStr">
        <is>
          <t>T075</t>
        </is>
      </c>
      <c r="B78" s="39" t="inlineStr">
        <is>
          <t>网上营业厅</t>
        </is>
      </c>
      <c r="C78" s="39" t="inlineStr">
        <is>
          <t>采样作业信息录入</t>
        </is>
      </c>
      <c r="D78" s="39" t="inlineStr">
        <is>
          <t>采样作业信息录入详情</t>
        </is>
      </c>
      <c r="E78" s="39" t="inlineStr">
        <is>
          <t>/</t>
        </is>
      </c>
      <c r="F78" s="39" t="inlineStr">
        <is>
          <t>第一批次</t>
        </is>
      </c>
      <c r="G78" s="39">
        <f>IF(OR(M78="挂起",M78="暂停",Q78="挂起",Q78="暂停",U78="挂起",U78="暂停",Y78="挂起",Y78="暂停"),"暂停","已完成")</f>
        <v/>
      </c>
      <c r="H78" s="39">
        <f>IF(L78&lt;&gt;"",L78,IF(P78&lt;&gt;"",P78,IF(T78&lt;&gt;"",T78,X78)))</f>
        <v/>
      </c>
      <c r="I78" s="105">
        <f>IF(COUNT(N78,R78,V78,Z78)=0,"",MIN(N78,R78,V78,Z78))</f>
        <v/>
      </c>
      <c r="J78" s="105">
        <f>IF(ISNUMBER(K78),K78,IF(COUNT(O78,S78,W78,AA78)=0,"",MAX(O78,S78,W78,AA78)))</f>
        <v/>
      </c>
      <c r="K78" s="105" t="n">
        <v>46224</v>
      </c>
      <c r="L78" s="39" t="inlineStr">
        <is>
          <t>郑士旺</t>
        </is>
      </c>
      <c r="M78" s="39" t="inlineStr">
        <is>
          <t>已完成</t>
        </is>
      </c>
      <c r="N78" s="105" t="n">
        <v>46202</v>
      </c>
      <c r="O78" s="105" t="n">
        <v>46206</v>
      </c>
      <c r="P78" s="39" t="inlineStr">
        <is>
          <t>石军磊、刘凯</t>
        </is>
      </c>
      <c r="Q78" s="39" t="inlineStr">
        <is>
          <t>已完成</t>
        </is>
      </c>
      <c r="R78" s="105" t="n">
        <v>46227</v>
      </c>
      <c r="S78" s="105" t="n">
        <v>46227</v>
      </c>
      <c r="T78" s="39" t="inlineStr">
        <is>
          <t>贺航</t>
        </is>
      </c>
      <c r="U78" s="39" t="inlineStr">
        <is>
          <t>已完成</t>
        </is>
      </c>
      <c r="V78" s="105" t="n">
        <v>46227</v>
      </c>
      <c r="W78" s="105" t="n">
        <v>46227</v>
      </c>
      <c r="X78" s="39" t="inlineStr">
        <is>
          <t>袁丽荣</t>
        </is>
      </c>
      <c r="Y78" s="39" t="inlineStr">
        <is>
          <t>已完成</t>
        </is>
      </c>
      <c r="Z78" s="105" t="n">
        <v>46216</v>
      </c>
      <c r="AA78" s="105" t="n">
        <v>46234</v>
      </c>
      <c r="AB78" s="71">
        <f>(IF(M78="已完成",1,IF(M78="进行中",0.5,0))*15%+IF(Q78="已完成",1,IF(Q78="进行中",0.5,0))*35%+IF(U78="已完成",1,IF(U78="进行中",0.5,0))*30%+IF(Y78="已完成",1,IF(Y78="进行中",0.5,0))*20%)</f>
        <v/>
      </c>
      <c r="AC78" s="39">
        <f>IF(G78="已完成","正常",IF(OR(G78="暂停",G78="挂起"),"暂停",IF(J78="","日期缺失",IF(J78&lt;'项目驾驶舱'!$B$3,"已延期",IF(J78&lt;='项目驾驶舱'!$B$3+7,"临近到期","正常")))))</f>
        <v/>
      </c>
      <c r="AD78" s="39" t="inlineStr"/>
      <c r="AE78" s="40" t="inlineStr"/>
    </row>
    <row r="79" hidden="1" ht="17" customHeight="1" s="1">
      <c r="A79" s="37" t="inlineStr">
        <is>
          <t>T076</t>
        </is>
      </c>
      <c r="B79" s="39" t="inlineStr">
        <is>
          <t>网上营业厅</t>
        </is>
      </c>
      <c r="C79" s="39" t="inlineStr">
        <is>
          <t>采样作业信息录入</t>
        </is>
      </c>
      <c r="D79" s="39" t="inlineStr">
        <is>
          <t>采样作业信息录入删除</t>
        </is>
      </c>
      <c r="E79" s="39" t="inlineStr">
        <is>
          <t>/</t>
        </is>
      </c>
      <c r="F79" s="39" t="inlineStr">
        <is>
          <t>第一批次</t>
        </is>
      </c>
      <c r="G79" s="39">
        <f>IF(OR(M79="挂起",M79="暂停",Q79="挂起",Q79="暂停",U79="挂起",U79="暂停",Y79="挂起",Y79="暂停"),"暂停","已完成")</f>
        <v/>
      </c>
      <c r="H79" s="39">
        <f>IF(L79&lt;&gt;"",L79,IF(P79&lt;&gt;"",P79,IF(T79&lt;&gt;"",T79,X79)))</f>
        <v/>
      </c>
      <c r="I79" s="105">
        <f>IF(COUNT(N79,R79,V79,Z79)=0,"",MIN(N79,R79,V79,Z79))</f>
        <v/>
      </c>
      <c r="J79" s="105">
        <f>IF(ISNUMBER(K79),K79,IF(COUNT(O79,S79,W79,AA79)=0,"",MAX(O79,S79,W79,AA79)))</f>
        <v/>
      </c>
      <c r="K79" s="105" t="n">
        <v>46224</v>
      </c>
      <c r="L79" s="39" t="inlineStr">
        <is>
          <t>郑士旺</t>
        </is>
      </c>
      <c r="M79" s="39" t="inlineStr">
        <is>
          <t>已完成</t>
        </is>
      </c>
      <c r="N79" s="105" t="n">
        <v>46202</v>
      </c>
      <c r="O79" s="105" t="n">
        <v>46206</v>
      </c>
      <c r="P79" s="39" t="inlineStr">
        <is>
          <t>石军磊、刘凯</t>
        </is>
      </c>
      <c r="Q79" s="39" t="inlineStr">
        <is>
          <t>已完成</t>
        </is>
      </c>
      <c r="R79" s="105" t="n">
        <v>46227</v>
      </c>
      <c r="S79" s="105" t="n">
        <v>46227</v>
      </c>
      <c r="T79" s="39" t="inlineStr">
        <is>
          <t>贺航</t>
        </is>
      </c>
      <c r="U79" s="39" t="inlineStr">
        <is>
          <t>已完成</t>
        </is>
      </c>
      <c r="V79" s="105" t="n">
        <v>46227</v>
      </c>
      <c r="W79" s="105" t="n">
        <v>46227</v>
      </c>
      <c r="X79" s="39" t="inlineStr">
        <is>
          <t>袁丽荣</t>
        </is>
      </c>
      <c r="Y79" s="39" t="inlineStr">
        <is>
          <t>已完成</t>
        </is>
      </c>
      <c r="Z79" s="105" t="n">
        <v>46216</v>
      </c>
      <c r="AA79" s="105" t="n">
        <v>46234</v>
      </c>
      <c r="AB79" s="71">
        <f>(IF(M79="已完成",1,IF(M79="进行中",0.5,0))*15%+IF(Q79="已完成",1,IF(Q79="进行中",0.5,0))*35%+IF(U79="已完成",1,IF(U79="进行中",0.5,0))*30%+IF(Y79="已完成",1,IF(Y79="进行中",0.5,0))*20%)</f>
        <v/>
      </c>
      <c r="AC79" s="39">
        <f>IF(G79="已完成","正常",IF(OR(G79="暂停",G79="挂起"),"暂停",IF(J79="","日期缺失",IF(J79&lt;'项目驾驶舱'!$B$3,"已延期",IF(J79&lt;='项目驾驶舱'!$B$3+7,"临近到期","正常")))))</f>
        <v/>
      </c>
      <c r="AD79" s="39" t="inlineStr"/>
      <c r="AE79" s="40" t="inlineStr"/>
    </row>
    <row r="80" hidden="1" ht="17" customHeight="1" s="1">
      <c r="A80" s="37" t="inlineStr">
        <is>
          <t>T077</t>
        </is>
      </c>
      <c r="B80" s="39" t="inlineStr">
        <is>
          <t>网上营业厅</t>
        </is>
      </c>
      <c r="C80" s="39" t="inlineStr">
        <is>
          <t>采样作业信息录入</t>
        </is>
      </c>
      <c r="D80" s="39" t="inlineStr">
        <is>
          <t>采样作业信息录入列表</t>
        </is>
      </c>
      <c r="E80" s="39" t="inlineStr">
        <is>
          <t>/</t>
        </is>
      </c>
      <c r="F80" s="39" t="inlineStr">
        <is>
          <t>第一批次</t>
        </is>
      </c>
      <c r="G80" s="39">
        <f>IF(OR(M80="挂起",M80="暂停",Q80="挂起",Q80="暂停",U80="挂起",U80="暂停",Y80="挂起",Y80="暂停"),"暂停","已完成")</f>
        <v/>
      </c>
      <c r="H80" s="39">
        <f>IF(L80&lt;&gt;"",L80,IF(P80&lt;&gt;"",P80,IF(T80&lt;&gt;"",T80,X80)))</f>
        <v/>
      </c>
      <c r="I80" s="105">
        <f>IF(COUNT(N80,R80,V80,Z80)=0,"",MIN(N80,R80,V80,Z80))</f>
        <v/>
      </c>
      <c r="J80" s="105">
        <f>IF(ISNUMBER(K80),K80,IF(COUNT(O80,S80,W80,AA80)=0,"",MAX(O80,S80,W80,AA80)))</f>
        <v/>
      </c>
      <c r="K80" s="105" t="n">
        <v>46224</v>
      </c>
      <c r="L80" s="39" t="inlineStr">
        <is>
          <t>郑士旺</t>
        </is>
      </c>
      <c r="M80" s="39" t="inlineStr">
        <is>
          <t>已完成</t>
        </is>
      </c>
      <c r="N80" s="105" t="n">
        <v>46202</v>
      </c>
      <c r="O80" s="105" t="n">
        <v>46206</v>
      </c>
      <c r="P80" s="39" t="inlineStr">
        <is>
          <t>石军磊、刘凯</t>
        </is>
      </c>
      <c r="Q80" s="39" t="inlineStr">
        <is>
          <t>已完成</t>
        </is>
      </c>
      <c r="R80" s="105" t="n">
        <v>46227</v>
      </c>
      <c r="S80" s="105" t="n">
        <v>46227</v>
      </c>
      <c r="T80" s="39" t="inlineStr">
        <is>
          <t>贺航</t>
        </is>
      </c>
      <c r="U80" s="39" t="inlineStr">
        <is>
          <t>已完成</t>
        </is>
      </c>
      <c r="V80" s="105" t="n">
        <v>46227</v>
      </c>
      <c r="W80" s="105" t="n">
        <v>46227</v>
      </c>
      <c r="X80" s="39" t="inlineStr">
        <is>
          <t>袁丽荣</t>
        </is>
      </c>
      <c r="Y80" s="39" t="inlineStr">
        <is>
          <t>已完成</t>
        </is>
      </c>
      <c r="Z80" s="105" t="n">
        <v>46216</v>
      </c>
      <c r="AA80" s="105" t="n">
        <v>46234</v>
      </c>
      <c r="AB80" s="71">
        <f>(IF(M80="已完成",1,IF(M80="进行中",0.5,0))*15%+IF(Q80="已完成",1,IF(Q80="进行中",0.5,0))*35%+IF(U80="已完成",1,IF(U80="进行中",0.5,0))*30%+IF(Y80="已完成",1,IF(Y80="进行中",0.5,0))*20%)</f>
        <v/>
      </c>
      <c r="AC80" s="39">
        <f>IF(G80="已完成","正常",IF(OR(G80="暂停",G80="挂起"),"暂停",IF(J80="","日期缺失",IF(J80&lt;'项目驾驶舱'!$B$3,"已延期",IF(J80&lt;='项目驾驶舱'!$B$3+7,"临近到期","正常")))))</f>
        <v/>
      </c>
      <c r="AD80" s="39" t="inlineStr"/>
      <c r="AE80" s="40" t="inlineStr"/>
    </row>
    <row r="81" hidden="1" ht="17" customHeight="1" s="1">
      <c r="A81" s="37" t="inlineStr">
        <is>
          <t>T078</t>
        </is>
      </c>
      <c r="B81" s="39" t="inlineStr">
        <is>
          <t>费用结算</t>
        </is>
      </c>
      <c r="C81" s="39" t="inlineStr">
        <is>
          <t>费用合同签订校验</t>
        </is>
      </c>
      <c r="D81" s="39" t="inlineStr">
        <is>
          <t>业务数据合同签订校验</t>
        </is>
      </c>
      <c r="E81" s="39" t="inlineStr">
        <is>
          <t>/</t>
        </is>
      </c>
      <c r="F81" s="39" t="inlineStr">
        <is>
          <t>第二批次</t>
        </is>
      </c>
      <c r="G81" s="39">
        <f>IF(OR(M81="挂起",M81="暂停",Q81="挂起",Q81="暂停",U81="挂起",U81="暂停",Y81="挂起",Y81="暂停"),"暂停","未开始")</f>
        <v/>
      </c>
      <c r="H81" s="39">
        <f>IF(L81&lt;&gt;"",L81,IF(P81&lt;&gt;"",P81,IF(T81&lt;&gt;"",T81,X81)))</f>
        <v/>
      </c>
      <c r="I81" s="105">
        <f>IF(COUNT(N81,R81,V81,Z81)=0,"",MIN(N81,R81,V81,Z81))</f>
        <v/>
      </c>
      <c r="J81" s="105">
        <f>IF(ISNUMBER(K81),K81,IF(COUNT(O81,S81,W81,AA81)=0,"",MAX(O81,S81,W81,AA81)))</f>
        <v/>
      </c>
      <c r="K81" s="105" t="n"/>
      <c r="L81" s="39" t="inlineStr">
        <is>
          <t>郑士旺</t>
        </is>
      </c>
      <c r="M81" s="39" t="inlineStr">
        <is>
          <t>未开始</t>
        </is>
      </c>
      <c r="N81" s="105" t="n">
        <v>46223</v>
      </c>
      <c r="O81" s="105" t="n">
        <v>46227</v>
      </c>
      <c r="P81" s="39" t="inlineStr">
        <is>
          <t>石军磊、刘凯</t>
        </is>
      </c>
      <c r="Q81" s="39" t="inlineStr">
        <is>
          <t>未开始</t>
        </is>
      </c>
      <c r="R81" s="105" t="n">
        <v>46307</v>
      </c>
      <c r="S81" s="105" t="n">
        <v>46339</v>
      </c>
      <c r="T81" s="39" t="inlineStr">
        <is>
          <t>贺航</t>
        </is>
      </c>
      <c r="U81" s="39" t="inlineStr">
        <is>
          <t>未开始</t>
        </is>
      </c>
      <c r="V81" s="105" t="n">
        <v>46307</v>
      </c>
      <c r="W81" s="105" t="n">
        <v>46339</v>
      </c>
      <c r="X81" s="39" t="inlineStr">
        <is>
          <t>袁丽荣</t>
        </is>
      </c>
      <c r="Y81" s="39" t="inlineStr">
        <is>
          <t>未开始</t>
        </is>
      </c>
      <c r="Z81" s="105" t="n">
        <v>46307</v>
      </c>
      <c r="AA81" s="105" t="n">
        <v>46318</v>
      </c>
      <c r="AB81" s="71">
        <f>(IF(M81="已完成",1,IF(M81="进行中",0.5,0))*15%+IF(Q81="已完成",1,IF(Q81="进行中",0.5,0))*35%+IF(U81="已完成",1,IF(U81="进行中",0.5,0))*30%+IF(Y81="已完成",1,IF(Y81="进行中",0.5,0))*20%)</f>
        <v/>
      </c>
      <c r="AC81" s="39">
        <f>IF(G81="已完成","正常",IF(OR(G81="暂停",G81="挂起"),"暂停",IF(J81="","日期缺失",IF(J81&lt;'项目驾驶舱'!$B$3,"已延期",IF(J81&lt;='项目驾驶舱'!$B$3+7,"临近到期","正常")))))</f>
        <v/>
      </c>
      <c r="AD81" s="39" t="inlineStr"/>
      <c r="AE81" s="40" t="inlineStr"/>
    </row>
    <row r="82" hidden="1" ht="17" customHeight="1" s="1">
      <c r="A82" s="37" t="inlineStr">
        <is>
          <t>T079</t>
        </is>
      </c>
      <c r="B82" s="39" t="inlineStr">
        <is>
          <t>费用结算</t>
        </is>
      </c>
      <c r="C82" s="39" t="inlineStr">
        <is>
          <t>费用合同签订校验</t>
        </is>
      </c>
      <c r="D82" s="39" t="inlineStr">
        <is>
          <t>结算数据合同签订校验</t>
        </is>
      </c>
      <c r="E82" s="39" t="inlineStr">
        <is>
          <t>/</t>
        </is>
      </c>
      <c r="F82" s="39" t="inlineStr">
        <is>
          <t>第二批次</t>
        </is>
      </c>
      <c r="G82" s="39">
        <f>IF(OR(M82="挂起",M82="暂停",Q82="挂起",Q82="暂停",U82="挂起",U82="暂停",Y82="挂起",Y82="暂停"),"暂停","未开始")</f>
        <v/>
      </c>
      <c r="H82" s="39">
        <f>IF(L82&lt;&gt;"",L82,IF(P82&lt;&gt;"",P82,IF(T82&lt;&gt;"",T82,X82)))</f>
        <v/>
      </c>
      <c r="I82" s="105">
        <f>IF(COUNT(N82,R82,V82,Z82)=0,"",MIN(N82,R82,V82,Z82))</f>
        <v/>
      </c>
      <c r="J82" s="105">
        <f>IF(ISNUMBER(K82),K82,IF(COUNT(O82,S82,W82,AA82)=0,"",MAX(O82,S82,W82,AA82)))</f>
        <v/>
      </c>
      <c r="K82" s="105" t="n"/>
      <c r="L82" s="39" t="inlineStr">
        <is>
          <t>郑士旺</t>
        </is>
      </c>
      <c r="M82" s="39" t="inlineStr">
        <is>
          <t>未开始</t>
        </is>
      </c>
      <c r="N82" s="105" t="n">
        <v>46223</v>
      </c>
      <c r="O82" s="105" t="n">
        <v>46227</v>
      </c>
      <c r="P82" s="39" t="inlineStr">
        <is>
          <t>石军磊、刘凯</t>
        </is>
      </c>
      <c r="Q82" s="39" t="inlineStr">
        <is>
          <t>未开始</t>
        </is>
      </c>
      <c r="R82" s="105" t="n">
        <v>46307</v>
      </c>
      <c r="S82" s="105" t="n">
        <v>46339</v>
      </c>
      <c r="T82" s="39" t="inlineStr">
        <is>
          <t>贺航</t>
        </is>
      </c>
      <c r="U82" s="39" t="inlineStr">
        <is>
          <t>未开始</t>
        </is>
      </c>
      <c r="V82" s="105" t="n">
        <v>46307</v>
      </c>
      <c r="W82" s="105" t="n">
        <v>46339</v>
      </c>
      <c r="X82" s="39" t="inlineStr">
        <is>
          <t>袁丽荣</t>
        </is>
      </c>
      <c r="Y82" s="39" t="inlineStr">
        <is>
          <t>未开始</t>
        </is>
      </c>
      <c r="Z82" s="105" t="n">
        <v>46307</v>
      </c>
      <c r="AA82" s="105" t="n">
        <v>46318</v>
      </c>
      <c r="AB82" s="71">
        <f>(IF(M82="已完成",1,IF(M82="进行中",0.5,0))*15%+IF(Q82="已完成",1,IF(Q82="进行中",0.5,0))*35%+IF(U82="已完成",1,IF(U82="进行中",0.5,0))*30%+IF(Y82="已完成",1,IF(Y82="进行中",0.5,0))*20%)</f>
        <v/>
      </c>
      <c r="AC82" s="39">
        <f>IF(G82="已完成","正常",IF(OR(G82="暂停",G82="挂起"),"暂停",IF(J82="","日期缺失",IF(J82&lt;'项目驾驶舱'!$B$3,"已延期",IF(J82&lt;='项目驾驶舱'!$B$3+7,"临近到期","正常")))))</f>
        <v/>
      </c>
      <c r="AD82" s="39" t="inlineStr"/>
      <c r="AE82" s="40" t="inlineStr"/>
    </row>
    <row r="83" hidden="1" ht="17" customHeight="1" s="1">
      <c r="A83" s="37" t="inlineStr">
        <is>
          <t>T080</t>
        </is>
      </c>
      <c r="B83" s="39" t="inlineStr">
        <is>
          <t>费用结算</t>
        </is>
      </c>
      <c r="C83" s="39" t="inlineStr">
        <is>
          <t>费用合同签订校验</t>
        </is>
      </c>
      <c r="D83" s="39" t="inlineStr">
        <is>
          <t>合同校验结果查询</t>
        </is>
      </c>
      <c r="E83" s="39" t="inlineStr">
        <is>
          <t>/</t>
        </is>
      </c>
      <c r="F83" s="39" t="inlineStr">
        <is>
          <t>第二批次</t>
        </is>
      </c>
      <c r="G83" s="39">
        <f>IF(OR(M83="挂起",M83="暂停",Q83="挂起",Q83="暂停",U83="挂起",U83="暂停",Y83="挂起",Y83="暂停"),"暂停","未开始")</f>
        <v/>
      </c>
      <c r="H83" s="39">
        <f>IF(L83&lt;&gt;"",L83,IF(P83&lt;&gt;"",P83,IF(T83&lt;&gt;"",T83,X83)))</f>
        <v/>
      </c>
      <c r="I83" s="105">
        <f>IF(COUNT(N83,R83,V83,Z83)=0,"",MIN(N83,R83,V83,Z83))</f>
        <v/>
      </c>
      <c r="J83" s="105">
        <f>IF(ISNUMBER(K83),K83,IF(COUNT(O83,S83,W83,AA83)=0,"",MAX(O83,S83,W83,AA83)))</f>
        <v/>
      </c>
      <c r="K83" s="105" t="n">
        <v>46261</v>
      </c>
      <c r="L83" s="39" t="inlineStr">
        <is>
          <t>郑士旺</t>
        </is>
      </c>
      <c r="M83" s="39" t="inlineStr">
        <is>
          <t>未开始</t>
        </is>
      </c>
      <c r="N83" s="105" t="n">
        <v>46223</v>
      </c>
      <c r="O83" s="105" t="n">
        <v>46227</v>
      </c>
      <c r="P83" s="39" t="inlineStr">
        <is>
          <t>石军磊、刘凯</t>
        </is>
      </c>
      <c r="Q83" s="39" t="inlineStr">
        <is>
          <t>未开始</t>
        </is>
      </c>
      <c r="R83" s="105" t="n">
        <v>46307</v>
      </c>
      <c r="S83" s="105" t="n">
        <v>46339</v>
      </c>
      <c r="T83" s="39" t="inlineStr">
        <is>
          <t>贺航</t>
        </is>
      </c>
      <c r="U83" s="39" t="inlineStr">
        <is>
          <t>未开始</t>
        </is>
      </c>
      <c r="V83" s="105" t="n">
        <v>46307</v>
      </c>
      <c r="W83" s="105" t="n">
        <v>46339</v>
      </c>
      <c r="X83" s="39" t="inlineStr">
        <is>
          <t>袁丽荣</t>
        </is>
      </c>
      <c r="Y83" s="39" t="inlineStr">
        <is>
          <t>未开始</t>
        </is>
      </c>
      <c r="Z83" s="105" t="n">
        <v>46307</v>
      </c>
      <c r="AA83" s="105" t="n">
        <v>46318</v>
      </c>
      <c r="AB83" s="71">
        <f>(IF(M83="已完成",1,IF(M83="进行中",0.5,0))*15%+IF(Q83="已完成",1,IF(Q83="进行中",0.5,0))*35%+IF(U83="已完成",1,IF(U83="进行中",0.5,0))*30%+IF(Y83="已完成",1,IF(Y83="进行中",0.5,0))*20%)</f>
        <v/>
      </c>
      <c r="AC83" s="39">
        <f>IF(G83="已完成","正常",IF(OR(G83="暂停",G83="挂起"),"暂停",IF(J83="","日期缺失",IF(J83&lt;'项目驾驶舱'!$B$3,"已延期",IF(J83&lt;='项目驾驶舱'!$B$3+7,"临近到期","正常")))))</f>
        <v/>
      </c>
      <c r="AD83" s="39" t="inlineStr"/>
      <c r="AE83" s="40" t="inlineStr"/>
    </row>
    <row r="84" hidden="1" ht="17" customHeight="1" s="1">
      <c r="A84" s="37" t="inlineStr">
        <is>
          <t>T081</t>
        </is>
      </c>
      <c r="B84" s="39" t="inlineStr">
        <is>
          <t>费用结算</t>
        </is>
      </c>
      <c r="C84" s="39" t="inlineStr">
        <is>
          <t>停泊费（外贸）</t>
        </is>
      </c>
      <c r="D84" s="39" t="inlineStr">
        <is>
          <t>数据对接</t>
        </is>
      </c>
      <c r="E84" s="39" t="inlineStr">
        <is>
          <t>/</t>
        </is>
      </c>
      <c r="F84" s="39" t="inlineStr">
        <is>
          <t>第二批次</t>
        </is>
      </c>
      <c r="G84" s="39">
        <f>IF(OR(M84="挂起",M84="暂停",Q84="挂起",Q84="暂停",U84="挂起",U84="暂停",Y84="挂起",Y84="暂停"),"暂停","未开始")</f>
        <v/>
      </c>
      <c r="H84" s="39">
        <f>IF(L84&lt;&gt;"",L84,IF(P84&lt;&gt;"",P84,IF(T84&lt;&gt;"",T84,X84)))</f>
        <v/>
      </c>
      <c r="I84" s="105">
        <f>IF(COUNT(N84,R84,V84,Z84)=0,"",MIN(N84,R84,V84,Z84))</f>
        <v/>
      </c>
      <c r="J84" s="105">
        <f>IF(ISNUMBER(K84),K84,IF(COUNT(O84,S84,W84,AA84)=0,"",MAX(O84,S84,W84,AA84)))</f>
        <v/>
      </c>
      <c r="K84" s="105" t="n"/>
      <c r="L84" s="39" t="inlineStr">
        <is>
          <t>郑士旺</t>
        </is>
      </c>
      <c r="M84" s="39" t="inlineStr">
        <is>
          <t>未开始</t>
        </is>
      </c>
      <c r="N84" s="105" t="n">
        <v>46230</v>
      </c>
      <c r="O84" s="105" t="n">
        <v>46241</v>
      </c>
      <c r="P84" s="39" t="inlineStr">
        <is>
          <t>石军磊、刘凯</t>
        </is>
      </c>
      <c r="Q84" s="39" t="inlineStr">
        <is>
          <t>未开始</t>
        </is>
      </c>
      <c r="R84" s="105" t="n">
        <v>46307</v>
      </c>
      <c r="S84" s="105" t="n">
        <v>46339</v>
      </c>
      <c r="T84" s="39" t="inlineStr">
        <is>
          <t>贺航</t>
        </is>
      </c>
      <c r="U84" s="39" t="inlineStr">
        <is>
          <t>未开始</t>
        </is>
      </c>
      <c r="V84" s="105" t="n">
        <v>46307</v>
      </c>
      <c r="W84" s="105" t="n">
        <v>46339</v>
      </c>
      <c r="X84" s="39" t="inlineStr">
        <is>
          <t>袁丽荣</t>
        </is>
      </c>
      <c r="Y84" s="39" t="inlineStr">
        <is>
          <t>未开始</t>
        </is>
      </c>
      <c r="Z84" s="105" t="n">
        <v>46342</v>
      </c>
      <c r="AA84" s="105" t="n">
        <v>46353</v>
      </c>
      <c r="AB84" s="71">
        <f>(IF(M84="已完成",1,IF(M84="进行中",0.5,0))*15%+IF(Q84="已完成",1,IF(Q84="进行中",0.5,0))*35%+IF(U84="已完成",1,IF(U84="进行中",0.5,0))*30%+IF(Y84="已完成",1,IF(Y84="进行中",0.5,0))*20%)</f>
        <v/>
      </c>
      <c r="AC84" s="39">
        <f>IF(G84="已完成","正常",IF(OR(G84="暂停",G84="挂起"),"暂停",IF(J84="","日期缺失",IF(J84&lt;'项目驾驶舱'!$B$3,"已延期",IF(J84&lt;='项目驾驶舱'!$B$3+7,"临近到期","正常")))))</f>
        <v/>
      </c>
      <c r="AD84" s="39" t="inlineStr"/>
      <c r="AE84" s="40" t="inlineStr"/>
    </row>
    <row r="85" hidden="1" ht="17" customHeight="1" s="1">
      <c r="A85" s="37" t="inlineStr">
        <is>
          <t>T082</t>
        </is>
      </c>
      <c r="B85" s="39" t="inlineStr">
        <is>
          <t>费用结算</t>
        </is>
      </c>
      <c r="C85" s="39" t="inlineStr">
        <is>
          <t>停泊费（外贸）</t>
        </is>
      </c>
      <c r="D85" s="39" t="inlineStr">
        <is>
          <t>数据展示</t>
        </is>
      </c>
      <c r="E85" s="39" t="inlineStr">
        <is>
          <t>/</t>
        </is>
      </c>
      <c r="F85" s="39" t="inlineStr">
        <is>
          <t>第二批次</t>
        </is>
      </c>
      <c r="G85" s="39">
        <f>IF(OR(M85="挂起",M85="暂停",Q85="挂起",Q85="暂停",U85="挂起",U85="暂停",Y85="挂起",Y85="暂停"),"暂停","未开始")</f>
        <v/>
      </c>
      <c r="H85" s="39">
        <f>IF(L85&lt;&gt;"",L85,IF(P85&lt;&gt;"",P85,IF(T85&lt;&gt;"",T85,X85)))</f>
        <v/>
      </c>
      <c r="I85" s="105">
        <f>IF(COUNT(N85,R85,V85,Z85)=0,"",MIN(N85,R85,V85,Z85))</f>
        <v/>
      </c>
      <c r="J85" s="105">
        <f>IF(ISNUMBER(K85),K85,IF(COUNT(O85,S85,W85,AA85)=0,"",MAX(O85,S85,W85,AA85)))</f>
        <v/>
      </c>
      <c r="K85" s="105" t="n">
        <v>46224</v>
      </c>
      <c r="L85" s="39" t="inlineStr">
        <is>
          <t>郑士旺</t>
        </is>
      </c>
      <c r="M85" s="39" t="inlineStr">
        <is>
          <t>未开始</t>
        </is>
      </c>
      <c r="N85" s="105" t="n">
        <v>46230</v>
      </c>
      <c r="O85" s="105" t="n">
        <v>46241</v>
      </c>
      <c r="P85" s="39" t="inlineStr">
        <is>
          <t>石军磊、刘凯</t>
        </is>
      </c>
      <c r="Q85" s="39" t="inlineStr">
        <is>
          <t>未开始</t>
        </is>
      </c>
      <c r="R85" s="105" t="n">
        <v>46307</v>
      </c>
      <c r="S85" s="105" t="n">
        <v>46339</v>
      </c>
      <c r="T85" s="39" t="inlineStr">
        <is>
          <t>贺航</t>
        </is>
      </c>
      <c r="U85" s="39" t="inlineStr">
        <is>
          <t>未开始</t>
        </is>
      </c>
      <c r="V85" s="105" t="n">
        <v>46307</v>
      </c>
      <c r="W85" s="105" t="n">
        <v>46339</v>
      </c>
      <c r="X85" s="39" t="inlineStr">
        <is>
          <t>袁丽荣</t>
        </is>
      </c>
      <c r="Y85" s="39" t="inlineStr">
        <is>
          <t>未开始</t>
        </is>
      </c>
      <c r="Z85" s="105" t="n">
        <v>46342</v>
      </c>
      <c r="AA85" s="105" t="n">
        <v>46353</v>
      </c>
      <c r="AB85" s="71">
        <f>(IF(M85="已完成",1,IF(M85="进行中",0.5,0))*15%+IF(Q85="已完成",1,IF(Q85="进行中",0.5,0))*35%+IF(U85="已完成",1,IF(U85="进行中",0.5,0))*30%+IF(Y85="已完成",1,IF(Y85="进行中",0.5,0))*20%)</f>
        <v/>
      </c>
      <c r="AC85" s="39">
        <f>IF(G85="已完成","正常",IF(OR(G85="暂停",G85="挂起"),"暂停",IF(J85="","日期缺失",IF(J85&lt;'项目驾驶舱'!$B$3,"已延期",IF(J85&lt;='项目驾驶舱'!$B$3+7,"临近到期","正常")))))</f>
        <v/>
      </c>
      <c r="AD85" s="39" t="inlineStr"/>
      <c r="AE85" s="40" t="inlineStr"/>
    </row>
    <row r="86" hidden="1" ht="17" customHeight="1" s="1">
      <c r="A86" s="37" t="inlineStr">
        <is>
          <t>T083</t>
        </is>
      </c>
      <c r="B86" s="39" t="inlineStr">
        <is>
          <t>费用结算</t>
        </is>
      </c>
      <c r="C86" s="39" t="inlineStr">
        <is>
          <t>锚泊费（外贸）</t>
        </is>
      </c>
      <c r="D86" s="39" t="inlineStr">
        <is>
          <t>数据对接</t>
        </is>
      </c>
      <c r="E86" s="39" t="inlineStr">
        <is>
          <t>/</t>
        </is>
      </c>
      <c r="F86" s="39" t="inlineStr">
        <is>
          <t>第二批次</t>
        </is>
      </c>
      <c r="G86" s="39">
        <f>IF(OR(M86="挂起",M86="暂停",Q86="挂起",Q86="暂停",U86="挂起",U86="暂停",Y86="挂起",Y86="暂停"),"暂停","未开始")</f>
        <v/>
      </c>
      <c r="H86" s="39">
        <f>IF(L86&lt;&gt;"",L86,IF(P86&lt;&gt;"",P86,IF(T86&lt;&gt;"",T86,X86)))</f>
        <v/>
      </c>
      <c r="I86" s="105">
        <f>IF(COUNT(N86,R86,V86,Z86)=0,"",MIN(N86,R86,V86,Z86))</f>
        <v/>
      </c>
      <c r="J86" s="105">
        <f>IF(ISNUMBER(K86),K86,IF(COUNT(O86,S86,W86,AA86)=0,"",MAX(O86,S86,W86,AA86)))</f>
        <v/>
      </c>
      <c r="K86" s="105" t="n">
        <v>46224</v>
      </c>
      <c r="L86" s="39" t="inlineStr">
        <is>
          <t>郑士旺</t>
        </is>
      </c>
      <c r="M86" s="39" t="inlineStr">
        <is>
          <t>未开始</t>
        </is>
      </c>
      <c r="N86" s="105" t="n">
        <v>46230</v>
      </c>
      <c r="O86" s="105" t="n">
        <v>46241</v>
      </c>
      <c r="P86" s="39" t="inlineStr">
        <is>
          <t>石军磊、刘凯</t>
        </is>
      </c>
      <c r="Q86" s="39" t="inlineStr">
        <is>
          <t>未开始</t>
        </is>
      </c>
      <c r="R86" s="105" t="n">
        <v>46307</v>
      </c>
      <c r="S86" s="105" t="n">
        <v>46339</v>
      </c>
      <c r="T86" s="39" t="inlineStr">
        <is>
          <t>贺航</t>
        </is>
      </c>
      <c r="U86" s="39" t="inlineStr">
        <is>
          <t>未开始</t>
        </is>
      </c>
      <c r="V86" s="105" t="n">
        <v>46307</v>
      </c>
      <c r="W86" s="105" t="n">
        <v>46339</v>
      </c>
      <c r="X86" s="39" t="inlineStr">
        <is>
          <t>袁丽荣</t>
        </is>
      </c>
      <c r="Y86" s="39" t="inlineStr">
        <is>
          <t>未开始</t>
        </is>
      </c>
      <c r="Z86" s="105" t="n">
        <v>46342</v>
      </c>
      <c r="AA86" s="105" t="n">
        <v>46353</v>
      </c>
      <c r="AB86" s="71">
        <f>(IF(M86="已完成",1,IF(M86="进行中",0.5,0))*15%+IF(Q86="已完成",1,IF(Q86="进行中",0.5,0))*35%+IF(U86="已完成",1,IF(U86="进行中",0.5,0))*30%+IF(Y86="已完成",1,IF(Y86="进行中",0.5,0))*20%)</f>
        <v/>
      </c>
      <c r="AC86" s="39">
        <f>IF(G86="已完成","正常",IF(OR(G86="暂停",G86="挂起"),"暂停",IF(J86="","日期缺失",IF(J86&lt;'项目驾驶舱'!$B$3,"已延期",IF(J86&lt;='项目驾驶舱'!$B$3+7,"临近到期","正常")))))</f>
        <v/>
      </c>
      <c r="AD86" s="39" t="inlineStr"/>
      <c r="AE86" s="40" t="inlineStr"/>
    </row>
    <row r="87" hidden="1" ht="17" customHeight="1" s="1">
      <c r="A87" s="37" t="inlineStr">
        <is>
          <t>T084</t>
        </is>
      </c>
      <c r="B87" s="39" t="inlineStr">
        <is>
          <t>费用结算</t>
        </is>
      </c>
      <c r="C87" s="39" t="inlineStr">
        <is>
          <t>锚泊费（外贸）</t>
        </is>
      </c>
      <c r="D87" s="39" t="inlineStr">
        <is>
          <t>数据产生</t>
        </is>
      </c>
      <c r="E87" s="39" t="inlineStr">
        <is>
          <t>/</t>
        </is>
      </c>
      <c r="F87" s="39" t="inlineStr">
        <is>
          <t>第二批次</t>
        </is>
      </c>
      <c r="G87" s="39">
        <f>IF(OR(M87="挂起",M87="暂停",Q87="挂起",Q87="暂停",U87="挂起",U87="暂停",Y87="挂起",Y87="暂停"),"暂停","未开始")</f>
        <v/>
      </c>
      <c r="H87" s="39">
        <f>IF(L87&lt;&gt;"",L87,IF(P87&lt;&gt;"",P87,IF(T87&lt;&gt;"",T87,X87)))</f>
        <v/>
      </c>
      <c r="I87" s="105">
        <f>IF(COUNT(N87,R87,V87,Z87)=0,"",MIN(N87,R87,V87,Z87))</f>
        <v/>
      </c>
      <c r="J87" s="105">
        <f>IF(ISNUMBER(K87),K87,IF(COUNT(O87,S87,W87,AA87)=0,"",MAX(O87,S87,W87,AA87)))</f>
        <v/>
      </c>
      <c r="K87" s="105" t="n">
        <v>46224</v>
      </c>
      <c r="L87" s="39" t="inlineStr">
        <is>
          <t>郑士旺</t>
        </is>
      </c>
      <c r="M87" s="39" t="inlineStr">
        <is>
          <t>未开始</t>
        </is>
      </c>
      <c r="N87" s="105" t="n">
        <v>46230</v>
      </c>
      <c r="O87" s="105" t="n">
        <v>46241</v>
      </c>
      <c r="P87" s="39" t="inlineStr">
        <is>
          <t>石军磊、刘凯</t>
        </is>
      </c>
      <c r="Q87" s="39" t="inlineStr">
        <is>
          <t>未开始</t>
        </is>
      </c>
      <c r="R87" s="105" t="n">
        <v>46307</v>
      </c>
      <c r="S87" s="105" t="n">
        <v>46339</v>
      </c>
      <c r="T87" s="39" t="inlineStr">
        <is>
          <t>贺航</t>
        </is>
      </c>
      <c r="U87" s="39" t="inlineStr">
        <is>
          <t>未开始</t>
        </is>
      </c>
      <c r="V87" s="105" t="n">
        <v>46307</v>
      </c>
      <c r="W87" s="105" t="n">
        <v>46339</v>
      </c>
      <c r="X87" s="39" t="inlineStr">
        <is>
          <t>袁丽荣</t>
        </is>
      </c>
      <c r="Y87" s="39" t="inlineStr">
        <is>
          <t>未开始</t>
        </is>
      </c>
      <c r="Z87" s="105" t="n">
        <v>46342</v>
      </c>
      <c r="AA87" s="105" t="n">
        <v>46353</v>
      </c>
      <c r="AB87" s="71">
        <f>(IF(M87="已完成",1,IF(M87="进行中",0.5,0))*15%+IF(Q87="已完成",1,IF(Q87="进行中",0.5,0))*35%+IF(U87="已完成",1,IF(U87="进行中",0.5,0))*30%+IF(Y87="已完成",1,IF(Y87="进行中",0.5,0))*20%)</f>
        <v/>
      </c>
      <c r="AC87" s="39">
        <f>IF(G87="已完成","正常",IF(OR(G87="暂停",G87="挂起"),"暂停",IF(J87="","日期缺失",IF(J87&lt;'项目驾驶舱'!$B$3,"已延期",IF(J87&lt;='项目驾驶舱'!$B$3+7,"临近到期","正常")))))</f>
        <v/>
      </c>
      <c r="AD87" s="39" t="inlineStr"/>
      <c r="AE87" s="40" t="inlineStr"/>
    </row>
    <row r="88" hidden="1" ht="17" customHeight="1" s="1">
      <c r="A88" s="37" t="inlineStr">
        <is>
          <t>T085</t>
        </is>
      </c>
      <c r="B88" s="39" t="inlineStr">
        <is>
          <t>费用结算</t>
        </is>
      </c>
      <c r="C88" s="39" t="inlineStr">
        <is>
          <t>堆存费（外贸）</t>
        </is>
      </c>
      <c r="D88" s="39" t="inlineStr">
        <is>
          <t>数据对接</t>
        </is>
      </c>
      <c r="E88" s="39" t="inlineStr">
        <is>
          <t>/</t>
        </is>
      </c>
      <c r="F88" s="39" t="inlineStr">
        <is>
          <t>第二批次</t>
        </is>
      </c>
      <c r="G88" s="39">
        <f>IF(OR(M88="挂起",M88="暂停",Q88="挂起",Q88="暂停",U88="挂起",U88="暂停",Y88="挂起",Y88="暂停"),"暂停","未开始")</f>
        <v/>
      </c>
      <c r="H88" s="39">
        <f>IF(L88&lt;&gt;"",L88,IF(P88&lt;&gt;"",P88,IF(T88&lt;&gt;"",T88,X88)))</f>
        <v/>
      </c>
      <c r="I88" s="105">
        <f>IF(COUNT(N88,R88,V88,Z88)=0,"",MIN(N88,R88,V88,Z88))</f>
        <v/>
      </c>
      <c r="J88" s="105">
        <f>IF(ISNUMBER(K88),K88,IF(COUNT(O88,S88,W88,AA88)=0,"",MAX(O88,S88,W88,AA88)))</f>
        <v/>
      </c>
      <c r="K88" s="105" t="n">
        <v>46224</v>
      </c>
      <c r="L88" s="39" t="inlineStr">
        <is>
          <t>郑士旺</t>
        </is>
      </c>
      <c r="M88" s="39" t="inlineStr">
        <is>
          <t>未开始</t>
        </is>
      </c>
      <c r="N88" s="105" t="n">
        <v>46230</v>
      </c>
      <c r="O88" s="105" t="n">
        <v>46241</v>
      </c>
      <c r="P88" s="39" t="inlineStr">
        <is>
          <t>石军磊、刘凯</t>
        </is>
      </c>
      <c r="Q88" s="39" t="inlineStr">
        <is>
          <t>未开始</t>
        </is>
      </c>
      <c r="R88" s="105" t="n">
        <v>46307</v>
      </c>
      <c r="S88" s="105" t="n">
        <v>46339</v>
      </c>
      <c r="T88" s="39" t="inlineStr">
        <is>
          <t>贺航</t>
        </is>
      </c>
      <c r="U88" s="39" t="inlineStr">
        <is>
          <t>未开始</t>
        </is>
      </c>
      <c r="V88" s="105" t="n">
        <v>46307</v>
      </c>
      <c r="W88" s="105" t="n">
        <v>46339</v>
      </c>
      <c r="X88" s="39" t="inlineStr">
        <is>
          <t>袁丽荣</t>
        </is>
      </c>
      <c r="Y88" s="39" t="inlineStr">
        <is>
          <t>未开始</t>
        </is>
      </c>
      <c r="Z88" s="105" t="n">
        <v>46342</v>
      </c>
      <c r="AA88" s="105" t="n">
        <v>46353</v>
      </c>
      <c r="AB88" s="71">
        <f>(IF(M88="已完成",1,IF(M88="进行中",0.5,0))*15%+IF(Q88="已完成",1,IF(Q88="进行中",0.5,0))*35%+IF(U88="已完成",1,IF(U88="进行中",0.5,0))*30%+IF(Y88="已完成",1,IF(Y88="进行中",0.5,0))*20%)</f>
        <v/>
      </c>
      <c r="AC88" s="39">
        <f>IF(G88="已完成","正常",IF(OR(G88="暂停",G88="挂起"),"暂停",IF(J88="","日期缺失",IF(J88&lt;'项目驾驶舱'!$B$3,"已延期",IF(J88&lt;='项目驾驶舱'!$B$3+7,"临近到期","正常")))))</f>
        <v/>
      </c>
      <c r="AD88" s="39" t="inlineStr"/>
      <c r="AE88" s="40" t="inlineStr"/>
    </row>
    <row r="89" hidden="1" ht="17" customHeight="1" s="1">
      <c r="A89" s="37" t="inlineStr">
        <is>
          <t>T086</t>
        </is>
      </c>
      <c r="B89" s="39" t="inlineStr">
        <is>
          <t>费用结算</t>
        </is>
      </c>
      <c r="C89" s="39" t="inlineStr">
        <is>
          <t>堆存费（外贸）</t>
        </is>
      </c>
      <c r="D89" s="39" t="inlineStr">
        <is>
          <t>数据展示</t>
        </is>
      </c>
      <c r="E89" s="39" t="inlineStr">
        <is>
          <t>/</t>
        </is>
      </c>
      <c r="F89" s="39" t="inlineStr">
        <is>
          <t>第二批次</t>
        </is>
      </c>
      <c r="G89" s="39">
        <f>IF(OR(M89="挂起",M89="暂停",Q89="挂起",Q89="暂停",U89="挂起",U89="暂停",Y89="挂起",Y89="暂停"),"暂停","未开始")</f>
        <v/>
      </c>
      <c r="H89" s="39">
        <f>IF(L89&lt;&gt;"",L89,IF(P89&lt;&gt;"",P89,IF(T89&lt;&gt;"",T89,X89)))</f>
        <v/>
      </c>
      <c r="I89" s="105">
        <f>IF(COUNT(N89,R89,V89,Z89)=0,"",MIN(N89,R89,V89,Z89))</f>
        <v/>
      </c>
      <c r="J89" s="105">
        <f>IF(ISNUMBER(K89),K89,IF(COUNT(O89,S89,W89,AA89)=0,"",MAX(O89,S89,W89,AA89)))</f>
        <v/>
      </c>
      <c r="K89" s="105" t="n">
        <v>46224</v>
      </c>
      <c r="L89" s="39" t="inlineStr">
        <is>
          <t>郑士旺</t>
        </is>
      </c>
      <c r="M89" s="39" t="inlineStr">
        <is>
          <t>未开始</t>
        </is>
      </c>
      <c r="N89" s="105" t="n">
        <v>46230</v>
      </c>
      <c r="O89" s="105" t="n">
        <v>46241</v>
      </c>
      <c r="P89" s="39" t="inlineStr">
        <is>
          <t>石军磊、刘凯</t>
        </is>
      </c>
      <c r="Q89" s="39" t="inlineStr">
        <is>
          <t>未开始</t>
        </is>
      </c>
      <c r="R89" s="105" t="n">
        <v>46307</v>
      </c>
      <c r="S89" s="105" t="n">
        <v>46339</v>
      </c>
      <c r="T89" s="39" t="inlineStr">
        <is>
          <t>贺航</t>
        </is>
      </c>
      <c r="U89" s="39" t="inlineStr">
        <is>
          <t>未开始</t>
        </is>
      </c>
      <c r="V89" s="105" t="n">
        <v>46307</v>
      </c>
      <c r="W89" s="105" t="n">
        <v>46339</v>
      </c>
      <c r="X89" s="39" t="inlineStr">
        <is>
          <t>袁丽荣</t>
        </is>
      </c>
      <c r="Y89" s="39" t="inlineStr">
        <is>
          <t>未开始</t>
        </is>
      </c>
      <c r="Z89" s="105" t="n">
        <v>46342</v>
      </c>
      <c r="AA89" s="105" t="n">
        <v>46353</v>
      </c>
      <c r="AB89" s="71">
        <f>(IF(M89="已完成",1,IF(M89="进行中",0.5,0))*15%+IF(Q89="已完成",1,IF(Q89="进行中",0.5,0))*35%+IF(U89="已完成",1,IF(U89="进行中",0.5,0))*30%+IF(Y89="已完成",1,IF(Y89="进行中",0.5,0))*20%)</f>
        <v/>
      </c>
      <c r="AC89" s="39">
        <f>IF(G89="已完成","正常",IF(OR(G89="暂停",G89="挂起"),"暂停",IF(J89="","日期缺失",IF(J89&lt;'项目驾驶舱'!$B$3,"已延期",IF(J89&lt;='项目驾驶舱'!$B$3+7,"临近到期","正常")))))</f>
        <v/>
      </c>
      <c r="AD89" s="39" t="inlineStr"/>
      <c r="AE89" s="40" t="inlineStr"/>
    </row>
    <row r="90" hidden="1" ht="17" customHeight="1" s="1">
      <c r="A90" s="37" t="inlineStr">
        <is>
          <t>T087</t>
        </is>
      </c>
      <c r="B90" s="39" t="inlineStr">
        <is>
          <t>费用结算</t>
        </is>
      </c>
      <c r="C90" s="39" t="inlineStr">
        <is>
          <t>卸船费（外贸）</t>
        </is>
      </c>
      <c r="D90" s="39" t="inlineStr">
        <is>
          <t>数据对接</t>
        </is>
      </c>
      <c r="E90" s="39" t="inlineStr">
        <is>
          <t>/</t>
        </is>
      </c>
      <c r="F90" s="39" t="inlineStr">
        <is>
          <t>第二批次</t>
        </is>
      </c>
      <c r="G90" s="39">
        <f>IF(OR(M90="挂起",M90="暂停",Q90="挂起",Q90="暂停",U90="挂起",U90="暂停",Y90="挂起",Y90="暂停"),"暂停","未开始")</f>
        <v/>
      </c>
      <c r="H90" s="39">
        <f>IF(L90&lt;&gt;"",L90,IF(P90&lt;&gt;"",P90,IF(T90&lt;&gt;"",T90,X90)))</f>
        <v/>
      </c>
      <c r="I90" s="105">
        <f>IF(COUNT(N90,R90,V90,Z90)=0,"",MIN(N90,R90,V90,Z90))</f>
        <v/>
      </c>
      <c r="J90" s="105">
        <f>IF(ISNUMBER(K90),K90,IF(COUNT(O90,S90,W90,AA90)=0,"",MAX(O90,S90,W90,AA90)))</f>
        <v/>
      </c>
      <c r="K90" s="105" t="n">
        <v>46224</v>
      </c>
      <c r="L90" s="39" t="inlineStr">
        <is>
          <t>郑士旺</t>
        </is>
      </c>
      <c r="M90" s="39" t="inlineStr">
        <is>
          <t>未开始</t>
        </is>
      </c>
      <c r="N90" s="105" t="n">
        <v>46230</v>
      </c>
      <c r="O90" s="105" t="n">
        <v>46241</v>
      </c>
      <c r="P90" s="39" t="inlineStr">
        <is>
          <t>石军磊、刘凯</t>
        </is>
      </c>
      <c r="Q90" s="39" t="inlineStr">
        <is>
          <t>未开始</t>
        </is>
      </c>
      <c r="R90" s="105" t="n">
        <v>46307</v>
      </c>
      <c r="S90" s="105" t="n">
        <v>46339</v>
      </c>
      <c r="T90" s="39" t="inlineStr">
        <is>
          <t>贺航</t>
        </is>
      </c>
      <c r="U90" s="39" t="inlineStr">
        <is>
          <t>未开始</t>
        </is>
      </c>
      <c r="V90" s="105" t="n">
        <v>46307</v>
      </c>
      <c r="W90" s="105" t="n">
        <v>46339</v>
      </c>
      <c r="X90" s="39" t="inlineStr">
        <is>
          <t>袁丽荣</t>
        </is>
      </c>
      <c r="Y90" s="39" t="inlineStr">
        <is>
          <t>未开始</t>
        </is>
      </c>
      <c r="Z90" s="105" t="n">
        <v>46342</v>
      </c>
      <c r="AA90" s="105" t="n">
        <v>46353</v>
      </c>
      <c r="AB90" s="71">
        <f>(IF(M90="已完成",1,IF(M90="进行中",0.5,0))*15%+IF(Q90="已完成",1,IF(Q90="进行中",0.5,0))*35%+IF(U90="已完成",1,IF(U90="进行中",0.5,0))*30%+IF(Y90="已完成",1,IF(Y90="进行中",0.5,0))*20%)</f>
        <v/>
      </c>
      <c r="AC90" s="39">
        <f>IF(G90="已完成","正常",IF(OR(G90="暂停",G90="挂起"),"暂停",IF(J90="","日期缺失",IF(J90&lt;'项目驾驶舱'!$B$3,"已延期",IF(J90&lt;='项目驾驶舱'!$B$3+7,"临近到期","正常")))))</f>
        <v/>
      </c>
      <c r="AD90" s="39" t="inlineStr"/>
      <c r="AE90" s="40" t="inlineStr"/>
    </row>
    <row r="91" hidden="1" ht="17" customHeight="1" s="1">
      <c r="A91" s="37" t="inlineStr">
        <is>
          <t>T088</t>
        </is>
      </c>
      <c r="B91" s="39" t="inlineStr">
        <is>
          <t>费用结算</t>
        </is>
      </c>
      <c r="C91" s="39" t="inlineStr">
        <is>
          <t>卸船费（外贸）</t>
        </is>
      </c>
      <c r="D91" s="39" t="inlineStr">
        <is>
          <t>数据展示</t>
        </is>
      </c>
      <c r="E91" s="39" t="inlineStr">
        <is>
          <t>/</t>
        </is>
      </c>
      <c r="F91" s="39" t="inlineStr">
        <is>
          <t>第二批次</t>
        </is>
      </c>
      <c r="G91" s="39">
        <f>IF(OR(M91="挂起",M91="暂停",Q91="挂起",Q91="暂停",U91="挂起",U91="暂停",Y91="挂起",Y91="暂停"),"暂停","未开始")</f>
        <v/>
      </c>
      <c r="H91" s="39">
        <f>IF(L91&lt;&gt;"",L91,IF(P91&lt;&gt;"",P91,IF(T91&lt;&gt;"",T91,X91)))</f>
        <v/>
      </c>
      <c r="I91" s="105">
        <f>IF(COUNT(N91,R91,V91,Z91)=0,"",MIN(N91,R91,V91,Z91))</f>
        <v/>
      </c>
      <c r="J91" s="105">
        <f>IF(ISNUMBER(K91),K91,IF(COUNT(O91,S91,W91,AA91)=0,"",MAX(O91,S91,W91,AA91)))</f>
        <v/>
      </c>
      <c r="K91" s="105" t="n"/>
      <c r="L91" s="39" t="inlineStr">
        <is>
          <t>郑士旺</t>
        </is>
      </c>
      <c r="M91" s="39" t="inlineStr">
        <is>
          <t>未开始</t>
        </is>
      </c>
      <c r="N91" s="105" t="n">
        <v>46230</v>
      </c>
      <c r="O91" s="105" t="n">
        <v>46241</v>
      </c>
      <c r="P91" s="39" t="inlineStr">
        <is>
          <t>石军磊、刘凯</t>
        </is>
      </c>
      <c r="Q91" s="39" t="inlineStr">
        <is>
          <t>未开始</t>
        </is>
      </c>
      <c r="R91" s="105" t="n">
        <v>46307</v>
      </c>
      <c r="S91" s="105" t="n">
        <v>46339</v>
      </c>
      <c r="T91" s="39" t="inlineStr">
        <is>
          <t>贺航</t>
        </is>
      </c>
      <c r="U91" s="39" t="inlineStr">
        <is>
          <t>未开始</t>
        </is>
      </c>
      <c r="V91" s="105" t="n">
        <v>46307</v>
      </c>
      <c r="W91" s="105" t="n">
        <v>46339</v>
      </c>
      <c r="X91" s="39" t="inlineStr">
        <is>
          <t>袁丽荣</t>
        </is>
      </c>
      <c r="Y91" s="39" t="inlineStr">
        <is>
          <t>未开始</t>
        </is>
      </c>
      <c r="Z91" s="105" t="n">
        <v>46342</v>
      </c>
      <c r="AA91" s="105" t="n">
        <v>46353</v>
      </c>
      <c r="AB91" s="71">
        <f>(IF(M91="已完成",1,IF(M91="进行中",0.5,0))*15%+IF(Q91="已完成",1,IF(Q91="进行中",0.5,0))*35%+IF(U91="已完成",1,IF(U91="进行中",0.5,0))*30%+IF(Y91="已完成",1,IF(Y91="进行中",0.5,0))*20%)</f>
        <v/>
      </c>
      <c r="AC91" s="39">
        <f>IF(G91="已完成","正常",IF(OR(G91="暂停",G91="挂起"),"暂停",IF(J91="","日期缺失",IF(J91&lt;'项目驾驶舱'!$B$3,"已延期",IF(J91&lt;='项目驾驶舱'!$B$3+7,"临近到期","正常")))))</f>
        <v/>
      </c>
      <c r="AD91" s="39" t="inlineStr"/>
      <c r="AE91" s="40" t="inlineStr"/>
    </row>
    <row r="92" hidden="1" ht="17" customHeight="1" s="1">
      <c r="A92" s="37" t="inlineStr">
        <is>
          <t>T089</t>
        </is>
      </c>
      <c r="B92" s="39" t="inlineStr">
        <is>
          <t>费用结算</t>
        </is>
      </c>
      <c r="C92" s="39" t="inlineStr">
        <is>
          <t>采样服务费（外贸）</t>
        </is>
      </c>
      <c r="D92" s="39" t="inlineStr">
        <is>
          <t>新增采样服务费（外贸）</t>
        </is>
      </c>
      <c r="E92" s="39" t="inlineStr">
        <is>
          <t>/</t>
        </is>
      </c>
      <c r="F92" s="39" t="inlineStr">
        <is>
          <t>第二批次</t>
        </is>
      </c>
      <c r="G92" s="39">
        <f>IF(OR(M92="挂起",M92="暂停",Q92="挂起",Q92="暂停",U92="挂起",U92="暂停",Y92="挂起",Y92="暂停"),"暂停","未开始")</f>
        <v/>
      </c>
      <c r="H92" s="39">
        <f>IF(L92&lt;&gt;"",L92,IF(P92&lt;&gt;"",P92,IF(T92&lt;&gt;"",T92,X92)))</f>
        <v/>
      </c>
      <c r="I92" s="105">
        <f>IF(COUNT(N92,R92,V92,Z92)=0,"",MIN(N92,R92,V92,Z92))</f>
        <v/>
      </c>
      <c r="J92" s="105">
        <f>IF(ISNUMBER(K92),K92,IF(COUNT(O92,S92,W92,AA92)=0,"",MAX(O92,S92,W92,AA92)))</f>
        <v/>
      </c>
      <c r="K92" s="105" t="n"/>
      <c r="L92" s="39" t="inlineStr">
        <is>
          <t>郑士旺</t>
        </is>
      </c>
      <c r="M92" s="39" t="inlineStr">
        <is>
          <t>未开始</t>
        </is>
      </c>
      <c r="N92" s="105" t="n">
        <v>46230</v>
      </c>
      <c r="O92" s="105" t="n">
        <v>46241</v>
      </c>
      <c r="P92" s="39" t="inlineStr">
        <is>
          <t>石军磊、刘凯</t>
        </is>
      </c>
      <c r="Q92" s="39" t="inlineStr">
        <is>
          <t>未开始</t>
        </is>
      </c>
      <c r="R92" s="105" t="n">
        <v>46307</v>
      </c>
      <c r="S92" s="105" t="n">
        <v>46339</v>
      </c>
      <c r="T92" s="39" t="inlineStr">
        <is>
          <t>贺航</t>
        </is>
      </c>
      <c r="U92" s="39" t="inlineStr">
        <is>
          <t>未开始</t>
        </is>
      </c>
      <c r="V92" s="105" t="n">
        <v>46307</v>
      </c>
      <c r="W92" s="105" t="n">
        <v>46339</v>
      </c>
      <c r="X92" s="39" t="inlineStr">
        <is>
          <t>袁丽荣</t>
        </is>
      </c>
      <c r="Y92" s="39" t="inlineStr">
        <is>
          <t>未开始</t>
        </is>
      </c>
      <c r="Z92" s="105" t="n">
        <v>46342</v>
      </c>
      <c r="AA92" s="105" t="n">
        <v>46353</v>
      </c>
      <c r="AB92" s="71">
        <f>(IF(M92="已完成",1,IF(M92="进行中",0.5,0))*15%+IF(Q92="已完成",1,IF(Q92="进行中",0.5,0))*35%+IF(U92="已完成",1,IF(U92="进行中",0.5,0))*30%+IF(Y92="已完成",1,IF(Y92="进行中",0.5,0))*20%)</f>
        <v/>
      </c>
      <c r="AC92" s="39">
        <f>IF(G92="已完成","正常",IF(OR(G92="暂停",G92="挂起"),"暂停",IF(J92="","日期缺失",IF(J92&lt;'项目驾驶舱'!$B$3,"已延期",IF(J92&lt;='项目驾驶舱'!$B$3+7,"临近到期","正常")))))</f>
        <v/>
      </c>
      <c r="AD92" s="39" t="inlineStr"/>
      <c r="AE92" s="40" t="inlineStr"/>
    </row>
    <row r="93" hidden="1" ht="17" customHeight="1" s="1">
      <c r="A93" s="37" t="inlineStr">
        <is>
          <t>T090</t>
        </is>
      </c>
      <c r="B93" s="39" t="inlineStr">
        <is>
          <t>费用结算</t>
        </is>
      </c>
      <c r="C93" s="39" t="inlineStr">
        <is>
          <t>采样服务费（外贸）</t>
        </is>
      </c>
      <c r="D93" s="39" t="inlineStr">
        <is>
          <t>审批采样服务费（外贸）</t>
        </is>
      </c>
      <c r="E93" s="39" t="inlineStr">
        <is>
          <t>/</t>
        </is>
      </c>
      <c r="F93" s="39" t="inlineStr">
        <is>
          <t>第二批次</t>
        </is>
      </c>
      <c r="G93" s="39">
        <f>IF(OR(M93="挂起",M93="暂停",Q93="挂起",Q93="暂停",U93="挂起",U93="暂停",Y93="挂起",Y93="暂停"),"暂停","未开始")</f>
        <v/>
      </c>
      <c r="H93" s="39">
        <f>IF(L93&lt;&gt;"",L93,IF(P93&lt;&gt;"",P93,IF(T93&lt;&gt;"",T93,X93)))</f>
        <v/>
      </c>
      <c r="I93" s="105">
        <f>IF(COUNT(N93,R93,V93,Z93)=0,"",MIN(N93,R93,V93,Z93))</f>
        <v/>
      </c>
      <c r="J93" s="105">
        <f>IF(ISNUMBER(K93),K93,IF(COUNT(O93,S93,W93,AA93)=0,"",MAX(O93,S93,W93,AA93)))</f>
        <v/>
      </c>
      <c r="K93" s="105" t="n"/>
      <c r="L93" s="39" t="inlineStr">
        <is>
          <t>郑士旺</t>
        </is>
      </c>
      <c r="M93" s="39" t="inlineStr">
        <is>
          <t>未开始</t>
        </is>
      </c>
      <c r="N93" s="105" t="n">
        <v>46230</v>
      </c>
      <c r="O93" s="105" t="n">
        <v>46241</v>
      </c>
      <c r="P93" s="39" t="inlineStr">
        <is>
          <t>石军磊、刘凯</t>
        </is>
      </c>
      <c r="Q93" s="39" t="inlineStr">
        <is>
          <t>未开始</t>
        </is>
      </c>
      <c r="R93" s="105" t="n">
        <v>46307</v>
      </c>
      <c r="S93" s="105" t="n">
        <v>46339</v>
      </c>
      <c r="T93" s="39" t="inlineStr">
        <is>
          <t>贺航</t>
        </is>
      </c>
      <c r="U93" s="39" t="inlineStr">
        <is>
          <t>未开始</t>
        </is>
      </c>
      <c r="V93" s="105" t="n">
        <v>46307</v>
      </c>
      <c r="W93" s="105" t="n">
        <v>46339</v>
      </c>
      <c r="X93" s="39" t="inlineStr">
        <is>
          <t>袁丽荣</t>
        </is>
      </c>
      <c r="Y93" s="39" t="inlineStr">
        <is>
          <t>未开始</t>
        </is>
      </c>
      <c r="Z93" s="105" t="n">
        <v>46342</v>
      </c>
      <c r="AA93" s="105" t="n">
        <v>46353</v>
      </c>
      <c r="AB93" s="71">
        <f>(IF(M93="已完成",1,IF(M93="进行中",0.5,0))*15%+IF(Q93="已完成",1,IF(Q93="进行中",0.5,0))*35%+IF(U93="已完成",1,IF(U93="进行中",0.5,0))*30%+IF(Y93="已完成",1,IF(Y93="进行中",0.5,0))*20%)</f>
        <v/>
      </c>
      <c r="AC93" s="39">
        <f>IF(G93="已完成","正常",IF(OR(G93="暂停",G93="挂起"),"暂停",IF(J93="","日期缺失",IF(J93&lt;'项目驾驶舱'!$B$3,"已延期",IF(J93&lt;='项目驾驶舱'!$B$3+7,"临近到期","正常")))))</f>
        <v/>
      </c>
      <c r="AD93" s="39" t="inlineStr"/>
      <c r="AE93" s="40" t="inlineStr"/>
    </row>
    <row r="94" hidden="1" ht="34" customHeight="1" s="1">
      <c r="A94" s="37" t="inlineStr">
        <is>
          <t>T091</t>
        </is>
      </c>
      <c r="B94" s="39" t="inlineStr">
        <is>
          <t>费用结算</t>
        </is>
      </c>
      <c r="C94" s="39" t="inlineStr">
        <is>
          <t>采样服务费（外贸）</t>
        </is>
      </c>
      <c r="D94" s="39" t="inlineStr">
        <is>
          <t>单据签章</t>
        </is>
      </c>
      <c r="E94" s="39" t="inlineStr">
        <is>
          <t>/</t>
        </is>
      </c>
      <c r="F94" s="39" t="inlineStr">
        <is>
          <t>第二批次</t>
        </is>
      </c>
      <c r="G94" s="39">
        <f>IF(OR(M94="挂起",M94="暂停",Q94="挂起",Q94="暂停",U94="挂起",U94="暂停",Y94="挂起",Y94="暂停"),"暂停","未开始")</f>
        <v/>
      </c>
      <c r="H94" s="39">
        <f>IF(L94&lt;&gt;"",L94,IF(P94&lt;&gt;"",P94,IF(T94&lt;&gt;"",T94,X94)))</f>
        <v/>
      </c>
      <c r="I94" s="105">
        <f>IF(COUNT(N94,R94,V94,Z94)=0,"",MIN(N94,R94,V94,Z94))</f>
        <v/>
      </c>
      <c r="J94" s="105">
        <f>IF(ISNUMBER(K94),K94,IF(COUNT(O94,S94,W94,AA94)=0,"",MAX(O94,S94,W94,AA94)))</f>
        <v/>
      </c>
      <c r="K94" s="105" t="n"/>
      <c r="L94" s="39" t="inlineStr">
        <is>
          <t>郑士旺</t>
        </is>
      </c>
      <c r="M94" s="39" t="inlineStr">
        <is>
          <t>未开始</t>
        </is>
      </c>
      <c r="N94" s="105" t="n">
        <v>46230</v>
      </c>
      <c r="O94" s="105" t="n">
        <v>46241</v>
      </c>
      <c r="P94" s="39" t="inlineStr">
        <is>
          <t>石军磊、刘凯</t>
        </is>
      </c>
      <c r="Q94" s="39" t="inlineStr">
        <is>
          <t>未开始</t>
        </is>
      </c>
      <c r="R94" s="105" t="n">
        <v>46307</v>
      </c>
      <c r="S94" s="105" t="n">
        <v>46339</v>
      </c>
      <c r="T94" s="39" t="inlineStr">
        <is>
          <t>贺航</t>
        </is>
      </c>
      <c r="U94" s="39" t="inlineStr">
        <is>
          <t>未开始</t>
        </is>
      </c>
      <c r="V94" s="105" t="n">
        <v>46307</v>
      </c>
      <c r="W94" s="105" t="n">
        <v>46339</v>
      </c>
      <c r="X94" s="39" t="inlineStr">
        <is>
          <t>袁丽荣</t>
        </is>
      </c>
      <c r="Y94" s="39" t="inlineStr">
        <is>
          <t>未开始</t>
        </is>
      </c>
      <c r="Z94" s="105" t="n">
        <v>46342</v>
      </c>
      <c r="AA94" s="105" t="n">
        <v>46353</v>
      </c>
      <c r="AB94" s="71">
        <f>(IF(M94="已完成",1,IF(M94="进行中",0.5,0))*15%+IF(Q94="已完成",1,IF(Q94="进行中",0.5,0))*35%+IF(U94="已完成",1,IF(U94="进行中",0.5,0))*30%+IF(Y94="已完成",1,IF(Y94="进行中",0.5,0))*20%)</f>
        <v/>
      </c>
      <c r="AC94" s="39">
        <f>IF(G94="已完成","正常",IF(OR(G94="暂停",G94="挂起"),"暂停",IF(J94="","日期缺失",IF(J94&lt;'项目驾驶舱'!$B$3,"已延期",IF(J94&lt;='项目驾驶舱'!$B$3+7,"临近到期","正常")))))</f>
        <v/>
      </c>
      <c r="AD94" s="39" t="inlineStr"/>
      <c r="AE94" s="40" t="inlineStr"/>
    </row>
    <row r="95" hidden="1" ht="34" customHeight="1" s="1">
      <c r="A95" s="37" t="inlineStr">
        <is>
          <t>T092</t>
        </is>
      </c>
      <c r="B95" s="39" t="inlineStr">
        <is>
          <t>费用结算</t>
        </is>
      </c>
      <c r="C95" s="39" t="inlineStr">
        <is>
          <t>采样服务费（外贸）</t>
        </is>
      </c>
      <c r="D95" s="39" t="inlineStr">
        <is>
          <t>数据推送</t>
        </is>
      </c>
      <c r="E95" s="39" t="inlineStr">
        <is>
          <t>/</t>
        </is>
      </c>
      <c r="F95" s="39" t="inlineStr">
        <is>
          <t>第二批次</t>
        </is>
      </c>
      <c r="G95" s="39">
        <f>IF(OR(M95="挂起",M95="暂停",Q95="挂起",Q95="暂停",U95="挂起",U95="暂停",Y95="挂起",Y95="暂停"),"暂停","未开始")</f>
        <v/>
      </c>
      <c r="H95" s="39">
        <f>IF(L95&lt;&gt;"",L95,IF(P95&lt;&gt;"",P95,IF(T95&lt;&gt;"",T95,X95)))</f>
        <v/>
      </c>
      <c r="I95" s="105">
        <f>IF(COUNT(N95,R95,V95,Z95)=0,"",MIN(N95,R95,V95,Z95))</f>
        <v/>
      </c>
      <c r="J95" s="105">
        <f>IF(ISNUMBER(K95),K95,IF(COUNT(O95,S95,W95,AA95)=0,"",MAX(O95,S95,W95,AA95)))</f>
        <v/>
      </c>
      <c r="K95" s="105" t="n"/>
      <c r="L95" s="39" t="inlineStr">
        <is>
          <t>郑士旺</t>
        </is>
      </c>
      <c r="M95" s="39" t="inlineStr">
        <is>
          <t>未开始</t>
        </is>
      </c>
      <c r="N95" s="105" t="n">
        <v>46230</v>
      </c>
      <c r="O95" s="105" t="n">
        <v>46241</v>
      </c>
      <c r="P95" s="39" t="inlineStr">
        <is>
          <t>石军磊、刘凯</t>
        </is>
      </c>
      <c r="Q95" s="39" t="inlineStr">
        <is>
          <t>未开始</t>
        </is>
      </c>
      <c r="R95" s="105" t="n">
        <v>46307</v>
      </c>
      <c r="S95" s="105" t="n">
        <v>46339</v>
      </c>
      <c r="T95" s="39" t="inlineStr">
        <is>
          <t>贺航</t>
        </is>
      </c>
      <c r="U95" s="39" t="inlineStr">
        <is>
          <t>未开始</t>
        </is>
      </c>
      <c r="V95" s="105" t="n">
        <v>46307</v>
      </c>
      <c r="W95" s="105" t="n">
        <v>46339</v>
      </c>
      <c r="X95" s="39" t="inlineStr">
        <is>
          <t>袁丽荣</t>
        </is>
      </c>
      <c r="Y95" s="39" t="inlineStr">
        <is>
          <t>未开始</t>
        </is>
      </c>
      <c r="Z95" s="105" t="n">
        <v>46342</v>
      </c>
      <c r="AA95" s="105" t="n">
        <v>46353</v>
      </c>
      <c r="AB95" s="71">
        <f>(IF(M95="已完成",1,IF(M95="进行中",0.5,0))*15%+IF(Q95="已完成",1,IF(Q95="进行中",0.5,0))*35%+IF(U95="已完成",1,IF(U95="进行中",0.5,0))*30%+IF(Y95="已完成",1,IF(Y95="进行中",0.5,0))*20%)</f>
        <v/>
      </c>
      <c r="AC95" s="39">
        <f>IF(G95="已完成","正常",IF(OR(G95="暂停",G95="挂起"),"暂停",IF(J95="","日期缺失",IF(J95&lt;'项目驾驶舱'!$B$3,"已延期",IF(J95&lt;='项目驾驶舱'!$B$3+7,"临近到期","正常")))))</f>
        <v/>
      </c>
      <c r="AD95" s="39" t="inlineStr"/>
      <c r="AE95" s="40" t="inlineStr"/>
    </row>
    <row r="96" hidden="1" ht="34" customHeight="1" s="1">
      <c r="A96" s="37" t="inlineStr">
        <is>
          <t>T093</t>
        </is>
      </c>
      <c r="B96" s="39" t="inlineStr">
        <is>
          <t>费用结算</t>
        </is>
      </c>
      <c r="C96" s="39" t="inlineStr">
        <is>
          <t>船舶供应服务费（外贸）</t>
        </is>
      </c>
      <c r="D96" s="39" t="inlineStr">
        <is>
          <t>数据对接</t>
        </is>
      </c>
      <c r="E96" s="39" t="inlineStr">
        <is>
          <t>/</t>
        </is>
      </c>
      <c r="F96" s="39" t="inlineStr">
        <is>
          <t>第二批次</t>
        </is>
      </c>
      <c r="G96" s="39">
        <f>IF(OR(M96="挂起",M96="暂停",Q96="挂起",Q96="暂停",U96="挂起",U96="暂停",Y96="挂起",Y96="暂停"),"暂停","未开始")</f>
        <v/>
      </c>
      <c r="H96" s="39">
        <f>IF(L96&lt;&gt;"",L96,IF(P96&lt;&gt;"",P96,IF(T96&lt;&gt;"",T96,X96)))</f>
        <v/>
      </c>
      <c r="I96" s="105">
        <f>IF(COUNT(N96,R96,V96,Z96)=0,"",MIN(N96,R96,V96,Z96))</f>
        <v/>
      </c>
      <c r="J96" s="105">
        <f>IF(ISNUMBER(K96),K96,IF(COUNT(O96,S96,W96,AA96)=0,"",MAX(O96,S96,W96,AA96)))</f>
        <v/>
      </c>
      <c r="K96" s="105" t="n"/>
      <c r="L96" s="39" t="inlineStr">
        <is>
          <t>郑士旺</t>
        </is>
      </c>
      <c r="M96" s="39" t="inlineStr">
        <is>
          <t>未开始</t>
        </is>
      </c>
      <c r="N96" s="105" t="n">
        <v>46230</v>
      </c>
      <c r="O96" s="105" t="n">
        <v>46241</v>
      </c>
      <c r="P96" s="39" t="inlineStr">
        <is>
          <t>石军磊、刘凯</t>
        </is>
      </c>
      <c r="Q96" s="39" t="inlineStr">
        <is>
          <t>未开始</t>
        </is>
      </c>
      <c r="R96" s="105" t="n">
        <v>46307</v>
      </c>
      <c r="S96" s="105" t="n">
        <v>46339</v>
      </c>
      <c r="T96" s="39" t="inlineStr">
        <is>
          <t>贺航</t>
        </is>
      </c>
      <c r="U96" s="39" t="inlineStr">
        <is>
          <t>未开始</t>
        </is>
      </c>
      <c r="V96" s="105" t="n">
        <v>46307</v>
      </c>
      <c r="W96" s="105" t="n">
        <v>46339</v>
      </c>
      <c r="X96" s="39" t="inlineStr">
        <is>
          <t>袁丽荣</t>
        </is>
      </c>
      <c r="Y96" s="39" t="inlineStr">
        <is>
          <t>未开始</t>
        </is>
      </c>
      <c r="Z96" s="105" t="n">
        <v>46342</v>
      </c>
      <c r="AA96" s="105" t="n">
        <v>46353</v>
      </c>
      <c r="AB96" s="71">
        <f>(IF(M96="已完成",1,IF(M96="进行中",0.5,0))*15%+IF(Q96="已完成",1,IF(Q96="进行中",0.5,0))*35%+IF(U96="已完成",1,IF(U96="进行中",0.5,0))*30%+IF(Y96="已完成",1,IF(Y96="进行中",0.5,0))*20%)</f>
        <v/>
      </c>
      <c r="AC96" s="39">
        <f>IF(G96="已完成","正常",IF(OR(G96="暂停",G96="挂起"),"暂停",IF(J96="","日期缺失",IF(J96&lt;'项目驾驶舱'!$B$3,"已延期",IF(J96&lt;='项目驾驶舱'!$B$3+7,"临近到期","正常")))))</f>
        <v/>
      </c>
      <c r="AD96" s="39" t="inlineStr"/>
      <c r="AE96" s="40" t="inlineStr"/>
    </row>
    <row r="97" hidden="1" ht="34" customHeight="1" s="1">
      <c r="A97" s="37" t="inlineStr">
        <is>
          <t>T094</t>
        </is>
      </c>
      <c r="B97" s="39" t="inlineStr">
        <is>
          <t>费用结算</t>
        </is>
      </c>
      <c r="C97" s="39" t="inlineStr">
        <is>
          <t>船舶供应服务费（外贸）</t>
        </is>
      </c>
      <c r="D97" s="39" t="inlineStr">
        <is>
          <t>数据展示</t>
        </is>
      </c>
      <c r="E97" s="39" t="inlineStr">
        <is>
          <t>/</t>
        </is>
      </c>
      <c r="F97" s="39" t="inlineStr">
        <is>
          <t>第二批次</t>
        </is>
      </c>
      <c r="G97" s="39">
        <f>IF(OR(M97="挂起",M97="暂停",Q97="挂起",Q97="暂停",U97="挂起",U97="暂停",Y97="挂起",Y97="暂停"),"暂停","未开始")</f>
        <v/>
      </c>
      <c r="H97" s="39">
        <f>IF(L97&lt;&gt;"",L97,IF(P97&lt;&gt;"",P97,IF(T97&lt;&gt;"",T97,X97)))</f>
        <v/>
      </c>
      <c r="I97" s="105">
        <f>IF(COUNT(N97,R97,V97,Z97)=0,"",MIN(N97,R97,V97,Z97))</f>
        <v/>
      </c>
      <c r="J97" s="105">
        <f>IF(ISNUMBER(K97),K97,IF(COUNT(O97,S97,W97,AA97)=0,"",MAX(O97,S97,W97,AA97)))</f>
        <v/>
      </c>
      <c r="K97" s="105" t="n"/>
      <c r="L97" s="39" t="inlineStr">
        <is>
          <t>郑士旺</t>
        </is>
      </c>
      <c r="M97" s="39" t="inlineStr">
        <is>
          <t>未开始</t>
        </is>
      </c>
      <c r="N97" s="105" t="n">
        <v>46230</v>
      </c>
      <c r="O97" s="105" t="n">
        <v>46241</v>
      </c>
      <c r="P97" s="39" t="inlineStr">
        <is>
          <t>石军磊、刘凯</t>
        </is>
      </c>
      <c r="Q97" s="39" t="inlineStr">
        <is>
          <t>未开始</t>
        </is>
      </c>
      <c r="R97" s="105" t="n">
        <v>46307</v>
      </c>
      <c r="S97" s="105" t="n">
        <v>46339</v>
      </c>
      <c r="T97" s="39" t="inlineStr">
        <is>
          <t>贺航</t>
        </is>
      </c>
      <c r="U97" s="39" t="inlineStr">
        <is>
          <t>未开始</t>
        </is>
      </c>
      <c r="V97" s="105" t="n">
        <v>46307</v>
      </c>
      <c r="W97" s="105" t="n">
        <v>46339</v>
      </c>
      <c r="X97" s="39" t="inlineStr">
        <is>
          <t>袁丽荣</t>
        </is>
      </c>
      <c r="Y97" s="39" t="inlineStr">
        <is>
          <t>未开始</t>
        </is>
      </c>
      <c r="Z97" s="105" t="n">
        <v>46342</v>
      </c>
      <c r="AA97" s="105" t="n">
        <v>46353</v>
      </c>
      <c r="AB97" s="71">
        <f>(IF(M97="已完成",1,IF(M97="进行中",0.5,0))*15%+IF(Q97="已完成",1,IF(Q97="进行中",0.5,0))*35%+IF(U97="已完成",1,IF(U97="进行中",0.5,0))*30%+IF(Y97="已完成",1,IF(Y97="进行中",0.5,0))*20%)</f>
        <v/>
      </c>
      <c r="AC97" s="39">
        <f>IF(G97="已完成","正常",IF(OR(G97="暂停",G97="挂起"),"暂停",IF(J97="","日期缺失",IF(J97&lt;'项目驾驶舱'!$B$3,"已延期",IF(J97&lt;='项目驾驶舱'!$B$3+7,"临近到期","正常")))))</f>
        <v/>
      </c>
      <c r="AD97" s="39" t="inlineStr"/>
      <c r="AE97" s="40" t="inlineStr"/>
    </row>
    <row r="98" ht="17" customHeight="1" s="1">
      <c r="A98" s="37" t="inlineStr">
        <is>
          <t>T095</t>
        </is>
      </c>
      <c r="B98" s="39" t="inlineStr">
        <is>
          <t>费用结算</t>
        </is>
      </c>
      <c r="C98" s="39" t="inlineStr">
        <is>
          <t>堆存费优化（太仓）</t>
        </is>
      </c>
      <c r="D98" s="39" t="inlineStr">
        <is>
          <t>自动生成堆存费</t>
        </is>
      </c>
      <c r="E98" s="39" t="inlineStr">
        <is>
          <t>/</t>
        </is>
      </c>
      <c r="F98" s="39" t="inlineStr">
        <is>
          <t>第一批次</t>
        </is>
      </c>
      <c r="G98" s="39">
        <f>IF(OR(M98="挂起",M98="暂停",Q98="挂起",Q98="暂停",U98="挂起",U98="暂停",Y98="挂起",Y98="暂停"),"暂停","进行中")</f>
        <v/>
      </c>
      <c r="H98" s="39">
        <f>IF(L98&lt;&gt;"",L98,IF(P98&lt;&gt;"",P98,IF(T98&lt;&gt;"",T98,X98)))</f>
        <v/>
      </c>
      <c r="I98" s="105">
        <f>IF(COUNT(N98,R98,V98,Z98)=0,"",MIN(N98,R98,V98,Z98))</f>
        <v/>
      </c>
      <c r="J98" s="105">
        <f>IF(ISNUMBER(K98),K98,IF(COUNT(O98,S98,W98,AA98)=0,"",MAX(O98,S98,W98,AA98)))</f>
        <v/>
      </c>
      <c r="K98" s="105" t="n"/>
      <c r="L98" s="39" t="inlineStr">
        <is>
          <t>郑士旺</t>
        </is>
      </c>
      <c r="M98" s="39" t="inlineStr">
        <is>
          <t>已完成</t>
        </is>
      </c>
      <c r="N98" s="105" t="n">
        <v>46202</v>
      </c>
      <c r="O98" s="105" t="n">
        <v>46206</v>
      </c>
      <c r="P98" s="39" t="inlineStr">
        <is>
          <t>常浩</t>
        </is>
      </c>
      <c r="Q98" s="39" t="inlineStr">
        <is>
          <t>进行中</t>
        </is>
      </c>
      <c r="R98" s="105" t="n">
        <v>46209</v>
      </c>
      <c r="S98" s="105" t="n">
        <v>46225</v>
      </c>
      <c r="T98" s="39" t="inlineStr">
        <is>
          <t>常浩</t>
        </is>
      </c>
      <c r="U98" s="39" t="inlineStr">
        <is>
          <t>进行中</t>
        </is>
      </c>
      <c r="V98" s="105" t="n">
        <v>46209</v>
      </c>
      <c r="W98" s="105" t="n">
        <v>46225</v>
      </c>
      <c r="X98" s="39" t="inlineStr">
        <is>
          <t>袁丽荣</t>
        </is>
      </c>
      <c r="Y98" s="39" t="inlineStr">
        <is>
          <t>未开始</t>
        </is>
      </c>
      <c r="Z98" s="105" t="n">
        <v>46216</v>
      </c>
      <c r="AA98" s="105" t="n">
        <v>46234</v>
      </c>
      <c r="AB98" s="71">
        <f>(IF(M98="已完成",1,IF(M98="进行中",0.5,0))*15%+IF(Q98="已完成",1,IF(Q98="进行中",0.5,0))*35%+IF(U98="已完成",1,IF(U98="进行中",0.5,0))*30%+IF(Y98="已完成",1,IF(Y98="进行中",0.5,0))*20%)</f>
        <v/>
      </c>
      <c r="AC98" s="39">
        <f>IF(G98="已完成","正常",IF(OR(G98="暂停",G98="挂起"),"暂停",IF(J98="","日期缺失",IF(J98&lt;'项目驾驶舱'!$B$3,"已延期",IF(J98&lt;='项目驾驶舱'!$B$3+7,"临近到期","正常")))))</f>
        <v/>
      </c>
      <c r="AD98" s="39" t="inlineStr"/>
      <c r="AE98" s="40" t="inlineStr"/>
    </row>
    <row r="99" hidden="1" ht="17" customHeight="1" s="1">
      <c r="A99" s="37" t="inlineStr">
        <is>
          <t>T096</t>
        </is>
      </c>
      <c r="B99" s="39" t="inlineStr">
        <is>
          <t>费用结算</t>
        </is>
      </c>
      <c r="C99" s="39" t="inlineStr">
        <is>
          <t>港杂费优化(太仓）</t>
        </is>
      </c>
      <c r="D99" s="39" t="inlineStr">
        <is>
          <t>自动生成装船港杂费</t>
        </is>
      </c>
      <c r="E99" s="39" t="inlineStr">
        <is>
          <t>/</t>
        </is>
      </c>
      <c r="F99" s="39" t="inlineStr">
        <is>
          <t>第一批次</t>
        </is>
      </c>
      <c r="G99" s="39">
        <f>IF(OR(M99="挂起",M99="暂停",Q99="挂起",Q99="暂停",U99="挂起",U99="暂停",Y99="挂起",Y99="暂停"),"暂停","已完成")</f>
        <v/>
      </c>
      <c r="H99" s="39">
        <f>IF(L99&lt;&gt;"",L99,IF(P99&lt;&gt;"",P99,IF(T99&lt;&gt;"",T99,X99)))</f>
        <v/>
      </c>
      <c r="I99" s="105">
        <f>IF(COUNT(N99,R99,V99,Z99)=0,"",MIN(N99,R99,V99,Z99))</f>
        <v/>
      </c>
      <c r="J99" s="105">
        <f>IF(ISNUMBER(K99),K99,IF(COUNT(O99,S99,W99,AA99)=0,"",MAX(O99,S99,W99,AA99)))</f>
        <v/>
      </c>
      <c r="K99" s="105" t="n">
        <v>46261</v>
      </c>
      <c r="L99" s="39" t="inlineStr">
        <is>
          <t>郑士旺</t>
        </is>
      </c>
      <c r="M99" s="39" t="inlineStr">
        <is>
          <t>已完成</t>
        </is>
      </c>
      <c r="N99" s="105" t="n">
        <v>46202</v>
      </c>
      <c r="O99" s="105" t="n">
        <v>46206</v>
      </c>
      <c r="P99" s="39" t="inlineStr">
        <is>
          <t>石军磊、刘凯</t>
        </is>
      </c>
      <c r="Q99" s="39" t="inlineStr">
        <is>
          <t>已完成</t>
        </is>
      </c>
      <c r="R99" s="105" t="n">
        <v>46209</v>
      </c>
      <c r="S99" s="105" t="n">
        <v>46225</v>
      </c>
      <c r="T99" s="39" t="inlineStr">
        <is>
          <t>贺航</t>
        </is>
      </c>
      <c r="U99" s="39" t="inlineStr">
        <is>
          <t>已完成</t>
        </is>
      </c>
      <c r="V99" s="105" t="n">
        <v>46209</v>
      </c>
      <c r="W99" s="105" t="n">
        <v>46225</v>
      </c>
      <c r="X99" s="39" t="inlineStr">
        <is>
          <t>袁丽荣</t>
        </is>
      </c>
      <c r="Y99" s="39" t="inlineStr">
        <is>
          <t>已完成</t>
        </is>
      </c>
      <c r="Z99" s="105" t="n">
        <v>46216</v>
      </c>
      <c r="AA99" s="105" t="n">
        <v>46234</v>
      </c>
      <c r="AB99" s="71">
        <f>(IF(M99="已完成",1,IF(M99="进行中",0.5,0))*15%+IF(Q99="已完成",1,IF(Q99="进行中",0.5,0))*35%+IF(U99="已完成",1,IF(U99="进行中",0.5,0))*30%+IF(Y99="已完成",1,IF(Y99="进行中",0.5,0))*20%)</f>
        <v/>
      </c>
      <c r="AC99" s="39">
        <f>IF(G99="已完成","正常",IF(OR(G99="暂停",G99="挂起"),"暂停",IF(J99="","日期缺失",IF(J99&lt;'项目驾驶舱'!$B$3,"已延期",IF(J99&lt;='项目驾驶舱'!$B$3+7,"临近到期","正常")))))</f>
        <v/>
      </c>
      <c r="AD99" s="39" t="inlineStr"/>
      <c r="AE99" s="40" t="inlineStr"/>
    </row>
    <row r="100" hidden="1" ht="17" customHeight="1" s="1">
      <c r="A100" s="37" t="inlineStr">
        <is>
          <t>T097</t>
        </is>
      </c>
      <c r="B100" s="39" t="inlineStr">
        <is>
          <t>费用结算</t>
        </is>
      </c>
      <c r="C100" s="39" t="inlineStr">
        <is>
          <t>租赁费优化（太仓）</t>
        </is>
      </c>
      <c r="D100" s="39" t="inlineStr">
        <is>
          <t>自动生成租赁费</t>
        </is>
      </c>
      <c r="E100" s="39" t="inlineStr">
        <is>
          <t>/</t>
        </is>
      </c>
      <c r="F100" s="39" t="inlineStr">
        <is>
          <t>第一批次</t>
        </is>
      </c>
      <c r="G100" s="39">
        <f>IF(OR(M100="挂起",M100="暂停",Q100="挂起",Q100="暂停",U100="挂起",U100="暂停",Y100="挂起",Y100="暂停"),"暂停","已完成")</f>
        <v/>
      </c>
      <c r="H100" s="39">
        <f>IF(L100&lt;&gt;"",L100,IF(P100&lt;&gt;"",P100,IF(T100&lt;&gt;"",T100,X100)))</f>
        <v/>
      </c>
      <c r="I100" s="105">
        <f>IF(COUNT(N100,R100,V100,Z100)=0,"",MIN(N100,R100,V100,Z100))</f>
        <v/>
      </c>
      <c r="J100" s="105">
        <f>IF(ISNUMBER(K100),K100,IF(COUNT(O100,S100,W100,AA100)=0,"",MAX(O100,S100,W100,AA100)))</f>
        <v/>
      </c>
      <c r="K100" s="105" t="n"/>
      <c r="L100" s="39" t="inlineStr">
        <is>
          <t>郑士旺</t>
        </is>
      </c>
      <c r="M100" s="39" t="inlineStr">
        <is>
          <t>已完成</t>
        </is>
      </c>
      <c r="N100" s="105" t="n">
        <v>46202</v>
      </c>
      <c r="O100" s="105" t="n">
        <v>46206</v>
      </c>
      <c r="P100" s="39" t="inlineStr">
        <is>
          <t>石军磊、刘凯</t>
        </is>
      </c>
      <c r="Q100" s="39" t="inlineStr">
        <is>
          <t>已完成</t>
        </is>
      </c>
      <c r="R100" s="105" t="n">
        <v>46227</v>
      </c>
      <c r="S100" s="105" t="n">
        <v>46227</v>
      </c>
      <c r="T100" s="39" t="inlineStr">
        <is>
          <t>贺航</t>
        </is>
      </c>
      <c r="U100" s="39" t="inlineStr">
        <is>
          <t>已完成</t>
        </is>
      </c>
      <c r="V100" s="105" t="n">
        <v>46227</v>
      </c>
      <c r="W100" s="105" t="n">
        <v>46227</v>
      </c>
      <c r="X100" s="39" t="inlineStr">
        <is>
          <t>袁丽荣</t>
        </is>
      </c>
      <c r="Y100" s="39" t="inlineStr">
        <is>
          <t>已完成</t>
        </is>
      </c>
      <c r="Z100" s="105" t="n">
        <v>46216</v>
      </c>
      <c r="AA100" s="105" t="n">
        <v>46234</v>
      </c>
      <c r="AB100" s="71">
        <f>(IF(M100="已完成",1,IF(M100="进行中",0.5,0))*15%+IF(Q100="已完成",1,IF(Q100="进行中",0.5,0))*35%+IF(U100="已完成",1,IF(U100="进行中",0.5,0))*30%+IF(Y100="已完成",1,IF(Y100="进行中",0.5,0))*20%)</f>
        <v/>
      </c>
      <c r="AC100" s="39">
        <f>IF(G100="已完成","正常",IF(OR(G100="暂停",G100="挂起"),"暂停",IF(J100="","日期缺失",IF(J100&lt;'项目驾驶舱'!$B$3,"已延期",IF(J100&lt;='项目驾驶舱'!$B$3+7,"临近到期","正常")))))</f>
        <v/>
      </c>
      <c r="AD100" s="39" t="inlineStr"/>
      <c r="AE100" s="40" t="inlineStr"/>
    </row>
    <row r="101" hidden="1" ht="17" customHeight="1" s="1">
      <c r="A101" s="37" t="inlineStr">
        <is>
          <t>T098</t>
        </is>
      </c>
      <c r="B101" s="39" t="inlineStr">
        <is>
          <t>费用结算</t>
        </is>
      </c>
      <c r="C101" s="39" t="inlineStr">
        <is>
          <t>装卸费优化（太仓）</t>
        </is>
      </c>
      <c r="D101" s="39" t="inlineStr">
        <is>
          <t>优化装卸费新增</t>
        </is>
      </c>
      <c r="E101" s="39" t="inlineStr">
        <is>
          <t>/</t>
        </is>
      </c>
      <c r="F101" s="39" t="inlineStr">
        <is>
          <t>第一批次</t>
        </is>
      </c>
      <c r="G101" s="39">
        <f>IF(OR(M101="挂起",M101="暂停",Q101="挂起",Q101="暂停",U101="挂起",U101="暂停",Y101="挂起",Y101="暂停"),"暂停","已完成")</f>
        <v/>
      </c>
      <c r="H101" s="39">
        <f>IF(L101&lt;&gt;"",L101,IF(P101&lt;&gt;"",P101,IF(T101&lt;&gt;"",T101,X101)))</f>
        <v/>
      </c>
      <c r="I101" s="105">
        <f>IF(COUNT(N101,R101,V101,Z101)=0,"",MIN(N101,R101,V101,Z101))</f>
        <v/>
      </c>
      <c r="J101" s="105">
        <f>IF(ISNUMBER(K101),K101,IF(COUNT(O101,S101,W101,AA101)=0,"",MAX(O101,S101,W101,AA101)))</f>
        <v/>
      </c>
      <c r="K101" s="105" t="n">
        <v>46224</v>
      </c>
      <c r="L101" s="39" t="inlineStr">
        <is>
          <t>郑士旺</t>
        </is>
      </c>
      <c r="M101" s="39" t="inlineStr">
        <is>
          <t>已完成</t>
        </is>
      </c>
      <c r="N101" s="105" t="n">
        <v>46202</v>
      </c>
      <c r="O101" s="105" t="n">
        <v>46206</v>
      </c>
      <c r="P101" s="39" t="inlineStr">
        <is>
          <t>石军磊、刘凯</t>
        </is>
      </c>
      <c r="Q101" s="39" t="inlineStr">
        <is>
          <t>已完成</t>
        </is>
      </c>
      <c r="R101" s="105" t="n">
        <v>46227</v>
      </c>
      <c r="S101" s="105" t="n">
        <v>46227</v>
      </c>
      <c r="T101" s="39" t="inlineStr">
        <is>
          <t>贺航</t>
        </is>
      </c>
      <c r="U101" s="39" t="inlineStr">
        <is>
          <t>已完成</t>
        </is>
      </c>
      <c r="V101" s="105" t="n">
        <v>46227</v>
      </c>
      <c r="W101" s="105" t="n">
        <v>46227</v>
      </c>
      <c r="X101" s="39" t="inlineStr">
        <is>
          <t>袁丽荣</t>
        </is>
      </c>
      <c r="Y101" s="39" t="inlineStr">
        <is>
          <t>已完成</t>
        </is>
      </c>
      <c r="Z101" s="105" t="n">
        <v>46216</v>
      </c>
      <c r="AA101" s="105" t="n">
        <v>46234</v>
      </c>
      <c r="AB101" s="71">
        <f>(IF(M101="已完成",1,IF(M101="进行中",0.5,0))*15%+IF(Q101="已完成",1,IF(Q101="进行中",0.5,0))*35%+IF(U101="已完成",1,IF(U101="进行中",0.5,0))*30%+IF(Y101="已完成",1,IF(Y101="进行中",0.5,0))*20%)</f>
        <v/>
      </c>
      <c r="AC101" s="39">
        <f>IF(G101="已完成","正常",IF(OR(G101="暂停",G101="挂起"),"暂停",IF(J101="","日期缺失",IF(J101&lt;'项目驾驶舱'!$B$3,"已延期",IF(J101&lt;='项目驾驶舱'!$B$3+7,"临近到期","正常")))))</f>
        <v/>
      </c>
      <c r="AD101" s="39" t="inlineStr"/>
      <c r="AE101" s="40" t="inlineStr"/>
    </row>
    <row r="102" hidden="1" ht="17" customHeight="1" s="1">
      <c r="A102" s="37" t="inlineStr">
        <is>
          <t>T099</t>
        </is>
      </c>
      <c r="B102" s="39" t="inlineStr">
        <is>
          <t>费用结算</t>
        </is>
      </c>
      <c r="C102" s="39" t="inlineStr">
        <is>
          <t>装卸费优化（太仓）</t>
        </is>
      </c>
      <c r="D102" s="39" t="inlineStr">
        <is>
          <t>优化装卸费编辑</t>
        </is>
      </c>
      <c r="E102" s="39" t="inlineStr">
        <is>
          <t>/</t>
        </is>
      </c>
      <c r="F102" s="39" t="inlineStr">
        <is>
          <t>第一批次</t>
        </is>
      </c>
      <c r="G102" s="39">
        <f>IF(OR(M102="挂起",M102="暂停",Q102="挂起",Q102="暂停",U102="挂起",U102="暂停",Y102="挂起",Y102="暂停"),"暂停","已完成")</f>
        <v/>
      </c>
      <c r="H102" s="39">
        <f>IF(L102&lt;&gt;"",L102,IF(P102&lt;&gt;"",P102,IF(T102&lt;&gt;"",T102,X102)))</f>
        <v/>
      </c>
      <c r="I102" s="105">
        <f>IF(COUNT(N102,R102,V102,Z102)=0,"",MIN(N102,R102,V102,Z102))</f>
        <v/>
      </c>
      <c r="J102" s="105">
        <f>IF(ISNUMBER(K102),K102,IF(COUNT(O102,S102,W102,AA102)=0,"",MAX(O102,S102,W102,AA102)))</f>
        <v/>
      </c>
      <c r="K102" s="105" t="n">
        <v>46224</v>
      </c>
      <c r="L102" s="39" t="inlineStr">
        <is>
          <t>郑士旺</t>
        </is>
      </c>
      <c r="M102" s="39" t="inlineStr">
        <is>
          <t>已完成</t>
        </is>
      </c>
      <c r="N102" s="105" t="n">
        <v>46202</v>
      </c>
      <c r="O102" s="105" t="n">
        <v>46206</v>
      </c>
      <c r="P102" s="39" t="inlineStr">
        <is>
          <t>石军磊、刘凯</t>
        </is>
      </c>
      <c r="Q102" s="39" t="inlineStr">
        <is>
          <t>已完成</t>
        </is>
      </c>
      <c r="R102" s="105" t="n">
        <v>46227</v>
      </c>
      <c r="S102" s="105" t="n">
        <v>46227</v>
      </c>
      <c r="T102" s="39" t="inlineStr">
        <is>
          <t>贺航</t>
        </is>
      </c>
      <c r="U102" s="39" t="inlineStr">
        <is>
          <t>已完成</t>
        </is>
      </c>
      <c r="V102" s="105" t="n">
        <v>46227</v>
      </c>
      <c r="W102" s="105" t="n">
        <v>46227</v>
      </c>
      <c r="X102" s="39" t="inlineStr">
        <is>
          <t>袁丽荣</t>
        </is>
      </c>
      <c r="Y102" s="39" t="inlineStr">
        <is>
          <t>已完成</t>
        </is>
      </c>
      <c r="Z102" s="105" t="n">
        <v>46216</v>
      </c>
      <c r="AA102" s="105" t="n">
        <v>46234</v>
      </c>
      <c r="AB102" s="71">
        <f>(IF(M102="已完成",1,IF(M102="进行中",0.5,0))*15%+IF(Q102="已完成",1,IF(Q102="进行中",0.5,0))*35%+IF(U102="已完成",1,IF(U102="进行中",0.5,0))*30%+IF(Y102="已完成",1,IF(Y102="进行中",0.5,0))*20%)</f>
        <v/>
      </c>
      <c r="AC102" s="39">
        <f>IF(G102="已完成","正常",IF(OR(G102="暂停",G102="挂起"),"暂停",IF(J102="","日期缺失",IF(J102&lt;'项目驾驶舱'!$B$3,"已延期",IF(J102&lt;='项目驾驶舱'!$B$3+7,"临近到期","正常")))))</f>
        <v/>
      </c>
      <c r="AD102" s="39" t="inlineStr"/>
      <c r="AE102" s="40" t="inlineStr"/>
    </row>
    <row r="103" hidden="1" ht="34" customHeight="1" s="1">
      <c r="A103" s="37" t="inlineStr">
        <is>
          <t>T100</t>
        </is>
      </c>
      <c r="B103" s="39" t="inlineStr">
        <is>
          <t>资讯公告</t>
        </is>
      </c>
      <c r="C103" s="39" t="inlineStr">
        <is>
          <t>行业资讯</t>
        </is>
      </c>
      <c r="D103" s="39" t="inlineStr">
        <is>
          <t>创建行业资讯数据</t>
        </is>
      </c>
      <c r="E103" s="39" t="inlineStr">
        <is>
          <t>/</t>
        </is>
      </c>
      <c r="F103" s="39" t="inlineStr">
        <is>
          <t>第一批次</t>
        </is>
      </c>
      <c r="G103" s="39">
        <f>IF(OR(M103="挂起",M103="暂停",Q103="挂起",Q103="暂停",U103="挂起",U103="暂停",Y103="挂起",Y103="暂停"),"暂停","已完成")</f>
        <v/>
      </c>
      <c r="H103" s="39">
        <f>IF(L103&lt;&gt;"",L103,IF(P103&lt;&gt;"",P103,IF(T103&lt;&gt;"",T103,X103)))</f>
        <v/>
      </c>
      <c r="I103" s="105">
        <f>IF(COUNT(N103,R103,V103,Z103)=0,"",MIN(N103,R103,V103,Z103))</f>
        <v/>
      </c>
      <c r="J103" s="105">
        <f>IF(ISNUMBER(K103),K103,IF(COUNT(O103,S103,W103,AA103)=0,"",MAX(O103,S103,W103,AA103)))</f>
        <v/>
      </c>
      <c r="K103" s="105" t="n">
        <v>46224</v>
      </c>
      <c r="L103" s="39" t="inlineStr">
        <is>
          <t>郑士旺</t>
        </is>
      </c>
      <c r="M103" s="39" t="inlineStr">
        <is>
          <t>已完成</t>
        </is>
      </c>
      <c r="N103" s="105" t="n">
        <v>46209</v>
      </c>
      <c r="O103" s="105" t="n">
        <v>46213</v>
      </c>
      <c r="P103" s="39" t="inlineStr">
        <is>
          <t>常浩</t>
        </is>
      </c>
      <c r="Q103" s="39" t="inlineStr">
        <is>
          <t>已完成</t>
        </is>
      </c>
      <c r="R103" s="105" t="n">
        <v>46230</v>
      </c>
      <c r="S103" s="105" t="n">
        <v>46262</v>
      </c>
      <c r="T103" s="39" t="inlineStr">
        <is>
          <t>常浩</t>
        </is>
      </c>
      <c r="U103" s="39" t="inlineStr">
        <is>
          <t>已完成</t>
        </is>
      </c>
      <c r="V103" s="105" t="n">
        <v>46230</v>
      </c>
      <c r="W103" s="105" t="n">
        <v>46262</v>
      </c>
      <c r="X103" s="39" t="inlineStr">
        <is>
          <t>袁丽荣</t>
        </is>
      </c>
      <c r="Y103" s="39" t="inlineStr">
        <is>
          <t>已完成</t>
        </is>
      </c>
      <c r="Z103" s="105" t="n">
        <v>46253</v>
      </c>
      <c r="AA103" s="105" t="n">
        <v>46269</v>
      </c>
      <c r="AB103" s="71">
        <f>(IF(M103="已完成",1,IF(M103="进行中",0.5,0))*15%+IF(Q103="已完成",1,IF(Q103="进行中",0.5,0))*35%+IF(U103="已完成",1,IF(U103="进行中",0.5,0))*30%+IF(Y103="已完成",1,IF(Y103="进行中",0.5,0))*20%)</f>
        <v/>
      </c>
      <c r="AC103" s="39">
        <f>IF(G103="已完成","正常",IF(OR(G103="暂停",G103="挂起"),"暂停",IF(J103="","日期缺失",IF(J103&lt;'项目驾驶舱'!$B$3,"已延期",IF(J103&lt;='项目驾驶舱'!$B$3+7,"临近到期","正常")))))</f>
        <v/>
      </c>
      <c r="AD103" s="39" t="inlineStr"/>
      <c r="AE103" s="40" t="inlineStr"/>
    </row>
    <row r="104" hidden="1" ht="17" customHeight="1" s="1">
      <c r="A104" s="37" t="inlineStr">
        <is>
          <t>T101</t>
        </is>
      </c>
      <c r="B104" s="39" t="inlineStr">
        <is>
          <t>资讯公告</t>
        </is>
      </c>
      <c r="C104" s="39" t="inlineStr">
        <is>
          <t>行业资讯</t>
        </is>
      </c>
      <c r="D104" s="39" t="inlineStr">
        <is>
          <t>修改行业资讯数据</t>
        </is>
      </c>
      <c r="E104" s="39" t="inlineStr">
        <is>
          <t>/</t>
        </is>
      </c>
      <c r="F104" s="39" t="inlineStr">
        <is>
          <t>第一批次</t>
        </is>
      </c>
      <c r="G104" s="39">
        <f>IF(OR(M104="挂起",M104="暂停",Q104="挂起",Q104="暂停",U104="挂起",U104="暂停",Y104="挂起",Y104="暂停"),"暂停","已完成")</f>
        <v/>
      </c>
      <c r="H104" s="39">
        <f>IF(L104&lt;&gt;"",L104,IF(P104&lt;&gt;"",P104,IF(T104&lt;&gt;"",T104,X104)))</f>
        <v/>
      </c>
      <c r="I104" s="105">
        <f>IF(COUNT(N104,R104,V104,Z104)=0,"",MIN(N104,R104,V104,Z104))</f>
        <v/>
      </c>
      <c r="J104" s="105">
        <f>IF(ISNUMBER(K104),K104,IF(COUNT(O104,S104,W104,AA104)=0,"",MAX(O104,S104,W104,AA104)))</f>
        <v/>
      </c>
      <c r="K104" s="105" t="n">
        <v>46224</v>
      </c>
      <c r="L104" s="39" t="inlineStr">
        <is>
          <t>郑士旺</t>
        </is>
      </c>
      <c r="M104" s="39" t="inlineStr">
        <is>
          <t>已完成</t>
        </is>
      </c>
      <c r="N104" s="105" t="n">
        <v>46209</v>
      </c>
      <c r="O104" s="105" t="n">
        <v>46213</v>
      </c>
      <c r="P104" s="39" t="inlineStr">
        <is>
          <t>常浩</t>
        </is>
      </c>
      <c r="Q104" s="39" t="inlineStr">
        <is>
          <t>已完成</t>
        </is>
      </c>
      <c r="R104" s="105" t="n">
        <v>46230</v>
      </c>
      <c r="S104" s="105" t="n">
        <v>46262</v>
      </c>
      <c r="T104" s="39" t="inlineStr">
        <is>
          <t>常浩</t>
        </is>
      </c>
      <c r="U104" s="39" t="inlineStr">
        <is>
          <t>已完成</t>
        </is>
      </c>
      <c r="V104" s="105" t="n">
        <v>46230</v>
      </c>
      <c r="W104" s="105" t="n">
        <v>46262</v>
      </c>
      <c r="X104" s="39" t="inlineStr">
        <is>
          <t>袁丽荣</t>
        </is>
      </c>
      <c r="Y104" s="39" t="inlineStr">
        <is>
          <t>已完成</t>
        </is>
      </c>
      <c r="Z104" s="105" t="n">
        <v>46253</v>
      </c>
      <c r="AA104" s="105" t="n">
        <v>46269</v>
      </c>
      <c r="AB104" s="71">
        <f>(IF(M104="已完成",1,IF(M104="进行中",0.5,0))*15%+IF(Q104="已完成",1,IF(Q104="进行中",0.5,0))*35%+IF(U104="已完成",1,IF(U104="进行中",0.5,0))*30%+IF(Y104="已完成",1,IF(Y104="进行中",0.5,0))*20%)</f>
        <v/>
      </c>
      <c r="AC104" s="39">
        <f>IF(G104="已完成","正常",IF(OR(G104="暂停",G104="挂起"),"暂停",IF(J104="","日期缺失",IF(J104&lt;'项目驾驶舱'!$B$3,"已延期",IF(J104&lt;='项目驾驶舱'!$B$3+7,"临近到期","正常")))))</f>
        <v/>
      </c>
      <c r="AD104" s="39" t="inlineStr"/>
      <c r="AE104" s="40" t="inlineStr"/>
    </row>
    <row r="105" hidden="1" ht="17" customHeight="1" s="1">
      <c r="A105" s="37" t="inlineStr">
        <is>
          <t>T102</t>
        </is>
      </c>
      <c r="B105" s="39" t="inlineStr">
        <is>
          <t>资讯公告</t>
        </is>
      </c>
      <c r="C105" s="39" t="inlineStr">
        <is>
          <t>行业资讯</t>
        </is>
      </c>
      <c r="D105" s="39" t="inlineStr">
        <is>
          <t>删除行业资讯数据</t>
        </is>
      </c>
      <c r="E105" s="39" t="inlineStr">
        <is>
          <t>/</t>
        </is>
      </c>
      <c r="F105" s="39" t="inlineStr">
        <is>
          <t>第一批次</t>
        </is>
      </c>
      <c r="G105" s="39">
        <f>IF(OR(M105="挂起",M105="暂停",Q105="挂起",Q105="暂停",U105="挂起",U105="暂停",Y105="挂起",Y105="暂停"),"暂停","已完成")</f>
        <v/>
      </c>
      <c r="H105" s="39">
        <f>IF(L105&lt;&gt;"",L105,IF(P105&lt;&gt;"",P105,IF(T105&lt;&gt;"",T105,X105)))</f>
        <v/>
      </c>
      <c r="I105" s="105">
        <f>IF(COUNT(N105,R105,V105,Z105)=0,"",MIN(N105,R105,V105,Z105))</f>
        <v/>
      </c>
      <c r="J105" s="105">
        <f>IF(ISNUMBER(K105),K105,IF(COUNT(O105,S105,W105,AA105)=0,"",MAX(O105,S105,W105,AA105)))</f>
        <v/>
      </c>
      <c r="K105" s="105" t="n">
        <v>46224</v>
      </c>
      <c r="L105" s="39" t="inlineStr">
        <is>
          <t>郑士旺</t>
        </is>
      </c>
      <c r="M105" s="39" t="inlineStr">
        <is>
          <t>已完成</t>
        </is>
      </c>
      <c r="N105" s="105" t="n">
        <v>46209</v>
      </c>
      <c r="O105" s="105" t="n">
        <v>46213</v>
      </c>
      <c r="P105" s="39" t="inlineStr">
        <is>
          <t>常浩</t>
        </is>
      </c>
      <c r="Q105" s="39" t="inlineStr">
        <is>
          <t>已完成</t>
        </is>
      </c>
      <c r="R105" s="105" t="n">
        <v>46230</v>
      </c>
      <c r="S105" s="105" t="n">
        <v>46262</v>
      </c>
      <c r="T105" s="39" t="inlineStr">
        <is>
          <t>常浩</t>
        </is>
      </c>
      <c r="U105" s="39" t="inlineStr">
        <is>
          <t>已完成</t>
        </is>
      </c>
      <c r="V105" s="105" t="n">
        <v>46230</v>
      </c>
      <c r="W105" s="105" t="n">
        <v>46262</v>
      </c>
      <c r="X105" s="39" t="inlineStr">
        <is>
          <t>袁丽荣</t>
        </is>
      </c>
      <c r="Y105" s="39" t="inlineStr">
        <is>
          <t>已完成</t>
        </is>
      </c>
      <c r="Z105" s="105" t="n">
        <v>46253</v>
      </c>
      <c r="AA105" s="105" t="n">
        <v>46269</v>
      </c>
      <c r="AB105" s="71">
        <f>(IF(M105="已完成",1,IF(M105="进行中",0.5,0))*15%+IF(Q105="已完成",1,IF(Q105="进行中",0.5,0))*35%+IF(U105="已完成",1,IF(U105="进行中",0.5,0))*30%+IF(Y105="已完成",1,IF(Y105="进行中",0.5,0))*20%)</f>
        <v/>
      </c>
      <c r="AC105" s="39">
        <f>IF(G105="已完成","正常",IF(OR(G105="暂停",G105="挂起"),"暂停",IF(J105="","日期缺失",IF(J105&lt;'项目驾驶舱'!$B$3,"已延期",IF(J105&lt;='项目驾驶舱'!$B$3+7,"临近到期","正常")))))</f>
        <v/>
      </c>
      <c r="AD105" s="39" t="inlineStr"/>
      <c r="AE105" s="40" t="inlineStr"/>
    </row>
    <row r="106" hidden="1" ht="17" customHeight="1" s="1">
      <c r="A106" s="37" t="inlineStr">
        <is>
          <t>T103</t>
        </is>
      </c>
      <c r="B106" s="39" t="inlineStr">
        <is>
          <t>资讯公告</t>
        </is>
      </c>
      <c r="C106" s="39" t="inlineStr">
        <is>
          <t>行业资讯</t>
        </is>
      </c>
      <c r="D106" s="39" t="inlineStr">
        <is>
          <t>展示行业资讯数据</t>
        </is>
      </c>
      <c r="E106" s="39" t="inlineStr">
        <is>
          <t>/</t>
        </is>
      </c>
      <c r="F106" s="39" t="inlineStr">
        <is>
          <t>第一批次</t>
        </is>
      </c>
      <c r="G106" s="39">
        <f>IF(OR(M106="挂起",M106="暂停",Q106="挂起",Q106="暂停",U106="挂起",U106="暂停",Y106="挂起",Y106="暂停"),"暂停","已完成")</f>
        <v/>
      </c>
      <c r="H106" s="39">
        <f>IF(L106&lt;&gt;"",L106,IF(P106&lt;&gt;"",P106,IF(T106&lt;&gt;"",T106,X106)))</f>
        <v/>
      </c>
      <c r="I106" s="105">
        <f>IF(COUNT(N106,R106,V106,Z106)=0,"",MIN(N106,R106,V106,Z106))</f>
        <v/>
      </c>
      <c r="J106" s="105">
        <f>IF(ISNUMBER(K106),K106,IF(COUNT(O106,S106,W106,AA106)=0,"",MAX(O106,S106,W106,AA106)))</f>
        <v/>
      </c>
      <c r="K106" s="105" t="n">
        <v>46224</v>
      </c>
      <c r="L106" s="39" t="inlineStr">
        <is>
          <t>郑士旺</t>
        </is>
      </c>
      <c r="M106" s="39" t="inlineStr">
        <is>
          <t>已完成</t>
        </is>
      </c>
      <c r="N106" s="105" t="n">
        <v>46209</v>
      </c>
      <c r="O106" s="105" t="n">
        <v>46213</v>
      </c>
      <c r="P106" s="39" t="inlineStr">
        <is>
          <t>常浩</t>
        </is>
      </c>
      <c r="Q106" s="39" t="inlineStr">
        <is>
          <t>已完成</t>
        </is>
      </c>
      <c r="R106" s="105" t="n">
        <v>46230</v>
      </c>
      <c r="S106" s="105" t="n">
        <v>46262</v>
      </c>
      <c r="T106" s="39" t="inlineStr">
        <is>
          <t>常浩</t>
        </is>
      </c>
      <c r="U106" s="39" t="inlineStr">
        <is>
          <t>已完成</t>
        </is>
      </c>
      <c r="V106" s="105" t="n">
        <v>46230</v>
      </c>
      <c r="W106" s="105" t="n">
        <v>46262</v>
      </c>
      <c r="X106" s="39" t="inlineStr">
        <is>
          <t>袁丽荣</t>
        </is>
      </c>
      <c r="Y106" s="39" t="inlineStr">
        <is>
          <t>已完成</t>
        </is>
      </c>
      <c r="Z106" s="105" t="n">
        <v>46253</v>
      </c>
      <c r="AA106" s="105" t="n">
        <v>46269</v>
      </c>
      <c r="AB106" s="71">
        <f>(IF(M106="已完成",1,IF(M106="进行中",0.5,0))*15%+IF(Q106="已完成",1,IF(Q106="进行中",0.5,0))*35%+IF(U106="已完成",1,IF(U106="进行中",0.5,0))*30%+IF(Y106="已完成",1,IF(Y106="进行中",0.5,0))*20%)</f>
        <v/>
      </c>
      <c r="AC106" s="39">
        <f>IF(G106="已完成","正常",IF(OR(G106="暂停",G106="挂起"),"暂停",IF(J106="","日期缺失",IF(J106&lt;'项目驾驶舱'!$B$3,"已延期",IF(J106&lt;='项目驾驶舱'!$B$3+7,"临近到期","正常")))))</f>
        <v/>
      </c>
      <c r="AD106" s="39" t="inlineStr"/>
      <c r="AE106" s="40" t="inlineStr"/>
    </row>
    <row r="107" hidden="1" ht="17" customHeight="1" s="1">
      <c r="A107" s="37" t="inlineStr">
        <is>
          <t>T104</t>
        </is>
      </c>
      <c r="B107" s="39" t="inlineStr">
        <is>
          <t>统计分析</t>
        </is>
      </c>
      <c r="C107" s="39" t="inlineStr">
        <is>
          <t>吞吐量统计（曹妃甸）</t>
        </is>
      </c>
      <c r="D107" s="39" t="inlineStr">
        <is>
          <t>/</t>
        </is>
      </c>
      <c r="E107" s="39" t="inlineStr">
        <is>
          <t>/</t>
        </is>
      </c>
      <c r="F107" s="39" t="inlineStr">
        <is>
          <t>第一批次</t>
        </is>
      </c>
      <c r="G107" s="39">
        <f>IF(OR(M107="挂起",M107="暂停",Q107="挂起",Q107="暂停",U107="挂起",U107="暂停",Y107="挂起",Y107="暂停"),"暂停","已完成")</f>
        <v/>
      </c>
      <c r="H107" s="39">
        <f>IF(L107&lt;&gt;"",L107,IF(P107&lt;&gt;"",P107,IF(T107&lt;&gt;"",T107,X107)))</f>
        <v/>
      </c>
      <c r="I107" s="105">
        <f>IF(COUNT(N107,R107,V107,Z107)=0,"",MIN(N107,R107,V107,Z107))</f>
        <v/>
      </c>
      <c r="J107" s="105">
        <f>IF(ISNUMBER(K107),K107,IF(COUNT(O107,S107,W107,AA107)=0,"",MAX(O107,S107,W107,AA107)))</f>
        <v/>
      </c>
      <c r="K107" s="105" t="inlineStr">
        <is>
          <t>/</t>
        </is>
      </c>
      <c r="L107" s="39" t="inlineStr">
        <is>
          <t>郑士旺</t>
        </is>
      </c>
      <c r="M107" s="39" t="inlineStr">
        <is>
          <t>已完成</t>
        </is>
      </c>
      <c r="N107" s="105" t="n">
        <v>46209</v>
      </c>
      <c r="O107" s="105" t="n">
        <v>46213</v>
      </c>
      <c r="P107" s="39" t="inlineStr">
        <is>
          <t>石军磊、刘凯</t>
        </is>
      </c>
      <c r="Q107" s="39" t="inlineStr">
        <is>
          <t>已完成</t>
        </is>
      </c>
      <c r="R107" s="105" t="n">
        <v>46230</v>
      </c>
      <c r="S107" s="105" t="n">
        <v>46262</v>
      </c>
      <c r="T107" s="39" t="inlineStr">
        <is>
          <t>贺航</t>
        </is>
      </c>
      <c r="U107" s="39" t="inlineStr">
        <is>
          <t>已完成</t>
        </is>
      </c>
      <c r="V107" s="105" t="n">
        <v>46230</v>
      </c>
      <c r="W107" s="105" t="n">
        <v>46262</v>
      </c>
      <c r="X107" s="39" t="inlineStr">
        <is>
          <t>袁丽荣</t>
        </is>
      </c>
      <c r="Y107" s="39" t="inlineStr">
        <is>
          <t>已完成</t>
        </is>
      </c>
      <c r="Z107" s="105" t="n">
        <v>46253</v>
      </c>
      <c r="AA107" s="105" t="n">
        <v>46269</v>
      </c>
      <c r="AB107" s="71">
        <f>(IF(M107="已完成",1,IF(M107="进行中",0.5,0))*15%+IF(Q107="已完成",1,IF(Q107="进行中",0.5,0))*35%+IF(U107="已完成",1,IF(U107="进行中",0.5,0))*30%+IF(Y107="已完成",1,IF(Y107="进行中",0.5,0))*20%)</f>
        <v/>
      </c>
      <c r="AC107" s="39">
        <f>IF(G107="已完成","正常",IF(OR(G107="暂停",G107="挂起"),"暂停",IF(J107="","日期缺失",IF(J107&lt;'项目驾驶舱'!$B$3,"已延期",IF(J107&lt;='项目驾驶舱'!$B$3+7,"临近到期","正常")))))</f>
        <v/>
      </c>
      <c r="AD107" s="39" t="inlineStr"/>
      <c r="AE107" s="40" t="inlineStr"/>
    </row>
    <row r="108" hidden="1" ht="17" customHeight="1" s="1">
      <c r="A108" s="37" t="inlineStr">
        <is>
          <t>T105</t>
        </is>
      </c>
      <c r="B108" s="39" t="inlineStr">
        <is>
          <t>统计分析</t>
        </is>
      </c>
      <c r="C108" s="39" t="inlineStr">
        <is>
          <t>泊位占用率分析（曹妃甸）</t>
        </is>
      </c>
      <c r="D108" s="39" t="inlineStr">
        <is>
          <t>/</t>
        </is>
      </c>
      <c r="E108" s="39" t="inlineStr">
        <is>
          <t>/</t>
        </is>
      </c>
      <c r="F108" s="39" t="inlineStr">
        <is>
          <t>第一批次</t>
        </is>
      </c>
      <c r="G108" s="39">
        <f>IF(OR(M108="挂起",M108="暂停",Q108="挂起",Q108="暂停",U108="挂起",U108="暂停",Y108="挂起",Y108="暂停"),"暂停","已完成")</f>
        <v/>
      </c>
      <c r="H108" s="39">
        <f>IF(L108&lt;&gt;"",L108,IF(P108&lt;&gt;"",P108,IF(T108&lt;&gt;"",T108,X108)))</f>
        <v/>
      </c>
      <c r="I108" s="105">
        <f>IF(COUNT(N108,R108,V108,Z108)=0,"",MIN(N108,R108,V108,Z108))</f>
        <v/>
      </c>
      <c r="J108" s="105">
        <f>IF(ISNUMBER(K108),K108,IF(COUNT(O108,S108,W108,AA108)=0,"",MAX(O108,S108,W108,AA108)))</f>
        <v/>
      </c>
      <c r="K108" s="105" t="inlineStr">
        <is>
          <t>/</t>
        </is>
      </c>
      <c r="L108" s="39" t="inlineStr">
        <is>
          <t>郑士旺</t>
        </is>
      </c>
      <c r="M108" s="39" t="inlineStr">
        <is>
          <t>已完成</t>
        </is>
      </c>
      <c r="N108" s="105" t="n">
        <v>46209</v>
      </c>
      <c r="O108" s="105" t="n">
        <v>46213</v>
      </c>
      <c r="P108" s="39" t="inlineStr">
        <is>
          <t>石军磊、刘凯</t>
        </is>
      </c>
      <c r="Q108" s="39" t="inlineStr">
        <is>
          <t>已完成</t>
        </is>
      </c>
      <c r="R108" s="105" t="n">
        <v>46230</v>
      </c>
      <c r="S108" s="105" t="n">
        <v>46262</v>
      </c>
      <c r="T108" s="39" t="inlineStr">
        <is>
          <t>贺航</t>
        </is>
      </c>
      <c r="U108" s="39" t="inlineStr">
        <is>
          <t>已完成</t>
        </is>
      </c>
      <c r="V108" s="105" t="n">
        <v>46230</v>
      </c>
      <c r="W108" s="105" t="n">
        <v>46262</v>
      </c>
      <c r="X108" s="39" t="inlineStr">
        <is>
          <t>袁丽荣</t>
        </is>
      </c>
      <c r="Y108" s="39" t="inlineStr">
        <is>
          <t>已完成</t>
        </is>
      </c>
      <c r="Z108" s="105" t="n">
        <v>46253</v>
      </c>
      <c r="AA108" s="105" t="n">
        <v>46269</v>
      </c>
      <c r="AB108" s="71">
        <f>(IF(M108="已完成",1,IF(M108="进行中",0.5,0))*15%+IF(Q108="已完成",1,IF(Q108="进行中",0.5,0))*35%+IF(U108="已完成",1,IF(U108="进行中",0.5,0))*30%+IF(Y108="已完成",1,IF(Y108="进行中",0.5,0))*20%)</f>
        <v/>
      </c>
      <c r="AC108" s="39">
        <f>IF(G108="已完成","正常",IF(OR(G108="暂停",G108="挂起"),"暂停",IF(J108="","日期缺失",IF(J108&lt;'项目驾驶舱'!$B$3,"已延期",IF(J108&lt;='项目驾驶舱'!$B$3+7,"临近到期","正常")))))</f>
        <v/>
      </c>
      <c r="AD108" s="39" t="inlineStr"/>
      <c r="AE108" s="40" t="inlineStr"/>
    </row>
    <row r="109" hidden="1" ht="17" customHeight="1" s="1">
      <c r="A109" s="37" t="inlineStr">
        <is>
          <t>T106</t>
        </is>
      </c>
      <c r="B109" s="39" t="inlineStr">
        <is>
          <t>统计分析</t>
        </is>
      </c>
      <c r="C109" s="39" t="inlineStr">
        <is>
          <t>堆存库存统计（曹妃甸）</t>
        </is>
      </c>
      <c r="D109" s="39" t="inlineStr">
        <is>
          <t>/</t>
        </is>
      </c>
      <c r="E109" s="39" t="inlineStr">
        <is>
          <t>/</t>
        </is>
      </c>
      <c r="F109" s="39" t="inlineStr">
        <is>
          <t>第一批次</t>
        </is>
      </c>
      <c r="G109" s="39">
        <f>IF(OR(M109="挂起",M109="暂停",Q109="挂起",Q109="暂停",U109="挂起",U109="暂停",Y109="挂起",Y109="暂停"),"暂停","已完成")</f>
        <v/>
      </c>
      <c r="H109" s="39">
        <f>IF(L109&lt;&gt;"",L109,IF(P109&lt;&gt;"",P109,IF(T109&lt;&gt;"",T109,X109)))</f>
        <v/>
      </c>
      <c r="I109" s="105">
        <f>IF(COUNT(N109,R109,V109,Z109)=0,"",MIN(N109,R109,V109,Z109))</f>
        <v/>
      </c>
      <c r="J109" s="105">
        <f>IF(ISNUMBER(K109),K109,IF(COUNT(O109,S109,W109,AA109)=0,"",MAX(O109,S109,W109,AA109)))</f>
        <v/>
      </c>
      <c r="K109" s="105" t="inlineStr">
        <is>
          <t>/</t>
        </is>
      </c>
      <c r="L109" s="39" t="inlineStr">
        <is>
          <t>郑士旺</t>
        </is>
      </c>
      <c r="M109" s="39" t="inlineStr">
        <is>
          <t>已完成</t>
        </is>
      </c>
      <c r="N109" s="105" t="n">
        <v>46209</v>
      </c>
      <c r="O109" s="105" t="n">
        <v>46213</v>
      </c>
      <c r="P109" s="39" t="inlineStr">
        <is>
          <t>石军磊、刘凯</t>
        </is>
      </c>
      <c r="Q109" s="39" t="inlineStr">
        <is>
          <t>已完成</t>
        </is>
      </c>
      <c r="R109" s="105" t="n">
        <v>46230</v>
      </c>
      <c r="S109" s="105" t="n">
        <v>46262</v>
      </c>
      <c r="T109" s="39" t="inlineStr">
        <is>
          <t>贺航</t>
        </is>
      </c>
      <c r="U109" s="39" t="inlineStr">
        <is>
          <t>已完成</t>
        </is>
      </c>
      <c r="V109" s="105" t="n">
        <v>46230</v>
      </c>
      <c r="W109" s="105" t="n">
        <v>46262</v>
      </c>
      <c r="X109" s="39" t="inlineStr">
        <is>
          <t>袁丽荣</t>
        </is>
      </c>
      <c r="Y109" s="39" t="inlineStr">
        <is>
          <t>已完成</t>
        </is>
      </c>
      <c r="Z109" s="105" t="n">
        <v>46253</v>
      </c>
      <c r="AA109" s="105" t="n">
        <v>46269</v>
      </c>
      <c r="AB109" s="71">
        <f>(IF(M109="已完成",1,IF(M109="进行中",0.5,0))*15%+IF(Q109="已完成",1,IF(Q109="进行中",0.5,0))*35%+IF(U109="已完成",1,IF(U109="进行中",0.5,0))*30%+IF(Y109="已完成",1,IF(Y109="进行中",0.5,0))*20%)</f>
        <v/>
      </c>
      <c r="AC109" s="39">
        <f>IF(G109="已完成","正常",IF(OR(G109="暂停",G109="挂起"),"暂停",IF(J109="","日期缺失",IF(J109&lt;'项目驾驶舱'!$B$3,"已延期",IF(J109&lt;='项目驾驶舱'!$B$3+7,"临近到期","正常")))))</f>
        <v/>
      </c>
      <c r="AD109" s="39" t="inlineStr"/>
      <c r="AE109" s="40" t="inlineStr"/>
    </row>
    <row r="110" hidden="1" ht="17" customHeight="1" s="1">
      <c r="A110" s="37" t="inlineStr">
        <is>
          <t>T107</t>
        </is>
      </c>
      <c r="B110" s="39" t="inlineStr">
        <is>
          <t>统计分析</t>
        </is>
      </c>
      <c r="C110" s="39" t="inlineStr">
        <is>
          <t>分货主实时统计表（曹妃甸）</t>
        </is>
      </c>
      <c r="D110" s="39" t="inlineStr">
        <is>
          <t>/</t>
        </is>
      </c>
      <c r="E110" s="39" t="inlineStr">
        <is>
          <t>/</t>
        </is>
      </c>
      <c r="F110" s="39" t="inlineStr">
        <is>
          <t>第一批次</t>
        </is>
      </c>
      <c r="G110" s="39">
        <f>IF(OR(M110="挂起",M110="暂停",Q110="挂起",Q110="暂停",U110="挂起",U110="暂停",Y110="挂起",Y110="暂停"),"暂停","已完成")</f>
        <v/>
      </c>
      <c r="H110" s="39">
        <f>IF(L110&lt;&gt;"",L110,IF(P110&lt;&gt;"",P110,IF(T110&lt;&gt;"",T110,X110)))</f>
        <v/>
      </c>
      <c r="I110" s="105">
        <f>IF(COUNT(N110,R110,V110,Z110)=0,"",MIN(N110,R110,V110,Z110))</f>
        <v/>
      </c>
      <c r="J110" s="105">
        <f>IF(ISNUMBER(K110),K110,IF(COUNT(O110,S110,W110,AA110)=0,"",MAX(O110,S110,W110,AA110)))</f>
        <v/>
      </c>
      <c r="K110" s="105" t="inlineStr">
        <is>
          <t>/</t>
        </is>
      </c>
      <c r="L110" s="39" t="inlineStr">
        <is>
          <t>郑士旺</t>
        </is>
      </c>
      <c r="M110" s="39" t="inlineStr">
        <is>
          <t>已完成</t>
        </is>
      </c>
      <c r="N110" s="105" t="n">
        <v>46209</v>
      </c>
      <c r="O110" s="105" t="n">
        <v>46213</v>
      </c>
      <c r="P110" s="39" t="inlineStr">
        <is>
          <t>石军磊、刘凯</t>
        </is>
      </c>
      <c r="Q110" s="39" t="inlineStr">
        <is>
          <t>已完成</t>
        </is>
      </c>
      <c r="R110" s="105" t="n">
        <v>46230</v>
      </c>
      <c r="S110" s="105" t="n">
        <v>46262</v>
      </c>
      <c r="T110" s="39" t="inlineStr">
        <is>
          <t>贺航</t>
        </is>
      </c>
      <c r="U110" s="39" t="inlineStr">
        <is>
          <t>已完成</t>
        </is>
      </c>
      <c r="V110" s="105" t="n">
        <v>46230</v>
      </c>
      <c r="W110" s="105" t="n">
        <v>46262</v>
      </c>
      <c r="X110" s="39" t="inlineStr">
        <is>
          <t>袁丽荣</t>
        </is>
      </c>
      <c r="Y110" s="39" t="inlineStr">
        <is>
          <t>已完成</t>
        </is>
      </c>
      <c r="Z110" s="105" t="n">
        <v>46253</v>
      </c>
      <c r="AA110" s="105" t="n">
        <v>46269</v>
      </c>
      <c r="AB110" s="71">
        <f>(IF(M110="已完成",1,IF(M110="进行中",0.5,0))*15%+IF(Q110="已完成",1,IF(Q110="进行中",0.5,0))*35%+IF(U110="已完成",1,IF(U110="进行中",0.5,0))*30%+IF(Y110="已完成",1,IF(Y110="进行中",0.5,0))*20%)</f>
        <v/>
      </c>
      <c r="AC110" s="39">
        <f>IF(G110="已完成","正常",IF(OR(G110="暂停",G110="挂起"),"暂停",IF(J110="","日期缺失",IF(J110&lt;'项目驾驶舱'!$B$3,"已延期",IF(J110&lt;='项目驾驶舱'!$B$3+7,"临近到期","正常")))))</f>
        <v/>
      </c>
      <c r="AD110" s="39" t="inlineStr"/>
      <c r="AE110" s="40" t="inlineStr"/>
    </row>
    <row r="111" hidden="1" ht="17" customHeight="1" s="1">
      <c r="A111" s="37" t="inlineStr">
        <is>
          <t>T108</t>
        </is>
      </c>
      <c r="B111" s="39" t="inlineStr">
        <is>
          <t>统计分析</t>
        </is>
      </c>
      <c r="C111" s="39" t="inlineStr">
        <is>
          <t>综合装船效率分析（曹妃甸）</t>
        </is>
      </c>
      <c r="D111" s="39" t="inlineStr">
        <is>
          <t>/</t>
        </is>
      </c>
      <c r="E111" s="39" t="inlineStr">
        <is>
          <t>/</t>
        </is>
      </c>
      <c r="F111" s="39" t="inlineStr">
        <is>
          <t>第一批次</t>
        </is>
      </c>
      <c r="G111" s="39">
        <f>IF(OR(M111="挂起",M111="暂停",Q111="挂起",Q111="暂停",U111="挂起",U111="暂停",Y111="挂起",Y111="暂停"),"暂停","已完成")</f>
        <v/>
      </c>
      <c r="H111" s="39">
        <f>IF(L111&lt;&gt;"",L111,IF(P111&lt;&gt;"",P111,IF(T111&lt;&gt;"",T111,X111)))</f>
        <v/>
      </c>
      <c r="I111" s="105">
        <f>IF(COUNT(N111,R111,V111,Z111)=0,"",MIN(N111,R111,V111,Z111))</f>
        <v/>
      </c>
      <c r="J111" s="105">
        <f>IF(ISNUMBER(K111),K111,IF(COUNT(O111,S111,W111,AA111)=0,"",MAX(O111,S111,W111,AA111)))</f>
        <v/>
      </c>
      <c r="K111" s="105" t="inlineStr">
        <is>
          <t>/</t>
        </is>
      </c>
      <c r="L111" s="39" t="inlineStr">
        <is>
          <t>郑士旺</t>
        </is>
      </c>
      <c r="M111" s="39" t="inlineStr">
        <is>
          <t>已完成</t>
        </is>
      </c>
      <c r="N111" s="105" t="n">
        <v>46209</v>
      </c>
      <c r="O111" s="105" t="n">
        <v>46213</v>
      </c>
      <c r="P111" s="39" t="inlineStr">
        <is>
          <t>石军磊、刘凯</t>
        </is>
      </c>
      <c r="Q111" s="39" t="inlineStr">
        <is>
          <t>已完成</t>
        </is>
      </c>
      <c r="R111" s="105" t="n">
        <v>46230</v>
      </c>
      <c r="S111" s="105" t="n">
        <v>46262</v>
      </c>
      <c r="T111" s="39" t="inlineStr">
        <is>
          <t>贺航</t>
        </is>
      </c>
      <c r="U111" s="39" t="inlineStr">
        <is>
          <t>已完成</t>
        </is>
      </c>
      <c r="V111" s="105" t="n">
        <v>46230</v>
      </c>
      <c r="W111" s="105" t="n">
        <v>46262</v>
      </c>
      <c r="X111" s="39" t="inlineStr">
        <is>
          <t>袁丽荣</t>
        </is>
      </c>
      <c r="Y111" s="39" t="inlineStr">
        <is>
          <t>已完成</t>
        </is>
      </c>
      <c r="Z111" s="105" t="n">
        <v>46253</v>
      </c>
      <c r="AA111" s="105" t="n">
        <v>46269</v>
      </c>
      <c r="AB111" s="71">
        <f>(IF(M111="已完成",1,IF(M111="进行中",0.5,0))*15%+IF(Q111="已完成",1,IF(Q111="进行中",0.5,0))*35%+IF(U111="已完成",1,IF(U111="进行中",0.5,0))*30%+IF(Y111="已完成",1,IF(Y111="进行中",0.5,0))*20%)</f>
        <v/>
      </c>
      <c r="AC111" s="39">
        <f>IF(G111="已完成","正常",IF(OR(G111="暂停",G111="挂起"),"暂停",IF(J111="","日期缺失",IF(J111&lt;'项目驾驶舱'!$B$3,"已延期",IF(J111&lt;='项目驾驶舱'!$B$3+7,"临近到期","正常")))))</f>
        <v/>
      </c>
      <c r="AD111" s="39" t="inlineStr"/>
      <c r="AE111" s="40" t="inlineStr"/>
    </row>
    <row r="112" hidden="1" ht="17" customHeight="1" s="1">
      <c r="A112" s="37" t="inlineStr">
        <is>
          <t>T109</t>
        </is>
      </c>
      <c r="B112" s="39" t="inlineStr">
        <is>
          <t>统计分析</t>
        </is>
      </c>
      <c r="C112" s="39" t="inlineStr">
        <is>
          <t>综合卸车效率分析（曹妃甸）</t>
        </is>
      </c>
      <c r="D112" s="39" t="inlineStr">
        <is>
          <t>/</t>
        </is>
      </c>
      <c r="E112" s="39" t="inlineStr">
        <is>
          <t>/</t>
        </is>
      </c>
      <c r="F112" s="39" t="inlineStr">
        <is>
          <t>第一批次</t>
        </is>
      </c>
      <c r="G112" s="39">
        <f>IF(OR(M112="挂起",M112="暂停",Q112="挂起",Q112="暂停",U112="挂起",U112="暂停",Y112="挂起",Y112="暂停"),"暂停","已完成")</f>
        <v/>
      </c>
      <c r="H112" s="39">
        <f>IF(L112&lt;&gt;"",L112,IF(P112&lt;&gt;"",P112,IF(T112&lt;&gt;"",T112,X112)))</f>
        <v/>
      </c>
      <c r="I112" s="105">
        <f>IF(COUNT(N112,R112,V112,Z112)=0,"",MIN(N112,R112,V112,Z112))</f>
        <v/>
      </c>
      <c r="J112" s="105">
        <f>IF(ISNUMBER(K112),K112,IF(COUNT(O112,S112,W112,AA112)=0,"",MAX(O112,S112,W112,AA112)))</f>
        <v/>
      </c>
      <c r="K112" s="105" t="inlineStr">
        <is>
          <t>/</t>
        </is>
      </c>
      <c r="L112" s="39" t="inlineStr">
        <is>
          <t>郑士旺</t>
        </is>
      </c>
      <c r="M112" s="39" t="inlineStr">
        <is>
          <t>已完成</t>
        </is>
      </c>
      <c r="N112" s="105" t="n">
        <v>46209</v>
      </c>
      <c r="O112" s="105" t="n">
        <v>46213</v>
      </c>
      <c r="P112" s="39" t="inlineStr">
        <is>
          <t>石军磊、刘凯</t>
        </is>
      </c>
      <c r="Q112" s="39" t="inlineStr">
        <is>
          <t>已完成</t>
        </is>
      </c>
      <c r="R112" s="105" t="n">
        <v>46230</v>
      </c>
      <c r="S112" s="105" t="n">
        <v>46262</v>
      </c>
      <c r="T112" s="39" t="inlineStr">
        <is>
          <t>贺航</t>
        </is>
      </c>
      <c r="U112" s="39" t="inlineStr">
        <is>
          <t>已完成</t>
        </is>
      </c>
      <c r="V112" s="105" t="n">
        <v>46230</v>
      </c>
      <c r="W112" s="105" t="n">
        <v>46262</v>
      </c>
      <c r="X112" s="39" t="inlineStr">
        <is>
          <t>袁丽荣</t>
        </is>
      </c>
      <c r="Y112" s="39" t="inlineStr">
        <is>
          <t>已完成</t>
        </is>
      </c>
      <c r="Z112" s="105" t="n">
        <v>46253</v>
      </c>
      <c r="AA112" s="105" t="n">
        <v>46269</v>
      </c>
      <c r="AB112" s="71">
        <f>(IF(M112="已完成",1,IF(M112="进行中",0.5,0))*15%+IF(Q112="已完成",1,IF(Q112="进行中",0.5,0))*35%+IF(U112="已完成",1,IF(U112="进行中",0.5,0))*30%+IF(Y112="已完成",1,IF(Y112="进行中",0.5,0))*20%)</f>
        <v/>
      </c>
      <c r="AC112" s="39">
        <f>IF(G112="已完成","正常",IF(OR(G112="暂停",G112="挂起"),"暂停",IF(J112="","日期缺失",IF(J112&lt;'项目驾驶舱'!$B$3,"已延期",IF(J112&lt;='项目驾驶舱'!$B$3+7,"临近到期","正常")))))</f>
        <v/>
      </c>
      <c r="AD112" s="39" t="inlineStr"/>
      <c r="AE112" s="40" t="inlineStr"/>
    </row>
    <row r="113" hidden="1" ht="17" customHeight="1" s="1">
      <c r="A113" s="37" t="inlineStr">
        <is>
          <t>T110</t>
        </is>
      </c>
      <c r="B113" s="39" t="inlineStr">
        <is>
          <t>统计分析</t>
        </is>
      </c>
      <c r="C113" s="39" t="inlineStr">
        <is>
          <t>综合卸船效率分析（曹妃甸）</t>
        </is>
      </c>
      <c r="D113" s="39" t="inlineStr">
        <is>
          <t>/</t>
        </is>
      </c>
      <c r="E113" s="39" t="inlineStr">
        <is>
          <t>/</t>
        </is>
      </c>
      <c r="F113" s="39" t="inlineStr">
        <is>
          <t>第二批次</t>
        </is>
      </c>
      <c r="G113" s="39">
        <f>IF(OR(M113="挂起",M113="暂停",Q113="挂起",Q113="暂停",U113="挂起",U113="暂停",Y113="挂起",Y113="暂停"),"暂停","已完成")</f>
        <v/>
      </c>
      <c r="H113" s="39">
        <f>IF(L113&lt;&gt;"",L113,IF(P113&lt;&gt;"",P113,IF(T113&lt;&gt;"",T113,X113)))</f>
        <v/>
      </c>
      <c r="I113" s="105">
        <f>IF(COUNT(N113,R113,V113,Z113)=0,"",MIN(N113,R113,V113,Z113))</f>
        <v/>
      </c>
      <c r="J113" s="105">
        <f>IF(ISNUMBER(K113),K113,IF(COUNT(O113,S113,W113,AA113)=0,"",MAX(O113,S113,W113,AA113)))</f>
        <v/>
      </c>
      <c r="K113" s="105" t="inlineStr">
        <is>
          <t>/</t>
        </is>
      </c>
      <c r="L113" s="39" t="inlineStr">
        <is>
          <t>郑士旺</t>
        </is>
      </c>
      <c r="M113" s="39" t="inlineStr">
        <is>
          <t>已完成</t>
        </is>
      </c>
      <c r="N113" s="105" t="n">
        <v>46209</v>
      </c>
      <c r="O113" s="105" t="n">
        <v>46213</v>
      </c>
      <c r="P113" s="39" t="inlineStr">
        <is>
          <t>石军磊、刘凯</t>
        </is>
      </c>
      <c r="Q113" s="39" t="inlineStr">
        <is>
          <t>已完成</t>
        </is>
      </c>
      <c r="R113" s="105" t="n">
        <v>46230</v>
      </c>
      <c r="S113" s="105" t="n">
        <v>46262</v>
      </c>
      <c r="T113" s="39" t="inlineStr">
        <is>
          <t>贺航</t>
        </is>
      </c>
      <c r="U113" s="39" t="inlineStr">
        <is>
          <t>已完成</t>
        </is>
      </c>
      <c r="V113" s="105" t="n">
        <v>46230</v>
      </c>
      <c r="W113" s="105" t="n">
        <v>46262</v>
      </c>
      <c r="X113" s="39" t="inlineStr">
        <is>
          <t>袁丽荣</t>
        </is>
      </c>
      <c r="Y113" s="39" t="inlineStr">
        <is>
          <t>已完成</t>
        </is>
      </c>
      <c r="Z113" s="105" t="n">
        <v>46253</v>
      </c>
      <c r="AA113" s="105" t="n">
        <v>46269</v>
      </c>
      <c r="AB113" s="71">
        <f>(IF(M113="已完成",1,IF(M113="进行中",0.5,0))*15%+IF(Q113="已完成",1,IF(Q113="进行中",0.5,0))*35%+IF(U113="已完成",1,IF(U113="进行中",0.5,0))*30%+IF(Y113="已完成",1,IF(Y113="进行中",0.5,0))*20%)</f>
        <v/>
      </c>
      <c r="AC113" s="39">
        <f>IF(G113="已完成","正常",IF(OR(G113="暂停",G113="挂起"),"暂停",IF(J113="","日期缺失",IF(J113&lt;'项目驾驶舱'!$B$3,"已延期",IF(J113&lt;='项目驾驶舱'!$B$3+7,"临近到期","正常")))))</f>
        <v/>
      </c>
      <c r="AD113" s="39" t="inlineStr"/>
      <c r="AE113" s="40" t="inlineStr"/>
    </row>
    <row r="114" hidden="1" ht="17" customHeight="1" s="1">
      <c r="A114" s="37" t="inlineStr">
        <is>
          <t>T111</t>
        </is>
      </c>
      <c r="B114" s="39" t="inlineStr">
        <is>
          <t>统计分析</t>
        </is>
      </c>
      <c r="C114" s="39" t="inlineStr">
        <is>
          <t>吞吐量统计（太仓）</t>
        </is>
      </c>
      <c r="D114" s="39" t="inlineStr">
        <is>
          <t>/</t>
        </is>
      </c>
      <c r="E114" s="39" t="inlineStr">
        <is>
          <t>/</t>
        </is>
      </c>
      <c r="F114" s="39" t="inlineStr">
        <is>
          <t>/</t>
        </is>
      </c>
      <c r="G114" s="39">
        <f>IF(OR(M114="挂起",M114="暂停",Q114="挂起",Q114="暂停",U114="挂起",U114="暂停",Y114="挂起",Y114="暂停"),"暂停","暂停")</f>
        <v/>
      </c>
      <c r="H114" s="39">
        <f>IF(L114&lt;&gt;"",L114,IF(P114&lt;&gt;"",P114,IF(T114&lt;&gt;"",T114,X114)))</f>
        <v/>
      </c>
      <c r="I114" s="105">
        <f>IF(COUNT(N114,R114,V114,Z114)=0,"",MIN(N114,R114,V114,Z114))</f>
        <v/>
      </c>
      <c r="J114" s="105">
        <f>IF(ISNUMBER(K114),K114,IF(COUNT(O114,S114,W114,AA114)=0,"",MAX(O114,S114,W114,AA114)))</f>
        <v/>
      </c>
      <c r="K114" s="105" t="n"/>
      <c r="L114" s="39" t="inlineStr">
        <is>
          <t>/</t>
        </is>
      </c>
      <c r="M114" s="39" t="inlineStr">
        <is>
          <t>/</t>
        </is>
      </c>
      <c r="N114" s="105" t="inlineStr">
        <is>
          <t>/</t>
        </is>
      </c>
      <c r="O114" s="105" t="inlineStr">
        <is>
          <t>/</t>
        </is>
      </c>
      <c r="P114" s="39" t="inlineStr">
        <is>
          <t>/</t>
        </is>
      </c>
      <c r="Q114" s="39" t="inlineStr">
        <is>
          <t>/</t>
        </is>
      </c>
      <c r="R114" s="105" t="inlineStr">
        <is>
          <t>/</t>
        </is>
      </c>
      <c r="S114" s="105" t="inlineStr">
        <is>
          <t>/</t>
        </is>
      </c>
      <c r="T114" s="39" t="inlineStr">
        <is>
          <t>/</t>
        </is>
      </c>
      <c r="U114" s="39" t="inlineStr">
        <is>
          <t>/</t>
        </is>
      </c>
      <c r="V114" s="105" t="inlineStr">
        <is>
          <t>/</t>
        </is>
      </c>
      <c r="W114" s="105" t="inlineStr">
        <is>
          <t>/</t>
        </is>
      </c>
      <c r="X114" s="39" t="inlineStr">
        <is>
          <t>/</t>
        </is>
      </c>
      <c r="Y114" s="39" t="inlineStr">
        <is>
          <t>/</t>
        </is>
      </c>
      <c r="Z114" s="105" t="inlineStr">
        <is>
          <t>/</t>
        </is>
      </c>
      <c r="AA114" s="105" t="inlineStr">
        <is>
          <t>/</t>
        </is>
      </c>
      <c r="AB114" s="71">
        <f>(IF(M114="已完成",1,IF(M114="进行中",0.5,0))*15%+IF(Q114="已完成",1,IF(Q114="进行中",0.5,0))*35%+IF(U114="已完成",1,IF(U114="进行中",0.5,0))*30%+IF(Y114="已完成",1,IF(Y114="进行中",0.5,0))*20%)</f>
        <v/>
      </c>
      <c r="AC114" s="39">
        <f>IF(G114="已完成","正常",IF(OR(G114="暂停",G114="挂起"),"暂停",IF(J114="","日期缺失",IF(J114&lt;'项目驾驶舱'!$B$3,"已延期",IF(J114&lt;='项目驾驶舱'!$B$3+7,"临近到期","正常")))))</f>
        <v/>
      </c>
      <c r="AD114" s="39" t="inlineStr"/>
      <c r="AE114" s="40" t="inlineStr"/>
    </row>
    <row r="115" hidden="1" ht="17" customHeight="1" s="1">
      <c r="A115" s="37" t="inlineStr">
        <is>
          <t>T112</t>
        </is>
      </c>
      <c r="B115" s="39" t="inlineStr">
        <is>
          <t>统计分析</t>
        </is>
      </c>
      <c r="C115" s="39" t="inlineStr">
        <is>
          <t>泊位占用率分析（太仓）</t>
        </is>
      </c>
      <c r="D115" s="39" t="inlineStr">
        <is>
          <t>/</t>
        </is>
      </c>
      <c r="E115" s="39" t="inlineStr">
        <is>
          <t>/</t>
        </is>
      </c>
      <c r="F115" s="39" t="inlineStr">
        <is>
          <t>/</t>
        </is>
      </c>
      <c r="G115" s="39">
        <f>IF(OR(M115="挂起",M115="暂停",Q115="挂起",Q115="暂停",U115="挂起",U115="暂停",Y115="挂起",Y115="暂停"),"暂停","暂停")</f>
        <v/>
      </c>
      <c r="H115" s="39">
        <f>IF(L115&lt;&gt;"",L115,IF(P115&lt;&gt;"",P115,IF(T115&lt;&gt;"",T115,X115)))</f>
        <v/>
      </c>
      <c r="I115" s="105">
        <f>IF(COUNT(N115,R115,V115,Z115)=0,"",MIN(N115,R115,V115,Z115))</f>
        <v/>
      </c>
      <c r="J115" s="105">
        <f>IF(ISNUMBER(K115),K115,IF(COUNT(O115,S115,W115,AA115)=0,"",MAX(O115,S115,W115,AA115)))</f>
        <v/>
      </c>
      <c r="K115" s="105" t="n"/>
      <c r="L115" s="39" t="inlineStr">
        <is>
          <t>/</t>
        </is>
      </c>
      <c r="M115" s="39" t="inlineStr">
        <is>
          <t>/</t>
        </is>
      </c>
      <c r="N115" s="105" t="inlineStr">
        <is>
          <t>/</t>
        </is>
      </c>
      <c r="O115" s="105" t="inlineStr">
        <is>
          <t>/</t>
        </is>
      </c>
      <c r="P115" s="39" t="inlineStr">
        <is>
          <t>/</t>
        </is>
      </c>
      <c r="Q115" s="39" t="inlineStr">
        <is>
          <t>/</t>
        </is>
      </c>
      <c r="R115" s="105" t="inlineStr">
        <is>
          <t>/</t>
        </is>
      </c>
      <c r="S115" s="105" t="inlineStr">
        <is>
          <t>/</t>
        </is>
      </c>
      <c r="T115" s="39" t="inlineStr">
        <is>
          <t>/</t>
        </is>
      </c>
      <c r="U115" s="39" t="inlineStr">
        <is>
          <t>/</t>
        </is>
      </c>
      <c r="V115" s="105" t="inlineStr">
        <is>
          <t>/</t>
        </is>
      </c>
      <c r="W115" s="105" t="inlineStr">
        <is>
          <t>/</t>
        </is>
      </c>
      <c r="X115" s="39" t="inlineStr">
        <is>
          <t>/</t>
        </is>
      </c>
      <c r="Y115" s="39" t="inlineStr">
        <is>
          <t>/</t>
        </is>
      </c>
      <c r="Z115" s="105" t="inlineStr">
        <is>
          <t>/</t>
        </is>
      </c>
      <c r="AA115" s="105" t="inlineStr">
        <is>
          <t>/</t>
        </is>
      </c>
      <c r="AB115" s="71">
        <f>(IF(M115="已完成",1,IF(M115="进行中",0.5,0))*15%+IF(Q115="已完成",1,IF(Q115="进行中",0.5,0))*35%+IF(U115="已完成",1,IF(U115="进行中",0.5,0))*30%+IF(Y115="已完成",1,IF(Y115="进行中",0.5,0))*20%)</f>
        <v/>
      </c>
      <c r="AC115" s="39">
        <f>IF(G115="已完成","正常",IF(OR(G115="暂停",G115="挂起"),"暂停",IF(J115="","日期缺失",IF(J115&lt;'项目驾驶舱'!$B$3,"已延期",IF(J115&lt;='项目驾驶舱'!$B$3+7,"临近到期","正常")))))</f>
        <v/>
      </c>
      <c r="AD115" s="39" t="inlineStr"/>
      <c r="AE115" s="40" t="inlineStr"/>
    </row>
    <row r="116" hidden="1" ht="17" customHeight="1" s="1">
      <c r="A116" s="37" t="inlineStr">
        <is>
          <t>T113</t>
        </is>
      </c>
      <c r="B116" s="39" t="inlineStr">
        <is>
          <t>统计分析</t>
        </is>
      </c>
      <c r="C116" s="39" t="inlineStr">
        <is>
          <t>堆存库存统计（太仓）</t>
        </is>
      </c>
      <c r="D116" s="39" t="inlineStr">
        <is>
          <t>/</t>
        </is>
      </c>
      <c r="E116" s="39" t="inlineStr">
        <is>
          <t>/</t>
        </is>
      </c>
      <c r="F116" s="39" t="inlineStr">
        <is>
          <t>/</t>
        </is>
      </c>
      <c r="G116" s="39">
        <f>IF(OR(M116="挂起",M116="暂停",Q116="挂起",Q116="暂停",U116="挂起",U116="暂停",Y116="挂起",Y116="暂停"),"暂停","暂停")</f>
        <v/>
      </c>
      <c r="H116" s="39">
        <f>IF(L116&lt;&gt;"",L116,IF(P116&lt;&gt;"",P116,IF(T116&lt;&gt;"",T116,X116)))</f>
        <v/>
      </c>
      <c r="I116" s="105">
        <f>IF(COUNT(N116,R116,V116,Z116)=0,"",MIN(N116,R116,V116,Z116))</f>
        <v/>
      </c>
      <c r="J116" s="105">
        <f>IF(ISNUMBER(K116),K116,IF(COUNT(O116,S116,W116,AA116)=0,"",MAX(O116,S116,W116,AA116)))</f>
        <v/>
      </c>
      <c r="K116" s="105" t="n"/>
      <c r="L116" s="39" t="inlineStr">
        <is>
          <t>/</t>
        </is>
      </c>
      <c r="M116" s="39" t="inlineStr">
        <is>
          <t>/</t>
        </is>
      </c>
      <c r="N116" s="105" t="inlineStr">
        <is>
          <t>/</t>
        </is>
      </c>
      <c r="O116" s="105" t="inlineStr">
        <is>
          <t>/</t>
        </is>
      </c>
      <c r="P116" s="39" t="inlineStr">
        <is>
          <t>/</t>
        </is>
      </c>
      <c r="Q116" s="39" t="inlineStr">
        <is>
          <t>/</t>
        </is>
      </c>
      <c r="R116" s="105" t="inlineStr">
        <is>
          <t>/</t>
        </is>
      </c>
      <c r="S116" s="105" t="inlineStr">
        <is>
          <t>/</t>
        </is>
      </c>
      <c r="T116" s="39" t="inlineStr">
        <is>
          <t>/</t>
        </is>
      </c>
      <c r="U116" s="39" t="inlineStr">
        <is>
          <t>/</t>
        </is>
      </c>
      <c r="V116" s="105" t="inlineStr">
        <is>
          <t>/</t>
        </is>
      </c>
      <c r="W116" s="105" t="inlineStr">
        <is>
          <t>/</t>
        </is>
      </c>
      <c r="X116" s="39" t="inlineStr">
        <is>
          <t>/</t>
        </is>
      </c>
      <c r="Y116" s="39" t="inlineStr">
        <is>
          <t>/</t>
        </is>
      </c>
      <c r="Z116" s="105" t="inlineStr">
        <is>
          <t>/</t>
        </is>
      </c>
      <c r="AA116" s="105" t="inlineStr">
        <is>
          <t>/</t>
        </is>
      </c>
      <c r="AB116" s="71">
        <f>(IF(M116="已完成",1,IF(M116="进行中",0.5,0))*15%+IF(Q116="已完成",1,IF(Q116="进行中",0.5,0))*35%+IF(U116="已完成",1,IF(U116="进行中",0.5,0))*30%+IF(Y116="已完成",1,IF(Y116="进行中",0.5,0))*20%)</f>
        <v/>
      </c>
      <c r="AC116" s="39">
        <f>IF(G116="已完成","正常",IF(OR(G116="暂停",G116="挂起"),"暂停",IF(J116="","日期缺失",IF(J116&lt;'项目驾驶舱'!$B$3,"已延期",IF(J116&lt;='项目驾驶舱'!$B$3+7,"临近到期","正常")))))</f>
        <v/>
      </c>
      <c r="AD116" s="39" t="inlineStr"/>
      <c r="AE116" s="40" t="inlineStr"/>
    </row>
    <row r="117" hidden="1" ht="17" customHeight="1" s="1">
      <c r="A117" s="37" t="inlineStr">
        <is>
          <t>T114</t>
        </is>
      </c>
      <c r="B117" s="39" t="inlineStr">
        <is>
          <t>统计分析</t>
        </is>
      </c>
      <c r="C117" s="39" t="inlineStr">
        <is>
          <t>分货主实时统计表（太仓）</t>
        </is>
      </c>
      <c r="D117" s="39" t="inlineStr">
        <is>
          <t>/</t>
        </is>
      </c>
      <c r="E117" s="39" t="inlineStr">
        <is>
          <t>/</t>
        </is>
      </c>
      <c r="F117" s="39" t="inlineStr">
        <is>
          <t>/</t>
        </is>
      </c>
      <c r="G117" s="39">
        <f>IF(OR(M117="挂起",M117="暂停",Q117="挂起",Q117="暂停",U117="挂起",U117="暂停",Y117="挂起",Y117="暂停"),"暂停","暂停")</f>
        <v/>
      </c>
      <c r="H117" s="39">
        <f>IF(L117&lt;&gt;"",L117,IF(P117&lt;&gt;"",P117,IF(T117&lt;&gt;"",T117,X117)))</f>
        <v/>
      </c>
      <c r="I117" s="105">
        <f>IF(COUNT(N117,R117,V117,Z117)=0,"",MIN(N117,R117,V117,Z117))</f>
        <v/>
      </c>
      <c r="J117" s="105">
        <f>IF(ISNUMBER(K117),K117,IF(COUNT(O117,S117,W117,AA117)=0,"",MAX(O117,S117,W117,AA117)))</f>
        <v/>
      </c>
      <c r="K117" s="105" t="n"/>
      <c r="L117" s="39" t="inlineStr">
        <is>
          <t>/</t>
        </is>
      </c>
      <c r="M117" s="39" t="inlineStr">
        <is>
          <t>/</t>
        </is>
      </c>
      <c r="N117" s="105" t="inlineStr">
        <is>
          <t>/</t>
        </is>
      </c>
      <c r="O117" s="105" t="inlineStr">
        <is>
          <t>/</t>
        </is>
      </c>
      <c r="P117" s="39" t="inlineStr">
        <is>
          <t>/</t>
        </is>
      </c>
      <c r="Q117" s="39" t="inlineStr">
        <is>
          <t>/</t>
        </is>
      </c>
      <c r="R117" s="105" t="inlineStr">
        <is>
          <t>/</t>
        </is>
      </c>
      <c r="S117" s="105" t="inlineStr">
        <is>
          <t>/</t>
        </is>
      </c>
      <c r="T117" s="39" t="inlineStr">
        <is>
          <t>/</t>
        </is>
      </c>
      <c r="U117" s="39" t="inlineStr">
        <is>
          <t>/</t>
        </is>
      </c>
      <c r="V117" s="105" t="inlineStr">
        <is>
          <t>/</t>
        </is>
      </c>
      <c r="W117" s="105" t="inlineStr">
        <is>
          <t>/</t>
        </is>
      </c>
      <c r="X117" s="39" t="inlineStr">
        <is>
          <t>/</t>
        </is>
      </c>
      <c r="Y117" s="39" t="inlineStr">
        <is>
          <t>/</t>
        </is>
      </c>
      <c r="Z117" s="105" t="inlineStr">
        <is>
          <t>/</t>
        </is>
      </c>
      <c r="AA117" s="105" t="inlineStr">
        <is>
          <t>/</t>
        </is>
      </c>
      <c r="AB117" s="71">
        <f>(IF(M117="已完成",1,IF(M117="进行中",0.5,0))*15%+IF(Q117="已完成",1,IF(Q117="进行中",0.5,0))*35%+IF(U117="已完成",1,IF(U117="进行中",0.5,0))*30%+IF(Y117="已完成",1,IF(Y117="进行中",0.5,0))*20%)</f>
        <v/>
      </c>
      <c r="AC117" s="39">
        <f>IF(G117="已完成","正常",IF(OR(G117="暂停",G117="挂起"),"暂停",IF(J117="","日期缺失",IF(J117&lt;'项目驾驶舱'!$B$3,"已延期",IF(J117&lt;='项目驾驶舱'!$B$3+7,"临近到期","正常")))))</f>
        <v/>
      </c>
      <c r="AD117" s="39" t="inlineStr"/>
      <c r="AE117" s="40" t="inlineStr"/>
    </row>
    <row r="118" hidden="1" ht="17" customHeight="1" s="1">
      <c r="A118" s="37" t="inlineStr">
        <is>
          <t>T115</t>
        </is>
      </c>
      <c r="B118" s="39" t="inlineStr">
        <is>
          <t>统计分析</t>
        </is>
      </c>
      <c r="C118" s="39" t="inlineStr">
        <is>
          <t>综合卸船效率分析（太仓）</t>
        </is>
      </c>
      <c r="D118" s="39" t="inlineStr">
        <is>
          <t>/</t>
        </is>
      </c>
      <c r="E118" s="39" t="inlineStr">
        <is>
          <t>/</t>
        </is>
      </c>
      <c r="F118" s="39" t="inlineStr">
        <is>
          <t>/</t>
        </is>
      </c>
      <c r="G118" s="39">
        <f>IF(OR(M118="挂起",M118="暂停",Q118="挂起",Q118="暂停",U118="挂起",U118="暂停",Y118="挂起",Y118="暂停"),"暂停","暂停")</f>
        <v/>
      </c>
      <c r="H118" s="39">
        <f>IF(L118&lt;&gt;"",L118,IF(P118&lt;&gt;"",P118,IF(T118&lt;&gt;"",T118,X118)))</f>
        <v/>
      </c>
      <c r="I118" s="105">
        <f>IF(COUNT(N118,R118,V118,Z118)=0,"",MIN(N118,R118,V118,Z118))</f>
        <v/>
      </c>
      <c r="J118" s="105">
        <f>IF(ISNUMBER(K118),K118,IF(COUNT(O118,S118,W118,AA118)=0,"",MAX(O118,S118,W118,AA118)))</f>
        <v/>
      </c>
      <c r="K118" s="105" t="n"/>
      <c r="L118" s="39" t="inlineStr">
        <is>
          <t>/</t>
        </is>
      </c>
      <c r="M118" s="39" t="inlineStr">
        <is>
          <t>/</t>
        </is>
      </c>
      <c r="N118" s="105" t="inlineStr">
        <is>
          <t>/</t>
        </is>
      </c>
      <c r="O118" s="105" t="inlineStr">
        <is>
          <t>/</t>
        </is>
      </c>
      <c r="P118" s="39" t="inlineStr">
        <is>
          <t>/</t>
        </is>
      </c>
      <c r="Q118" s="39" t="inlineStr">
        <is>
          <t>/</t>
        </is>
      </c>
      <c r="R118" s="105" t="inlineStr">
        <is>
          <t>/</t>
        </is>
      </c>
      <c r="S118" s="105" t="inlineStr">
        <is>
          <t>/</t>
        </is>
      </c>
      <c r="T118" s="39" t="inlineStr">
        <is>
          <t>/</t>
        </is>
      </c>
      <c r="U118" s="39" t="inlineStr">
        <is>
          <t>/</t>
        </is>
      </c>
      <c r="V118" s="105" t="inlineStr">
        <is>
          <t>/</t>
        </is>
      </c>
      <c r="W118" s="105" t="inlineStr">
        <is>
          <t>/</t>
        </is>
      </c>
      <c r="X118" s="39" t="inlineStr">
        <is>
          <t>/</t>
        </is>
      </c>
      <c r="Y118" s="39" t="inlineStr">
        <is>
          <t>/</t>
        </is>
      </c>
      <c r="Z118" s="105" t="inlineStr">
        <is>
          <t>/</t>
        </is>
      </c>
      <c r="AA118" s="105" t="inlineStr">
        <is>
          <t>/</t>
        </is>
      </c>
      <c r="AB118" s="71">
        <f>(IF(M118="已完成",1,IF(M118="进行中",0.5,0))*15%+IF(Q118="已完成",1,IF(Q118="进行中",0.5,0))*35%+IF(U118="已完成",1,IF(U118="进行中",0.5,0))*30%+IF(Y118="已完成",1,IF(Y118="进行中",0.5,0))*20%)</f>
        <v/>
      </c>
      <c r="AC118" s="39">
        <f>IF(G118="已完成","正常",IF(OR(G118="暂停",G118="挂起"),"暂停",IF(J118="","日期缺失",IF(J118&lt;'项目驾驶舱'!$B$3,"已延期",IF(J118&lt;='项目驾驶舱'!$B$3+7,"临近到期","正常")))))</f>
        <v/>
      </c>
      <c r="AD118" s="39" t="inlineStr"/>
      <c r="AE118" s="40" t="inlineStr"/>
    </row>
    <row r="119" hidden="1" ht="17" customHeight="1" s="1">
      <c r="A119" s="37" t="inlineStr">
        <is>
          <t>T116</t>
        </is>
      </c>
      <c r="B119" s="39" t="inlineStr">
        <is>
          <t>统计分析</t>
        </is>
      </c>
      <c r="C119" s="39" t="inlineStr">
        <is>
          <t>堆垛雨布苫盖情况表（太仓）</t>
        </is>
      </c>
      <c r="D119" s="39" t="inlineStr">
        <is>
          <t>/</t>
        </is>
      </c>
      <c r="E119" s="39" t="inlineStr">
        <is>
          <t>/</t>
        </is>
      </c>
      <c r="F119" s="39" t="inlineStr">
        <is>
          <t>/</t>
        </is>
      </c>
      <c r="G119" s="39">
        <f>IF(OR(M119="挂起",M119="暂停",Q119="挂起",Q119="暂停",U119="挂起",U119="暂停",Y119="挂起",Y119="暂停"),"暂停","暂停")</f>
        <v/>
      </c>
      <c r="H119" s="39">
        <f>IF(L119&lt;&gt;"",L119,IF(P119&lt;&gt;"",P119,IF(T119&lt;&gt;"",T119,X119)))</f>
        <v/>
      </c>
      <c r="I119" s="105">
        <f>IF(COUNT(N119,R119,V119,Z119)=0,"",MIN(N119,R119,V119,Z119))</f>
        <v/>
      </c>
      <c r="J119" s="105">
        <f>IF(ISNUMBER(K119),K119,IF(COUNT(O119,S119,W119,AA119)=0,"",MAX(O119,S119,W119,AA119)))</f>
        <v/>
      </c>
      <c r="K119" s="105" t="n"/>
      <c r="L119" s="39" t="inlineStr">
        <is>
          <t>/</t>
        </is>
      </c>
      <c r="M119" s="39" t="inlineStr">
        <is>
          <t>/</t>
        </is>
      </c>
      <c r="N119" s="105" t="inlineStr">
        <is>
          <t>/</t>
        </is>
      </c>
      <c r="O119" s="105" t="inlineStr">
        <is>
          <t>/</t>
        </is>
      </c>
      <c r="P119" s="39" t="inlineStr">
        <is>
          <t>/</t>
        </is>
      </c>
      <c r="Q119" s="39" t="inlineStr">
        <is>
          <t>/</t>
        </is>
      </c>
      <c r="R119" s="105" t="inlineStr">
        <is>
          <t>/</t>
        </is>
      </c>
      <c r="S119" s="105" t="inlineStr">
        <is>
          <t>/</t>
        </is>
      </c>
      <c r="T119" s="39" t="inlineStr">
        <is>
          <t>/</t>
        </is>
      </c>
      <c r="U119" s="39" t="inlineStr">
        <is>
          <t>/</t>
        </is>
      </c>
      <c r="V119" s="105" t="inlineStr">
        <is>
          <t>/</t>
        </is>
      </c>
      <c r="W119" s="105" t="inlineStr">
        <is>
          <t>/</t>
        </is>
      </c>
      <c r="X119" s="39" t="inlineStr">
        <is>
          <t>/</t>
        </is>
      </c>
      <c r="Y119" s="39" t="inlineStr">
        <is>
          <t>/</t>
        </is>
      </c>
      <c r="Z119" s="105" t="inlineStr">
        <is>
          <t>/</t>
        </is>
      </c>
      <c r="AA119" s="105" t="inlineStr">
        <is>
          <t>/</t>
        </is>
      </c>
      <c r="AB119" s="71">
        <f>(IF(M119="已完成",1,IF(M119="进行中",0.5,0))*15%+IF(Q119="已完成",1,IF(Q119="进行中",0.5,0))*35%+IF(U119="已完成",1,IF(U119="进行中",0.5,0))*30%+IF(Y119="已完成",1,IF(Y119="进行中",0.5,0))*20%)</f>
        <v/>
      </c>
      <c r="AC119" s="39">
        <f>IF(G119="已完成","正常",IF(OR(G119="暂停",G119="挂起"),"暂停",IF(J119="","日期缺失",IF(J119&lt;'项目驾驶舱'!$B$3,"已延期",IF(J119&lt;='项目驾驶舱'!$B$3+7,"临近到期","正常")))))</f>
        <v/>
      </c>
      <c r="AD119" s="39" t="inlineStr"/>
      <c r="AE119" s="40" t="inlineStr"/>
    </row>
    <row r="120" hidden="1" ht="17" customHeight="1" s="1">
      <c r="A120" s="37" t="inlineStr">
        <is>
          <t>T117</t>
        </is>
      </c>
      <c r="B120" s="39" t="inlineStr">
        <is>
          <t>自动报告</t>
        </is>
      </c>
      <c r="C120" s="39" t="inlineStr">
        <is>
          <t>经营任务情况分析报告</t>
        </is>
      </c>
      <c r="D120" s="39" t="inlineStr">
        <is>
          <t>/</t>
        </is>
      </c>
      <c r="E120" s="39" t="inlineStr">
        <is>
          <t>/</t>
        </is>
      </c>
      <c r="F120" s="39" t="inlineStr">
        <is>
          <t>第一批次</t>
        </is>
      </c>
      <c r="G120" s="39">
        <f>IF(OR(M120="挂起",M120="暂停",Q120="挂起",Q120="暂停",U120="挂起",U120="暂停",Y120="挂起",Y120="暂停"),"暂停","已完成")</f>
        <v/>
      </c>
      <c r="H120" s="39">
        <f>IF(L120&lt;&gt;"",L120,IF(P120&lt;&gt;"",P120,IF(T120&lt;&gt;"",T120,X120)))</f>
        <v/>
      </c>
      <c r="I120" s="105">
        <f>IF(COUNT(N120,R120,V120,Z120)=0,"",MIN(N120,R120,V120,Z120))</f>
        <v/>
      </c>
      <c r="J120" s="105">
        <f>IF(ISNUMBER(K120),K120,IF(COUNT(O120,S120,W120,AA120)=0,"",MAX(O120,S120,W120,AA120)))</f>
        <v/>
      </c>
      <c r="K120" s="105" t="inlineStr">
        <is>
          <t>/</t>
        </is>
      </c>
      <c r="L120" s="39" t="inlineStr">
        <is>
          <t>郑士旺</t>
        </is>
      </c>
      <c r="M120" s="39" t="inlineStr">
        <is>
          <t>已完成</t>
        </is>
      </c>
      <c r="N120" s="105" t="inlineStr">
        <is>
          <t>/</t>
        </is>
      </c>
      <c r="O120" s="105" t="inlineStr">
        <is>
          <t>/</t>
        </is>
      </c>
      <c r="P120" s="39" t="inlineStr">
        <is>
          <t>石军磊、刘凯</t>
        </is>
      </c>
      <c r="Q120" s="39" t="inlineStr">
        <is>
          <t>已完成</t>
        </is>
      </c>
      <c r="R120" s="105" t="n">
        <v>46230</v>
      </c>
      <c r="S120" s="105" t="n">
        <v>46262</v>
      </c>
      <c r="T120" s="39" t="inlineStr">
        <is>
          <t>贺航</t>
        </is>
      </c>
      <c r="U120" s="39" t="inlineStr">
        <is>
          <t>已完成</t>
        </is>
      </c>
      <c r="V120" s="105" t="n">
        <v>46230</v>
      </c>
      <c r="W120" s="105" t="n">
        <v>46262</v>
      </c>
      <c r="X120" s="39" t="inlineStr">
        <is>
          <t>袁丽荣</t>
        </is>
      </c>
      <c r="Y120" s="39" t="inlineStr">
        <is>
          <t>已完成</t>
        </is>
      </c>
      <c r="Z120" s="105" t="n">
        <v>46253</v>
      </c>
      <c r="AA120" s="105" t="n">
        <v>46269</v>
      </c>
      <c r="AB120" s="71">
        <f>(IF(M120="已完成",1,IF(M120="进行中",0.5,0))*15%+IF(Q120="已完成",1,IF(Q120="进行中",0.5,0))*35%+IF(U120="已完成",1,IF(U120="进行中",0.5,0))*30%+IF(Y120="已完成",1,IF(Y120="进行中",0.5,0))*20%)</f>
        <v/>
      </c>
      <c r="AC120" s="39">
        <f>IF(G120="已完成","正常",IF(OR(G120="暂停",G120="挂起"),"暂停",IF(J120="","日期缺失",IF(J120&lt;'项目驾驶舱'!$B$3,"已延期",IF(J120&lt;='项目驾驶舱'!$B$3+7,"临近到期","正常")))))</f>
        <v/>
      </c>
      <c r="AD120" s="39" t="inlineStr"/>
      <c r="AE120" s="40" t="inlineStr"/>
    </row>
    <row r="121" hidden="1" ht="17" customHeight="1" s="1">
      <c r="A121" s="37" t="inlineStr">
        <is>
          <t>T118</t>
        </is>
      </c>
      <c r="B121" s="39" t="inlineStr">
        <is>
          <t>自动报告</t>
        </is>
      </c>
      <c r="C121" s="39" t="inlineStr">
        <is>
          <t>客户月报报告</t>
        </is>
      </c>
      <c r="D121" s="39" t="inlineStr">
        <is>
          <t>/</t>
        </is>
      </c>
      <c r="E121" s="39" t="inlineStr">
        <is>
          <t>/</t>
        </is>
      </c>
      <c r="F121" s="39" t="inlineStr">
        <is>
          <t>第一批次</t>
        </is>
      </c>
      <c r="G121" s="39">
        <f>IF(OR(M121="挂起",M121="暂停",Q121="挂起",Q121="暂停",U121="挂起",U121="暂停",Y121="挂起",Y121="暂停"),"暂停","已完成")</f>
        <v/>
      </c>
      <c r="H121" s="39">
        <f>IF(L121&lt;&gt;"",L121,IF(P121&lt;&gt;"",P121,IF(T121&lt;&gt;"",T121,X121)))</f>
        <v/>
      </c>
      <c r="I121" s="105">
        <f>IF(COUNT(N121,R121,V121,Z121)=0,"",MIN(N121,R121,V121,Z121))</f>
        <v/>
      </c>
      <c r="J121" s="105">
        <f>IF(ISNUMBER(K121),K121,IF(COUNT(O121,S121,W121,AA121)=0,"",MAX(O121,S121,W121,AA121)))</f>
        <v/>
      </c>
      <c r="K121" s="105" t="inlineStr">
        <is>
          <t>/</t>
        </is>
      </c>
      <c r="L121" s="39" t="inlineStr">
        <is>
          <t>郑士旺</t>
        </is>
      </c>
      <c r="M121" s="39" t="inlineStr">
        <is>
          <t>已完成</t>
        </is>
      </c>
      <c r="N121" s="105" t="inlineStr">
        <is>
          <t>/</t>
        </is>
      </c>
      <c r="O121" s="105" t="inlineStr">
        <is>
          <t>/</t>
        </is>
      </c>
      <c r="P121" s="39" t="inlineStr">
        <is>
          <t>石军磊、刘凯</t>
        </is>
      </c>
      <c r="Q121" s="39" t="inlineStr">
        <is>
          <t>已完成</t>
        </is>
      </c>
      <c r="R121" s="105" t="n">
        <v>46230</v>
      </c>
      <c r="S121" s="105" t="n">
        <v>46262</v>
      </c>
      <c r="T121" s="39" t="inlineStr">
        <is>
          <t>贺航</t>
        </is>
      </c>
      <c r="U121" s="39" t="inlineStr">
        <is>
          <t>已完成</t>
        </is>
      </c>
      <c r="V121" s="105" t="n">
        <v>46230</v>
      </c>
      <c r="W121" s="105" t="n">
        <v>46262</v>
      </c>
      <c r="X121" s="39" t="inlineStr">
        <is>
          <t>袁丽荣</t>
        </is>
      </c>
      <c r="Y121" s="39" t="inlineStr">
        <is>
          <t>已完成</t>
        </is>
      </c>
      <c r="Z121" s="105" t="n">
        <v>46253</v>
      </c>
      <c r="AA121" s="105" t="n">
        <v>46269</v>
      </c>
      <c r="AB121" s="71">
        <f>(IF(M121="已完成",1,IF(M121="进行中",0.5,0))*15%+IF(Q121="已完成",1,IF(Q121="进行中",0.5,0))*35%+IF(U121="已完成",1,IF(U121="进行中",0.5,0))*30%+IF(Y121="已完成",1,IF(Y121="进行中",0.5,0))*20%)</f>
        <v/>
      </c>
      <c r="AC121" s="39">
        <f>IF(G121="已完成","正常",IF(OR(G121="暂停",G121="挂起"),"暂停",IF(J121="","日期缺失",IF(J121&lt;'项目驾驶舱'!$B$3,"已延期",IF(J121&lt;='项目驾驶舱'!$B$3+7,"临近到期","正常")))))</f>
        <v/>
      </c>
      <c r="AD121" s="39" t="inlineStr"/>
      <c r="AE121" s="40" t="inlineStr"/>
    </row>
    <row r="122" hidden="1" ht="17" customHeight="1" s="1">
      <c r="A122" s="37" t="inlineStr">
        <is>
          <t>T119</t>
        </is>
      </c>
      <c r="B122" s="39" t="inlineStr">
        <is>
          <t>自动报告</t>
        </is>
      </c>
      <c r="C122" s="39" t="inlineStr">
        <is>
          <t>月度客户情况报告</t>
        </is>
      </c>
      <c r="D122" s="39" t="inlineStr">
        <is>
          <t>/</t>
        </is>
      </c>
      <c r="E122" s="39" t="inlineStr">
        <is>
          <t>/</t>
        </is>
      </c>
      <c r="F122" s="39" t="inlineStr">
        <is>
          <t>第一批次</t>
        </is>
      </c>
      <c r="G122" s="39">
        <f>IF(OR(M122="挂起",M122="暂停",Q122="挂起",Q122="暂停",U122="挂起",U122="暂停",Y122="挂起",Y122="暂停"),"暂停","已完成")</f>
        <v/>
      </c>
      <c r="H122" s="39">
        <f>IF(L122&lt;&gt;"",L122,IF(P122&lt;&gt;"",P122,IF(T122&lt;&gt;"",T122,X122)))</f>
        <v/>
      </c>
      <c r="I122" s="105">
        <f>IF(COUNT(N122,R122,V122,Z122)=0,"",MIN(N122,R122,V122,Z122))</f>
        <v/>
      </c>
      <c r="J122" s="105">
        <f>IF(ISNUMBER(K122),K122,IF(COUNT(O122,S122,W122,AA122)=0,"",MAX(O122,S122,W122,AA122)))</f>
        <v/>
      </c>
      <c r="K122" s="105" t="inlineStr">
        <is>
          <t>/</t>
        </is>
      </c>
      <c r="L122" s="39" t="inlineStr">
        <is>
          <t>郑士旺</t>
        </is>
      </c>
      <c r="M122" s="39" t="inlineStr">
        <is>
          <t>已完成</t>
        </is>
      </c>
      <c r="N122" s="105" t="inlineStr">
        <is>
          <t>/</t>
        </is>
      </c>
      <c r="O122" s="105" t="inlineStr">
        <is>
          <t>/</t>
        </is>
      </c>
      <c r="P122" s="39" t="inlineStr">
        <is>
          <t>石军磊、刘凯</t>
        </is>
      </c>
      <c r="Q122" s="39" t="inlineStr">
        <is>
          <t>已完成</t>
        </is>
      </c>
      <c r="R122" s="105" t="n">
        <v>46230</v>
      </c>
      <c r="S122" s="105" t="n">
        <v>46262</v>
      </c>
      <c r="T122" s="39" t="inlineStr">
        <is>
          <t>贺航</t>
        </is>
      </c>
      <c r="U122" s="39" t="inlineStr">
        <is>
          <t>已完成</t>
        </is>
      </c>
      <c r="V122" s="105" t="n">
        <v>46230</v>
      </c>
      <c r="W122" s="105" t="n">
        <v>46262</v>
      </c>
      <c r="X122" s="39" t="inlineStr">
        <is>
          <t>袁丽荣</t>
        </is>
      </c>
      <c r="Y122" s="39" t="inlineStr">
        <is>
          <t>已完成</t>
        </is>
      </c>
      <c r="Z122" s="105" t="n">
        <v>46253</v>
      </c>
      <c r="AA122" s="105" t="n">
        <v>46269</v>
      </c>
      <c r="AB122" s="71">
        <f>(IF(M122="已完成",1,IF(M122="进行中",0.5,0))*15%+IF(Q122="已完成",1,IF(Q122="进行中",0.5,0))*35%+IF(U122="已完成",1,IF(U122="进行中",0.5,0))*30%+IF(Y122="已完成",1,IF(Y122="进行中",0.5,0))*20%)</f>
        <v/>
      </c>
      <c r="AC122" s="39">
        <f>IF(G122="已完成","正常",IF(OR(G122="暂停",G122="挂起"),"暂停",IF(J122="","日期缺失",IF(J122&lt;'项目驾驶舱'!$B$3,"已延期",IF(J122&lt;='项目驾驶舱'!$B$3+7,"临近到期","正常")))))</f>
        <v/>
      </c>
      <c r="AD122" s="39" t="inlineStr"/>
      <c r="AE122" s="40" t="inlineStr"/>
    </row>
    <row r="123" hidden="1" ht="17" customHeight="1" s="1">
      <c r="A123" s="37" t="inlineStr">
        <is>
          <t>T120</t>
        </is>
      </c>
      <c r="B123" s="39" t="inlineStr">
        <is>
          <t>自动报告</t>
        </is>
      </c>
      <c r="C123" s="39" t="inlineStr">
        <is>
          <t>商务计划周报</t>
        </is>
      </c>
      <c r="D123" s="39" t="inlineStr">
        <is>
          <t>/</t>
        </is>
      </c>
      <c r="E123" s="39" t="inlineStr">
        <is>
          <t>/</t>
        </is>
      </c>
      <c r="F123" s="39" t="inlineStr">
        <is>
          <t>第一批次</t>
        </is>
      </c>
      <c r="G123" s="39">
        <f>IF(OR(M123="挂起",M123="暂停",Q123="挂起",Q123="暂停",U123="挂起",U123="暂停",Y123="挂起",Y123="暂停"),"暂停","已完成")</f>
        <v/>
      </c>
      <c r="H123" s="39">
        <f>IF(L123&lt;&gt;"",L123,IF(P123&lt;&gt;"",P123,IF(T123&lt;&gt;"",T123,X123)))</f>
        <v/>
      </c>
      <c r="I123" s="105">
        <f>IF(COUNT(N123,R123,V123,Z123)=0,"",MIN(N123,R123,V123,Z123))</f>
        <v/>
      </c>
      <c r="J123" s="105">
        <f>IF(ISNUMBER(K123),K123,IF(COUNT(O123,S123,W123,AA123)=0,"",MAX(O123,S123,W123,AA123)))</f>
        <v/>
      </c>
      <c r="K123" s="105" t="inlineStr">
        <is>
          <t>/</t>
        </is>
      </c>
      <c r="L123" s="39" t="inlineStr">
        <is>
          <t>郑士旺</t>
        </is>
      </c>
      <c r="M123" s="39" t="inlineStr">
        <is>
          <t>已完成</t>
        </is>
      </c>
      <c r="N123" s="105" t="inlineStr">
        <is>
          <t>/</t>
        </is>
      </c>
      <c r="O123" s="105" t="inlineStr">
        <is>
          <t>/</t>
        </is>
      </c>
      <c r="P123" s="39" t="inlineStr">
        <is>
          <t>石军磊、刘凯</t>
        </is>
      </c>
      <c r="Q123" s="39" t="inlineStr">
        <is>
          <t>已完成</t>
        </is>
      </c>
      <c r="R123" s="105" t="n">
        <v>46230</v>
      </c>
      <c r="S123" s="105" t="n">
        <v>46262</v>
      </c>
      <c r="T123" s="39" t="inlineStr">
        <is>
          <t>贺航</t>
        </is>
      </c>
      <c r="U123" s="39" t="inlineStr">
        <is>
          <t>已完成</t>
        </is>
      </c>
      <c r="V123" s="105" t="n">
        <v>46230</v>
      </c>
      <c r="W123" s="105" t="n">
        <v>46262</v>
      </c>
      <c r="X123" s="39" t="inlineStr">
        <is>
          <t>袁丽荣</t>
        </is>
      </c>
      <c r="Y123" s="39" t="inlineStr">
        <is>
          <t>已完成</t>
        </is>
      </c>
      <c r="Z123" s="105" t="n">
        <v>46253</v>
      </c>
      <c r="AA123" s="105" t="n">
        <v>46269</v>
      </c>
      <c r="AB123" s="71">
        <f>(IF(M123="已完成",1,IF(M123="进行中",0.5,0))*15%+IF(Q123="已完成",1,IF(Q123="进行中",0.5,0))*35%+IF(U123="已完成",1,IF(U123="进行中",0.5,0))*30%+IF(Y123="已完成",1,IF(Y123="进行中",0.5,0))*20%)</f>
        <v/>
      </c>
      <c r="AC123" s="39">
        <f>IF(G123="已完成","正常",IF(OR(G123="暂停",G123="挂起"),"暂停",IF(J123="","日期缺失",IF(J123&lt;'项目驾驶舱'!$B$3,"已延期",IF(J123&lt;='项目驾驶舱'!$B$3+7,"临近到期","正常")))))</f>
        <v/>
      </c>
      <c r="AD123" s="39" t="inlineStr"/>
      <c r="AE123" s="40" t="inlineStr"/>
    </row>
    <row r="124" hidden="1" ht="17" customHeight="1" s="1">
      <c r="A124" s="37" t="inlineStr">
        <is>
          <t>T121</t>
        </is>
      </c>
      <c r="B124" s="39" t="inlineStr">
        <is>
          <t>移动端</t>
        </is>
      </c>
      <c r="C124" s="39" t="inlineStr">
        <is>
          <t>APP</t>
        </is>
      </c>
      <c r="D124" s="39" t="inlineStr">
        <is>
          <t>船舶供应服务查询</t>
        </is>
      </c>
      <c r="E124" s="39" t="inlineStr">
        <is>
          <t>/</t>
        </is>
      </c>
      <c r="F124" s="39" t="inlineStr">
        <is>
          <t>第二批次</t>
        </is>
      </c>
      <c r="G124" s="39">
        <f>IF(OR(M124="挂起",M124="暂停",Q124="挂起",Q124="暂停",U124="挂起",U124="暂停",Y124="挂起",Y124="暂停"),"暂停","已完成")</f>
        <v/>
      </c>
      <c r="H124" s="39">
        <f>IF(L124&lt;&gt;"",L124,IF(P124&lt;&gt;"",P124,IF(T124&lt;&gt;"",T124,X124)))</f>
        <v/>
      </c>
      <c r="I124" s="105">
        <f>IF(COUNT(N124,R124,V124,Z124)=0,"",MIN(N124,R124,V124,Z124))</f>
        <v/>
      </c>
      <c r="J124" s="105">
        <f>IF(ISNUMBER(K124),K124,IF(COUNT(O124,S124,W124,AA124)=0,"",MAX(O124,S124,W124,AA124)))</f>
        <v/>
      </c>
      <c r="K124" s="105" t="n">
        <v>46261</v>
      </c>
      <c r="L124" s="39" t="inlineStr">
        <is>
          <t>郑士旺</t>
        </is>
      </c>
      <c r="M124" s="39" t="inlineStr">
        <is>
          <t>已完成</t>
        </is>
      </c>
      <c r="N124" s="105" t="n">
        <v>46216</v>
      </c>
      <c r="O124" s="105" t="n">
        <v>46220</v>
      </c>
      <c r="P124" s="39" t="inlineStr">
        <is>
          <t>石军磊、刘凯</t>
        </is>
      </c>
      <c r="Q124" s="39" t="inlineStr">
        <is>
          <t>已完成</t>
        </is>
      </c>
      <c r="R124" s="105" t="n">
        <v>46265</v>
      </c>
      <c r="S124" s="105" t="n">
        <v>46269</v>
      </c>
      <c r="T124" s="39" t="inlineStr">
        <is>
          <t>贺航</t>
        </is>
      </c>
      <c r="U124" s="39" t="inlineStr">
        <is>
          <t>已完成</t>
        </is>
      </c>
      <c r="V124" s="105" t="n">
        <v>46265</v>
      </c>
      <c r="W124" s="105" t="n">
        <v>46269</v>
      </c>
      <c r="X124" s="39" t="inlineStr">
        <is>
          <t>袁丽荣</t>
        </is>
      </c>
      <c r="Y124" s="39" t="inlineStr">
        <is>
          <t>已完成</t>
        </is>
      </c>
      <c r="Z124" s="105" t="n">
        <v>46272</v>
      </c>
      <c r="AA124" s="105" t="n">
        <v>46276</v>
      </c>
      <c r="AB124" s="71">
        <f>(IF(M124="已完成",1,IF(M124="进行中",0.5,0))*15%+IF(Q124="已完成",1,IF(Q124="进行中",0.5,0))*35%+IF(U124="已完成",1,IF(U124="进行中",0.5,0))*30%+IF(Y124="已完成",1,IF(Y124="进行中",0.5,0))*20%)</f>
        <v/>
      </c>
      <c r="AC124" s="39">
        <f>IF(G124="已完成","正常",IF(OR(G124="暂停",G124="挂起"),"暂停",IF(J124="","日期缺失",IF(J124&lt;'项目驾驶舱'!$B$3,"已延期",IF(J124&lt;='项目驾驶舱'!$B$3+7,"临近到期","正常")))))</f>
        <v/>
      </c>
      <c r="AD124" s="39" t="inlineStr"/>
      <c r="AE124" s="40" t="inlineStr"/>
    </row>
    <row r="125" hidden="1" ht="17" customHeight="1" s="1">
      <c r="A125" s="37" t="inlineStr">
        <is>
          <t>T122</t>
        </is>
      </c>
      <c r="B125" s="39" t="inlineStr">
        <is>
          <t>移动端</t>
        </is>
      </c>
      <c r="C125" s="39" t="inlineStr">
        <is>
          <t>APP</t>
        </is>
      </c>
      <c r="D125" s="39" t="inlineStr">
        <is>
          <t>船舶预到（内贸）查询</t>
        </is>
      </c>
      <c r="E125" s="39" t="inlineStr">
        <is>
          <t>/</t>
        </is>
      </c>
      <c r="F125" s="39" t="inlineStr">
        <is>
          <t>第二批次</t>
        </is>
      </c>
      <c r="G125" s="39">
        <f>IF(OR(M125="挂起",M125="暂停",Q125="挂起",Q125="暂停",U125="挂起",U125="暂停",Y125="挂起",Y125="暂停"),"暂停","已完成")</f>
        <v/>
      </c>
      <c r="H125" s="39">
        <f>IF(L125&lt;&gt;"",L125,IF(P125&lt;&gt;"",P125,IF(T125&lt;&gt;"",T125,X125)))</f>
        <v/>
      </c>
      <c r="I125" s="105">
        <f>IF(COUNT(N125,R125,V125,Z125)=0,"",MIN(N125,R125,V125,Z125))</f>
        <v/>
      </c>
      <c r="J125" s="105">
        <f>IF(ISNUMBER(K125),K125,IF(COUNT(O125,S125,W125,AA125)=0,"",MAX(O125,S125,W125,AA125)))</f>
        <v/>
      </c>
      <c r="K125" s="105" t="n">
        <v>46261</v>
      </c>
      <c r="L125" s="39" t="inlineStr">
        <is>
          <t>郑士旺</t>
        </is>
      </c>
      <c r="M125" s="39" t="inlineStr">
        <is>
          <t>已完成</t>
        </is>
      </c>
      <c r="N125" s="105" t="n">
        <v>46216</v>
      </c>
      <c r="O125" s="105" t="n">
        <v>46220</v>
      </c>
      <c r="P125" s="39" t="inlineStr">
        <is>
          <t>石军磊、刘凯</t>
        </is>
      </c>
      <c r="Q125" s="39" t="inlineStr">
        <is>
          <t>已完成</t>
        </is>
      </c>
      <c r="R125" s="105" t="n">
        <v>46265</v>
      </c>
      <c r="S125" s="105" t="n">
        <v>46269</v>
      </c>
      <c r="T125" s="39" t="inlineStr">
        <is>
          <t>贺航</t>
        </is>
      </c>
      <c r="U125" s="39" t="inlineStr">
        <is>
          <t>已完成</t>
        </is>
      </c>
      <c r="V125" s="105" t="n">
        <v>46265</v>
      </c>
      <c r="W125" s="105" t="n">
        <v>46269</v>
      </c>
      <c r="X125" s="39" t="inlineStr">
        <is>
          <t>袁丽荣</t>
        </is>
      </c>
      <c r="Y125" s="39" t="inlineStr">
        <is>
          <t>已完成</t>
        </is>
      </c>
      <c r="Z125" s="105" t="n">
        <v>46272</v>
      </c>
      <c r="AA125" s="105" t="n">
        <v>46276</v>
      </c>
      <c r="AB125" s="71">
        <f>(IF(M125="已完成",1,IF(M125="进行中",0.5,0))*15%+IF(Q125="已完成",1,IF(Q125="进行中",0.5,0))*35%+IF(U125="已完成",1,IF(U125="进行中",0.5,0))*30%+IF(Y125="已完成",1,IF(Y125="进行中",0.5,0))*20%)</f>
        <v/>
      </c>
      <c r="AC125" s="39">
        <f>IF(G125="已完成","正常",IF(OR(G125="暂停",G125="挂起"),"暂停",IF(J125="","日期缺失",IF(J125&lt;'项目驾驶舱'!$B$3,"已延期",IF(J125&lt;='项目驾驶舱'!$B$3+7,"临近到期","正常")))))</f>
        <v/>
      </c>
      <c r="AD125" s="39" t="inlineStr"/>
      <c r="AE125" s="40" t="inlineStr"/>
    </row>
    <row r="126" hidden="1" ht="17" customHeight="1" s="1">
      <c r="A126" s="37" t="inlineStr">
        <is>
          <t>T123</t>
        </is>
      </c>
      <c r="B126" s="39" t="inlineStr">
        <is>
          <t>移动端</t>
        </is>
      </c>
      <c r="C126" s="39" t="inlineStr">
        <is>
          <t>APP</t>
        </is>
      </c>
      <c r="D126" s="39" t="inlineStr">
        <is>
          <t>台账查询</t>
        </is>
      </c>
      <c r="E126" s="39" t="inlineStr">
        <is>
          <t>/</t>
        </is>
      </c>
      <c r="F126" s="39" t="inlineStr">
        <is>
          <t>第二批次</t>
        </is>
      </c>
      <c r="G126" s="39">
        <f>IF(OR(M126="挂起",M126="暂停",Q126="挂起",Q126="暂停",U126="挂起",U126="暂停",Y126="挂起",Y126="暂停"),"暂停","已完成")</f>
        <v/>
      </c>
      <c r="H126" s="39">
        <f>IF(L126&lt;&gt;"",L126,IF(P126&lt;&gt;"",P126,IF(T126&lt;&gt;"",T126,X126)))</f>
        <v/>
      </c>
      <c r="I126" s="105">
        <f>IF(COUNT(N126,R126,V126,Z126)=0,"",MIN(N126,R126,V126,Z126))</f>
        <v/>
      </c>
      <c r="J126" s="105">
        <f>IF(ISNUMBER(K126),K126,IF(COUNT(O126,S126,W126,AA126)=0,"",MAX(O126,S126,W126,AA126)))</f>
        <v/>
      </c>
      <c r="K126" s="105" t="n">
        <v>46261</v>
      </c>
      <c r="L126" s="39" t="inlineStr">
        <is>
          <t>郑士旺</t>
        </is>
      </c>
      <c r="M126" s="39" t="inlineStr">
        <is>
          <t>已完成</t>
        </is>
      </c>
      <c r="N126" s="105" t="n">
        <v>46216</v>
      </c>
      <c r="O126" s="105" t="n">
        <v>46220</v>
      </c>
      <c r="P126" s="39" t="inlineStr">
        <is>
          <t>石军磊、刘凯</t>
        </is>
      </c>
      <c r="Q126" s="39" t="inlineStr">
        <is>
          <t>已完成</t>
        </is>
      </c>
      <c r="R126" s="105" t="n">
        <v>46265</v>
      </c>
      <c r="S126" s="105" t="n">
        <v>46269</v>
      </c>
      <c r="T126" s="39" t="inlineStr">
        <is>
          <t>贺航</t>
        </is>
      </c>
      <c r="U126" s="39" t="inlineStr">
        <is>
          <t>已完成</t>
        </is>
      </c>
      <c r="V126" s="105" t="n">
        <v>46265</v>
      </c>
      <c r="W126" s="105" t="n">
        <v>46269</v>
      </c>
      <c r="X126" s="39" t="inlineStr">
        <is>
          <t>袁丽荣</t>
        </is>
      </c>
      <c r="Y126" s="39" t="inlineStr">
        <is>
          <t>已完成</t>
        </is>
      </c>
      <c r="Z126" s="105" t="n">
        <v>46272</v>
      </c>
      <c r="AA126" s="105" t="n">
        <v>46276</v>
      </c>
      <c r="AB126" s="71">
        <f>(IF(M126="已完成",1,IF(M126="进行中",0.5,0))*15%+IF(Q126="已完成",1,IF(Q126="进行中",0.5,0))*35%+IF(U126="已完成",1,IF(U126="进行中",0.5,0))*30%+IF(Y126="已完成",1,IF(Y126="进行中",0.5,0))*20%)</f>
        <v/>
      </c>
      <c r="AC126" s="39">
        <f>IF(G126="已完成","正常",IF(OR(G126="暂停",G126="挂起"),"暂停",IF(J126="","日期缺失",IF(J126&lt;'项目驾驶舱'!$B$3,"已延期",IF(J126&lt;='项目驾驶舱'!$B$3+7,"临近到期","正常")))))</f>
        <v/>
      </c>
      <c r="AD126" s="39" t="inlineStr"/>
      <c r="AE126" s="40" t="inlineStr"/>
    </row>
    <row r="127" hidden="1" ht="17" customHeight="1" s="1">
      <c r="A127" s="37" t="inlineStr">
        <is>
          <t>T124</t>
        </is>
      </c>
      <c r="B127" s="39" t="inlineStr">
        <is>
          <t>移动端</t>
        </is>
      </c>
      <c r="C127" s="39" t="inlineStr">
        <is>
          <t>APP</t>
        </is>
      </c>
      <c r="D127" s="39" t="inlineStr">
        <is>
          <t>停泊费（内贸）查询</t>
        </is>
      </c>
      <c r="E127" s="39" t="inlineStr">
        <is>
          <t>/</t>
        </is>
      </c>
      <c r="F127" s="39" t="inlineStr">
        <is>
          <t>第二批次</t>
        </is>
      </c>
      <c r="G127" s="39">
        <f>IF(OR(M127="挂起",M127="暂停",Q127="挂起",Q127="暂停",U127="挂起",U127="暂停",Y127="挂起",Y127="暂停"),"暂停","已完成")</f>
        <v/>
      </c>
      <c r="H127" s="39">
        <f>IF(L127&lt;&gt;"",L127,IF(P127&lt;&gt;"",P127,IF(T127&lt;&gt;"",T127,X127)))</f>
        <v/>
      </c>
      <c r="I127" s="105">
        <f>IF(COUNT(N127,R127,V127,Z127)=0,"",MIN(N127,R127,V127,Z127))</f>
        <v/>
      </c>
      <c r="J127" s="105">
        <f>IF(ISNUMBER(K127),K127,IF(COUNT(O127,S127,W127,AA127)=0,"",MAX(O127,S127,W127,AA127)))</f>
        <v/>
      </c>
      <c r="K127" s="105" t="n">
        <v>46261</v>
      </c>
      <c r="L127" s="39" t="inlineStr">
        <is>
          <t>郑士旺</t>
        </is>
      </c>
      <c r="M127" s="39" t="inlineStr">
        <is>
          <t>已完成</t>
        </is>
      </c>
      <c r="N127" s="105" t="n">
        <v>46216</v>
      </c>
      <c r="O127" s="105" t="n">
        <v>46220</v>
      </c>
      <c r="P127" s="39" t="inlineStr">
        <is>
          <t>石军磊、刘凯</t>
        </is>
      </c>
      <c r="Q127" s="39" t="inlineStr">
        <is>
          <t>已完成</t>
        </is>
      </c>
      <c r="R127" s="105" t="n">
        <v>46265</v>
      </c>
      <c r="S127" s="105" t="n">
        <v>46269</v>
      </c>
      <c r="T127" s="39" t="inlineStr">
        <is>
          <t>贺航</t>
        </is>
      </c>
      <c r="U127" s="39" t="inlineStr">
        <is>
          <t>已完成</t>
        </is>
      </c>
      <c r="V127" s="105" t="n">
        <v>46265</v>
      </c>
      <c r="W127" s="105" t="n">
        <v>46269</v>
      </c>
      <c r="X127" s="39" t="inlineStr">
        <is>
          <t>袁丽荣</t>
        </is>
      </c>
      <c r="Y127" s="39" t="inlineStr">
        <is>
          <t>已完成</t>
        </is>
      </c>
      <c r="Z127" s="105" t="n">
        <v>46272</v>
      </c>
      <c r="AA127" s="105" t="n">
        <v>46276</v>
      </c>
      <c r="AB127" s="71">
        <f>(IF(M127="已完成",1,IF(M127="进行中",0.5,0))*15%+IF(Q127="已完成",1,IF(Q127="进行中",0.5,0))*35%+IF(U127="已完成",1,IF(U127="进行中",0.5,0))*30%+IF(Y127="已完成",1,IF(Y127="进行中",0.5,0))*20%)</f>
        <v/>
      </c>
      <c r="AC127" s="39">
        <f>IF(G127="已完成","正常",IF(OR(G127="暂停",G127="挂起"),"暂停",IF(J127="","日期缺失",IF(J127&lt;'项目驾驶舱'!$B$3,"已延期",IF(J127&lt;='项目驾驶舱'!$B$3+7,"临近到期","正常")))))</f>
        <v/>
      </c>
      <c r="AD127" s="39" t="inlineStr"/>
      <c r="AE127" s="40" t="inlineStr"/>
    </row>
    <row r="128" hidden="1" ht="17" customHeight="1" s="1">
      <c r="A128" s="37" t="inlineStr">
        <is>
          <t>T125</t>
        </is>
      </c>
      <c r="B128" s="39" t="inlineStr">
        <is>
          <t>移动端</t>
        </is>
      </c>
      <c r="C128" s="39" t="inlineStr">
        <is>
          <t>APP</t>
        </is>
      </c>
      <c r="D128" s="39" t="inlineStr">
        <is>
          <t>船舶供应服务费（内贸）查询</t>
        </is>
      </c>
      <c r="E128" s="39" t="inlineStr">
        <is>
          <t>/</t>
        </is>
      </c>
      <c r="F128" s="39" t="inlineStr">
        <is>
          <t>第二批次</t>
        </is>
      </c>
      <c r="G128" s="39">
        <f>IF(OR(M128="挂起",M128="暂停",Q128="挂起",Q128="暂停",U128="挂起",U128="暂停",Y128="挂起",Y128="暂停"),"暂停","已完成")</f>
        <v/>
      </c>
      <c r="H128" s="39">
        <f>IF(L128&lt;&gt;"",L128,IF(P128&lt;&gt;"",P128,IF(T128&lt;&gt;"",T128,X128)))</f>
        <v/>
      </c>
      <c r="I128" s="105">
        <f>IF(COUNT(N128,R128,V128,Z128)=0,"",MIN(N128,R128,V128,Z128))</f>
        <v/>
      </c>
      <c r="J128" s="105">
        <f>IF(ISNUMBER(K128),K128,IF(COUNT(O128,S128,W128,AA128)=0,"",MAX(O128,S128,W128,AA128)))</f>
        <v/>
      </c>
      <c r="K128" s="105" t="n">
        <v>46261</v>
      </c>
      <c r="L128" s="39" t="inlineStr">
        <is>
          <t>郑士旺</t>
        </is>
      </c>
      <c r="M128" s="39" t="inlineStr">
        <is>
          <t>已完成</t>
        </is>
      </c>
      <c r="N128" s="105" t="n">
        <v>46216</v>
      </c>
      <c r="O128" s="105" t="n">
        <v>46220</v>
      </c>
      <c r="P128" s="39" t="inlineStr">
        <is>
          <t>石军磊、刘凯</t>
        </is>
      </c>
      <c r="Q128" s="39" t="inlineStr">
        <is>
          <t>已完成</t>
        </is>
      </c>
      <c r="R128" s="105" t="n">
        <v>46265</v>
      </c>
      <c r="S128" s="105" t="n">
        <v>46269</v>
      </c>
      <c r="T128" s="39" t="inlineStr">
        <is>
          <t>贺航</t>
        </is>
      </c>
      <c r="U128" s="39" t="inlineStr">
        <is>
          <t>已完成</t>
        </is>
      </c>
      <c r="V128" s="105" t="n">
        <v>46265</v>
      </c>
      <c r="W128" s="105" t="n">
        <v>46269</v>
      </c>
      <c r="X128" s="39" t="inlineStr">
        <is>
          <t>袁丽荣</t>
        </is>
      </c>
      <c r="Y128" s="39" t="inlineStr">
        <is>
          <t>已完成</t>
        </is>
      </c>
      <c r="Z128" s="105" t="n">
        <v>46272</v>
      </c>
      <c r="AA128" s="105" t="n">
        <v>46276</v>
      </c>
      <c r="AB128" s="71">
        <f>(IF(M128="已完成",1,IF(M128="进行中",0.5,0))*15%+IF(Q128="已完成",1,IF(Q128="进行中",0.5,0))*35%+IF(U128="已完成",1,IF(U128="进行中",0.5,0))*30%+IF(Y128="已完成",1,IF(Y128="进行中",0.5,0))*20%)</f>
        <v/>
      </c>
      <c r="AC128" s="39">
        <f>IF(G128="已完成","正常",IF(OR(G128="暂停",G128="挂起"),"暂停",IF(J128="","日期缺失",IF(J128&lt;'项目驾驶舱'!$B$3,"已延期",IF(J128&lt;='项目驾驶舱'!$B$3+7,"临近到期","正常")))))</f>
        <v/>
      </c>
      <c r="AD128" s="39" t="inlineStr"/>
      <c r="AE128" s="40" t="inlineStr"/>
    </row>
    <row r="129" hidden="1" ht="17" customHeight="1" s="1">
      <c r="A129" s="37" t="inlineStr">
        <is>
          <t>T126</t>
        </is>
      </c>
      <c r="B129" s="39" t="inlineStr">
        <is>
          <t>移动端</t>
        </is>
      </c>
      <c r="C129" s="39" t="inlineStr">
        <is>
          <t>APP</t>
        </is>
      </c>
      <c r="D129" s="39" t="inlineStr">
        <is>
          <t>停泊费（外贸）查询</t>
        </is>
      </c>
      <c r="E129" s="39" t="inlineStr">
        <is>
          <t>/</t>
        </is>
      </c>
      <c r="F129" s="39" t="inlineStr">
        <is>
          <t>第二批次</t>
        </is>
      </c>
      <c r="G129" s="39">
        <f>IF(OR(M129="挂起",M129="暂停",Q129="挂起",Q129="暂停",U129="挂起",U129="暂停",Y129="挂起",Y129="暂停"),"暂停","未开始")</f>
        <v/>
      </c>
      <c r="H129" s="39">
        <f>IF(L129&lt;&gt;"",L129,IF(P129&lt;&gt;"",P129,IF(T129&lt;&gt;"",T129,X129)))</f>
        <v/>
      </c>
      <c r="I129" s="105">
        <f>IF(COUNT(N129,R129,V129,Z129)=0,"",MIN(N129,R129,V129,Z129))</f>
        <v/>
      </c>
      <c r="J129" s="105">
        <f>IF(ISNUMBER(K129),K129,IF(COUNT(O129,S129,W129,AA129)=0,"",MAX(O129,S129,W129,AA129)))</f>
        <v/>
      </c>
      <c r="K129" s="105" t="n"/>
      <c r="L129" s="39" t="inlineStr">
        <is>
          <t>郑士旺</t>
        </is>
      </c>
      <c r="M129" s="39" t="inlineStr">
        <is>
          <t>未开始</t>
        </is>
      </c>
      <c r="N129" s="105" t="n">
        <v>46230</v>
      </c>
      <c r="O129" s="105" t="n">
        <v>46241</v>
      </c>
      <c r="P129" s="39" t="inlineStr">
        <is>
          <t>石军磊、刘凯</t>
        </is>
      </c>
      <c r="Q129" s="39" t="inlineStr">
        <is>
          <t>未开始</t>
        </is>
      </c>
      <c r="R129" s="105" t="n">
        <v>46307</v>
      </c>
      <c r="S129" s="105" t="n">
        <v>46339</v>
      </c>
      <c r="T129" s="39" t="inlineStr">
        <is>
          <t>贺航</t>
        </is>
      </c>
      <c r="U129" s="39" t="inlineStr">
        <is>
          <t>未开始</t>
        </is>
      </c>
      <c r="V129" s="105" t="n">
        <v>46307</v>
      </c>
      <c r="W129" s="105" t="n">
        <v>46339</v>
      </c>
      <c r="X129" s="39" t="inlineStr">
        <is>
          <t>袁丽荣</t>
        </is>
      </c>
      <c r="Y129" s="39" t="inlineStr">
        <is>
          <t>未开始</t>
        </is>
      </c>
      <c r="Z129" s="105" t="n">
        <v>46342</v>
      </c>
      <c r="AA129" s="105" t="n">
        <v>46353</v>
      </c>
      <c r="AB129" s="71">
        <f>(IF(M129="已完成",1,IF(M129="进行中",0.5,0))*15%+IF(Q129="已完成",1,IF(Q129="进行中",0.5,0))*35%+IF(U129="已完成",1,IF(U129="进行中",0.5,0))*30%+IF(Y129="已完成",1,IF(Y129="进行中",0.5,0))*20%)</f>
        <v/>
      </c>
      <c r="AC129" s="39">
        <f>IF(G129="已完成","正常",IF(OR(G129="暂停",G129="挂起"),"暂停",IF(J129="","日期缺失",IF(J129&lt;'项目驾驶舱'!$B$3,"已延期",IF(J129&lt;='项目驾驶舱'!$B$3+7,"临近到期","正常")))))</f>
        <v/>
      </c>
      <c r="AD129" s="39" t="inlineStr"/>
      <c r="AE129" s="40" t="inlineStr"/>
    </row>
    <row r="130" hidden="1" ht="17" customHeight="1" s="1">
      <c r="A130" s="37" t="inlineStr">
        <is>
          <t>T127</t>
        </is>
      </c>
      <c r="B130" s="39" t="inlineStr">
        <is>
          <t>移动端</t>
        </is>
      </c>
      <c r="C130" s="39" t="inlineStr">
        <is>
          <t>APP</t>
        </is>
      </c>
      <c r="D130" s="39" t="inlineStr">
        <is>
          <t>锚泊费（外贸）查询</t>
        </is>
      </c>
      <c r="E130" s="39" t="inlineStr">
        <is>
          <t>/</t>
        </is>
      </c>
      <c r="F130" s="39" t="inlineStr">
        <is>
          <t>第二批次</t>
        </is>
      </c>
      <c r="G130" s="39">
        <f>IF(OR(M130="挂起",M130="暂停",Q130="挂起",Q130="暂停",U130="挂起",U130="暂停",Y130="挂起",Y130="暂停"),"暂停","未开始")</f>
        <v/>
      </c>
      <c r="H130" s="39">
        <f>IF(L130&lt;&gt;"",L130,IF(P130&lt;&gt;"",P130,IF(T130&lt;&gt;"",T130,X130)))</f>
        <v/>
      </c>
      <c r="I130" s="105">
        <f>IF(COUNT(N130,R130,V130,Z130)=0,"",MIN(N130,R130,V130,Z130))</f>
        <v/>
      </c>
      <c r="J130" s="105">
        <f>IF(ISNUMBER(K130),K130,IF(COUNT(O130,S130,W130,AA130)=0,"",MAX(O130,S130,W130,AA130)))</f>
        <v/>
      </c>
      <c r="K130" s="105" t="n">
        <v>46261</v>
      </c>
      <c r="L130" s="39" t="inlineStr">
        <is>
          <t>郑士旺</t>
        </is>
      </c>
      <c r="M130" s="39" t="inlineStr">
        <is>
          <t>未开始</t>
        </is>
      </c>
      <c r="N130" s="105" t="n">
        <v>46230</v>
      </c>
      <c r="O130" s="105" t="n">
        <v>46241</v>
      </c>
      <c r="P130" s="39" t="inlineStr">
        <is>
          <t>石军磊、刘凯</t>
        </is>
      </c>
      <c r="Q130" s="39" t="inlineStr">
        <is>
          <t>未开始</t>
        </is>
      </c>
      <c r="R130" s="105" t="n">
        <v>46307</v>
      </c>
      <c r="S130" s="105" t="n">
        <v>46339</v>
      </c>
      <c r="T130" s="39" t="inlineStr">
        <is>
          <t>贺航</t>
        </is>
      </c>
      <c r="U130" s="39" t="inlineStr">
        <is>
          <t>未开始</t>
        </is>
      </c>
      <c r="V130" s="105" t="n">
        <v>46307</v>
      </c>
      <c r="W130" s="105" t="n">
        <v>46339</v>
      </c>
      <c r="X130" s="39" t="inlineStr">
        <is>
          <t>袁丽荣</t>
        </is>
      </c>
      <c r="Y130" s="39" t="inlineStr">
        <is>
          <t>未开始</t>
        </is>
      </c>
      <c r="Z130" s="105" t="n">
        <v>46342</v>
      </c>
      <c r="AA130" s="105" t="n">
        <v>46353</v>
      </c>
      <c r="AB130" s="71">
        <f>(IF(M130="已完成",1,IF(M130="进行中",0.5,0))*15%+IF(Q130="已完成",1,IF(Q130="进行中",0.5,0))*35%+IF(U130="已完成",1,IF(U130="进行中",0.5,0))*30%+IF(Y130="已完成",1,IF(Y130="进行中",0.5,0))*20%)</f>
        <v/>
      </c>
      <c r="AC130" s="39">
        <f>IF(G130="已完成","正常",IF(OR(G130="暂停",G130="挂起"),"暂停",IF(J130="","日期缺失",IF(J130&lt;'项目驾驶舱'!$B$3,"已延期",IF(J130&lt;='项目驾驶舱'!$B$3+7,"临近到期","正常")))))</f>
        <v/>
      </c>
      <c r="AD130" s="39" t="inlineStr"/>
      <c r="AE130" s="40" t="inlineStr"/>
    </row>
    <row r="131" hidden="1" ht="17" customHeight="1" s="1">
      <c r="A131" s="37" t="inlineStr">
        <is>
          <t>T128</t>
        </is>
      </c>
      <c r="B131" s="39" t="inlineStr">
        <is>
          <t>移动端</t>
        </is>
      </c>
      <c r="C131" s="39" t="inlineStr">
        <is>
          <t>APP</t>
        </is>
      </c>
      <c r="D131" s="39" t="inlineStr">
        <is>
          <t>堆存费（外贸）查询</t>
        </is>
      </c>
      <c r="E131" s="39" t="inlineStr">
        <is>
          <t>/</t>
        </is>
      </c>
      <c r="F131" s="39" t="inlineStr">
        <is>
          <t>第二批次</t>
        </is>
      </c>
      <c r="G131" s="39">
        <f>IF(OR(M131="挂起",M131="暂停",Q131="挂起",Q131="暂停",U131="挂起",U131="暂停",Y131="挂起",Y131="暂停"),"暂停","未开始")</f>
        <v/>
      </c>
      <c r="H131" s="39">
        <f>IF(L131&lt;&gt;"",L131,IF(P131&lt;&gt;"",P131,IF(T131&lt;&gt;"",T131,X131)))</f>
        <v/>
      </c>
      <c r="I131" s="105">
        <f>IF(COUNT(N131,R131,V131,Z131)=0,"",MIN(N131,R131,V131,Z131))</f>
        <v/>
      </c>
      <c r="J131" s="105">
        <f>IF(ISNUMBER(K131),K131,IF(COUNT(O131,S131,W131,AA131)=0,"",MAX(O131,S131,W131,AA131)))</f>
        <v/>
      </c>
      <c r="K131" s="105" t="n">
        <v>46261</v>
      </c>
      <c r="L131" s="39" t="inlineStr">
        <is>
          <t>郑士旺</t>
        </is>
      </c>
      <c r="M131" s="39" t="inlineStr">
        <is>
          <t>未开始</t>
        </is>
      </c>
      <c r="N131" s="105" t="n">
        <v>46230</v>
      </c>
      <c r="O131" s="105" t="n">
        <v>46241</v>
      </c>
      <c r="P131" s="39" t="inlineStr">
        <is>
          <t>石军磊、刘凯</t>
        </is>
      </c>
      <c r="Q131" s="39" t="inlineStr">
        <is>
          <t>未开始</t>
        </is>
      </c>
      <c r="R131" s="105" t="n">
        <v>46307</v>
      </c>
      <c r="S131" s="105" t="n">
        <v>46339</v>
      </c>
      <c r="T131" s="39" t="inlineStr">
        <is>
          <t>贺航</t>
        </is>
      </c>
      <c r="U131" s="39" t="inlineStr">
        <is>
          <t>未开始</t>
        </is>
      </c>
      <c r="V131" s="105" t="n">
        <v>46307</v>
      </c>
      <c r="W131" s="105" t="n">
        <v>46339</v>
      </c>
      <c r="X131" s="39" t="inlineStr">
        <is>
          <t>袁丽荣</t>
        </is>
      </c>
      <c r="Y131" s="39" t="inlineStr">
        <is>
          <t>未开始</t>
        </is>
      </c>
      <c r="Z131" s="105" t="n">
        <v>46342</v>
      </c>
      <c r="AA131" s="105" t="n">
        <v>46353</v>
      </c>
      <c r="AB131" s="71">
        <f>(IF(M131="已完成",1,IF(M131="进行中",0.5,0))*15%+IF(Q131="已完成",1,IF(Q131="进行中",0.5,0))*35%+IF(U131="已完成",1,IF(U131="进行中",0.5,0))*30%+IF(Y131="已完成",1,IF(Y131="进行中",0.5,0))*20%)</f>
        <v/>
      </c>
      <c r="AC131" s="39">
        <f>IF(G131="已完成","正常",IF(OR(G131="暂停",G131="挂起"),"暂停",IF(J131="","日期缺失",IF(J131&lt;'项目驾驶舱'!$B$3,"已延期",IF(J131&lt;='项目驾驶舱'!$B$3+7,"临近到期","正常")))))</f>
        <v/>
      </c>
      <c r="AD131" s="39" t="inlineStr"/>
      <c r="AE131" s="40" t="inlineStr"/>
    </row>
    <row r="132" hidden="1" ht="17" customHeight="1" s="1">
      <c r="A132" s="41" t="inlineStr">
        <is>
          <t>T129</t>
        </is>
      </c>
      <c r="B132" s="43" t="inlineStr">
        <is>
          <t>移动端</t>
        </is>
      </c>
      <c r="C132" s="43" t="inlineStr">
        <is>
          <t>APP</t>
        </is>
      </c>
      <c r="D132" s="43" t="inlineStr">
        <is>
          <t>卸船费（外贸）查询</t>
        </is>
      </c>
      <c r="E132" s="43" t="inlineStr">
        <is>
          <t>/</t>
        </is>
      </c>
      <c r="F132" s="43" t="inlineStr">
        <is>
          <t>第二批次</t>
        </is>
      </c>
      <c r="G132" s="43">
        <f>IF(OR(M132="挂起",M132="暂停",Q132="挂起",Q132="暂停",U132="挂起",U132="暂停",Y132="挂起",Y132="暂停"),"暂停","未开始")</f>
        <v/>
      </c>
      <c r="H132" s="43">
        <f>IF(L132&lt;&gt;"",L132,IF(P132&lt;&gt;"",P132,IF(T132&lt;&gt;"",T132,X132)))</f>
        <v/>
      </c>
      <c r="I132" s="106">
        <f>IF(COUNT(N132,R132,V132,Z132)=0,"",MIN(N132,R132,V132,Z132))</f>
        <v/>
      </c>
      <c r="J132" s="106">
        <f>IF(ISNUMBER(K132),K132,IF(COUNT(O132,S132,W132,AA132)=0,"",MAX(O132,S132,W132,AA132)))</f>
        <v/>
      </c>
      <c r="K132" s="106" t="n"/>
      <c r="L132" s="43" t="inlineStr">
        <is>
          <t>郑士旺</t>
        </is>
      </c>
      <c r="M132" s="43" t="inlineStr">
        <is>
          <t>未开始</t>
        </is>
      </c>
      <c r="N132" s="106" t="n">
        <v>46230</v>
      </c>
      <c r="O132" s="106" t="n">
        <v>46241</v>
      </c>
      <c r="P132" s="43" t="inlineStr">
        <is>
          <t>石军磊、刘凯</t>
        </is>
      </c>
      <c r="Q132" s="43" t="inlineStr">
        <is>
          <t>未开始</t>
        </is>
      </c>
      <c r="R132" s="106" t="n">
        <v>46307</v>
      </c>
      <c r="S132" s="106" t="n">
        <v>46339</v>
      </c>
      <c r="T132" s="43" t="inlineStr">
        <is>
          <t>贺航</t>
        </is>
      </c>
      <c r="U132" s="43" t="inlineStr">
        <is>
          <t>未开始</t>
        </is>
      </c>
      <c r="V132" s="106" t="n">
        <v>46307</v>
      </c>
      <c r="W132" s="106" t="n">
        <v>46339</v>
      </c>
      <c r="X132" s="43" t="inlineStr">
        <is>
          <t>袁丽荣</t>
        </is>
      </c>
      <c r="Y132" s="43" t="inlineStr">
        <is>
          <t>未开始</t>
        </is>
      </c>
      <c r="Z132" s="106" t="n">
        <v>46342</v>
      </c>
      <c r="AA132" s="106" t="n">
        <v>46353</v>
      </c>
      <c r="AB132" s="72">
        <f>(IF(M132="已完成",1,IF(M132="进行中",0.5,0))*15%+IF(Q132="已完成",1,IF(Q132="进行中",0.5,0))*35%+IF(U132="已完成",1,IF(U132="进行中",0.5,0))*30%+IF(Y132="已完成",1,IF(Y132="进行中",0.5,0))*20%)</f>
        <v/>
      </c>
      <c r="AC132" s="43">
        <f>IF(G132="已完成","正常",IF(OR(G132="暂停",G132="挂起"),"暂停",IF(J132="","日期缺失",IF(J132&lt;'项目驾驶舱'!$B$3,"已延期",IF(J132&lt;='项目驾驶舱'!$B$3+7,"临近到期","正常")))))</f>
        <v/>
      </c>
      <c r="AD132" s="43" t="inlineStr"/>
      <c r="AE132" s="44" t="inlineStr"/>
    </row>
    <row r="133" hidden="1" ht="17" customHeight="1" s="1">
      <c r="A133" s="41" t="inlineStr">
        <is>
          <t>T130</t>
        </is>
      </c>
      <c r="B133" s="43" t="inlineStr">
        <is>
          <t>移动端</t>
        </is>
      </c>
      <c r="C133" s="43" t="inlineStr">
        <is>
          <t>APP</t>
        </is>
      </c>
      <c r="D133" s="43" t="inlineStr">
        <is>
          <t>采样服务费（外贸）查询</t>
        </is>
      </c>
      <c r="E133" s="43" t="inlineStr">
        <is>
          <t>/</t>
        </is>
      </c>
      <c r="F133" s="43" t="inlineStr">
        <is>
          <t>第二批次</t>
        </is>
      </c>
      <c r="G133" s="43">
        <f>IF(OR(M133="挂起",M133="暂停",Q133="挂起",Q133="暂停",U133="挂起",U133="暂停",Y133="挂起",Y133="暂停"),"暂停","未开始")</f>
        <v/>
      </c>
      <c r="H133" s="43">
        <f>IF(L133&lt;&gt;"",L133,IF(P133&lt;&gt;"",P133,IF(T133&lt;&gt;"",T133,X133)))</f>
        <v/>
      </c>
      <c r="I133" s="106">
        <f>IF(COUNT(N133,R133,V133,Z133)=0,"",MIN(N133,R133,V133,Z133))</f>
        <v/>
      </c>
      <c r="J133" s="106">
        <f>IF(ISNUMBER(K133),K133,IF(COUNT(O133,S133,W133,AA133)=0,"",MAX(O133,S133,W133,AA133)))</f>
        <v/>
      </c>
      <c r="K133" s="106" t="n"/>
      <c r="L133" s="43" t="inlineStr">
        <is>
          <t>郑士旺</t>
        </is>
      </c>
      <c r="M133" s="43" t="inlineStr">
        <is>
          <t>未开始</t>
        </is>
      </c>
      <c r="N133" s="106" t="n">
        <v>46230</v>
      </c>
      <c r="O133" s="106" t="n">
        <v>46241</v>
      </c>
      <c r="P133" s="43" t="inlineStr">
        <is>
          <t>石军磊、刘凯</t>
        </is>
      </c>
      <c r="Q133" s="43" t="inlineStr">
        <is>
          <t>未开始</t>
        </is>
      </c>
      <c r="R133" s="106" t="n">
        <v>46307</v>
      </c>
      <c r="S133" s="106" t="n">
        <v>46339</v>
      </c>
      <c r="T133" s="43" t="inlineStr">
        <is>
          <t>贺航</t>
        </is>
      </c>
      <c r="U133" s="43" t="inlineStr">
        <is>
          <t>未开始</t>
        </is>
      </c>
      <c r="V133" s="106" t="n">
        <v>46307</v>
      </c>
      <c r="W133" s="106" t="n">
        <v>46339</v>
      </c>
      <c r="X133" s="43" t="inlineStr">
        <is>
          <t>袁丽荣</t>
        </is>
      </c>
      <c r="Y133" s="43" t="inlineStr">
        <is>
          <t>未开始</t>
        </is>
      </c>
      <c r="Z133" s="106" t="n">
        <v>46342</v>
      </c>
      <c r="AA133" s="106" t="n">
        <v>46353</v>
      </c>
      <c r="AB133" s="72">
        <f>(IF(M133="已完成",1,IF(M133="进行中",0.5,0))*15%+IF(Q133="已完成",1,IF(Q133="进行中",0.5,0))*35%+IF(U133="已完成",1,IF(U133="进行中",0.5,0))*30%+IF(Y133="已完成",1,IF(Y133="进行中",0.5,0))*20%)</f>
        <v/>
      </c>
      <c r="AC133" s="43">
        <f>IF(G133="已完成","正常",IF(OR(G133="暂停",G133="挂起"),"暂停",IF(J133="","日期缺失",IF(J133&lt;'项目驾驶舱'!$B$3,"已延期",IF(J133&lt;='项目驾驶舱'!$B$3+7,"临近到期","正常")))))</f>
        <v/>
      </c>
      <c r="AD133" s="43" t="inlineStr"/>
      <c r="AE133" s="44" t="inlineStr"/>
    </row>
    <row r="134" hidden="1" ht="17" customHeight="1" s="1">
      <c r="A134" s="41" t="inlineStr">
        <is>
          <t>T131</t>
        </is>
      </c>
      <c r="B134" s="43" t="inlineStr">
        <is>
          <t>移动端</t>
        </is>
      </c>
      <c r="C134" s="43" t="inlineStr">
        <is>
          <t>APP</t>
        </is>
      </c>
      <c r="D134" s="43" t="inlineStr">
        <is>
          <t>船舶供应服务费（外贸）查询</t>
        </is>
      </c>
      <c r="E134" s="43" t="inlineStr">
        <is>
          <t>/</t>
        </is>
      </c>
      <c r="F134" s="43" t="inlineStr">
        <is>
          <t>第二批次</t>
        </is>
      </c>
      <c r="G134" s="43">
        <f>IF(OR(M134="挂起",M134="暂停",Q134="挂起",Q134="暂停",U134="挂起",U134="暂停",Y134="挂起",Y134="暂停"),"暂停","未开始")</f>
        <v/>
      </c>
      <c r="H134" s="43">
        <f>IF(L134&lt;&gt;"",L134,IF(P134&lt;&gt;"",P134,IF(T134&lt;&gt;"",T134,X134)))</f>
        <v/>
      </c>
      <c r="I134" s="106">
        <f>IF(COUNT(N134,R134,V134,Z134)=0,"",MIN(N134,R134,V134,Z134))</f>
        <v/>
      </c>
      <c r="J134" s="106">
        <f>IF(ISNUMBER(K134),K134,IF(COUNT(O134,S134,W134,AA134)=0,"",MAX(O134,S134,W134,AA134)))</f>
        <v/>
      </c>
      <c r="K134" s="106" t="n"/>
      <c r="L134" s="43" t="inlineStr">
        <is>
          <t>郑士旺</t>
        </is>
      </c>
      <c r="M134" s="43" t="inlineStr">
        <is>
          <t>未开始</t>
        </is>
      </c>
      <c r="N134" s="106" t="n">
        <v>46230</v>
      </c>
      <c r="O134" s="106" t="n">
        <v>46241</v>
      </c>
      <c r="P134" s="43" t="inlineStr">
        <is>
          <t>石军磊、刘凯</t>
        </is>
      </c>
      <c r="Q134" s="43" t="inlineStr">
        <is>
          <t>未开始</t>
        </is>
      </c>
      <c r="R134" s="106" t="n">
        <v>46307</v>
      </c>
      <c r="S134" s="106" t="n">
        <v>46339</v>
      </c>
      <c r="T134" s="43" t="inlineStr">
        <is>
          <t>贺航</t>
        </is>
      </c>
      <c r="U134" s="43" t="inlineStr">
        <is>
          <t>未开始</t>
        </is>
      </c>
      <c r="V134" s="106" t="n">
        <v>46307</v>
      </c>
      <c r="W134" s="106" t="n">
        <v>46339</v>
      </c>
      <c r="X134" s="43" t="inlineStr">
        <is>
          <t>袁丽荣</t>
        </is>
      </c>
      <c r="Y134" s="43" t="inlineStr">
        <is>
          <t>未开始</t>
        </is>
      </c>
      <c r="Z134" s="106" t="n">
        <v>46342</v>
      </c>
      <c r="AA134" s="106" t="n">
        <v>46353</v>
      </c>
      <c r="AB134" s="72">
        <f>(IF(M134="已完成",1,IF(M134="进行中",0.5,0))*15%+IF(Q134="已完成",1,IF(Q134="进行中",0.5,0))*35%+IF(U134="已完成",1,IF(U134="进行中",0.5,0))*30%+IF(Y134="已完成",1,IF(Y134="进行中",0.5,0))*20%)</f>
        <v/>
      </c>
      <c r="AC134" s="43">
        <f>IF(G134="已完成","正常",IF(OR(G134="暂停",G134="挂起"),"暂停",IF(J134="","日期缺失",IF(J134&lt;'项目驾驶舱'!$B$3,"已延期",IF(J134&lt;='项目驾驶舱'!$B$3+7,"临近到期","正常")))))</f>
        <v/>
      </c>
      <c r="AD134" s="43" t="inlineStr"/>
      <c r="AE134" s="44" t="inlineStr"/>
    </row>
    <row r="135" hidden="1" ht="17" customHeight="1" s="1">
      <c r="A135" s="41" t="inlineStr">
        <is>
          <t>T132</t>
        </is>
      </c>
      <c r="B135" s="43" t="inlineStr">
        <is>
          <t>移动端</t>
        </is>
      </c>
      <c r="C135" s="43" t="inlineStr">
        <is>
          <t>APP</t>
        </is>
      </c>
      <c r="D135" s="43" t="inlineStr">
        <is>
          <t>新增船舶靠泊通知单</t>
        </is>
      </c>
      <c r="E135" s="43" t="inlineStr">
        <is>
          <t>/</t>
        </is>
      </c>
      <c r="F135" s="43" t="inlineStr">
        <is>
          <t>第二批次</t>
        </is>
      </c>
      <c r="G135" s="43">
        <f>IF(OR(M135="挂起",M135="暂停",Q135="挂起",Q135="暂停",U135="挂起",U135="暂停",Y135="挂起",Y135="暂停"),"暂停","未开始")</f>
        <v/>
      </c>
      <c r="H135" s="43">
        <f>IF(L135&lt;&gt;"",L135,IF(P135&lt;&gt;"",P135,IF(T135&lt;&gt;"",T135,X135)))</f>
        <v/>
      </c>
      <c r="I135" s="106">
        <f>IF(COUNT(N135,R135,V135,Z135)=0,"",MIN(N135,R135,V135,Z135))</f>
        <v/>
      </c>
      <c r="J135" s="106">
        <f>IF(ISNUMBER(K135),K135,IF(COUNT(O135,S135,W135,AA135)=0,"",MAX(O135,S135,W135,AA135)))</f>
        <v/>
      </c>
      <c r="K135" s="106" t="n"/>
      <c r="L135" s="43" t="inlineStr">
        <is>
          <t>郑士旺</t>
        </is>
      </c>
      <c r="M135" s="43" t="inlineStr">
        <is>
          <t>未开始</t>
        </is>
      </c>
      <c r="N135" s="106" t="n">
        <v>46230</v>
      </c>
      <c r="O135" s="106" t="n">
        <v>46241</v>
      </c>
      <c r="P135" s="43" t="inlineStr">
        <is>
          <t>石军磊、刘凯</t>
        </is>
      </c>
      <c r="Q135" s="43" t="inlineStr">
        <is>
          <t>未开始</t>
        </is>
      </c>
      <c r="R135" s="106" t="n">
        <v>46307</v>
      </c>
      <c r="S135" s="106" t="n">
        <v>46339</v>
      </c>
      <c r="T135" s="43" t="inlineStr">
        <is>
          <t>贺航</t>
        </is>
      </c>
      <c r="U135" s="43" t="inlineStr">
        <is>
          <t>未开始</t>
        </is>
      </c>
      <c r="V135" s="106" t="n">
        <v>46307</v>
      </c>
      <c r="W135" s="106" t="n">
        <v>46339</v>
      </c>
      <c r="X135" s="43" t="inlineStr">
        <is>
          <t>袁丽荣</t>
        </is>
      </c>
      <c r="Y135" s="43" t="inlineStr">
        <is>
          <t>未开始</t>
        </is>
      </c>
      <c r="Z135" s="106" t="n">
        <v>46342</v>
      </c>
      <c r="AA135" s="106" t="n">
        <v>46353</v>
      </c>
      <c r="AB135" s="72">
        <f>(IF(M135="已完成",1,IF(M135="进行中",0.5,0))*15%+IF(Q135="已完成",1,IF(Q135="进行中",0.5,0))*35%+IF(U135="已完成",1,IF(U135="进行中",0.5,0))*30%+IF(Y135="已完成",1,IF(Y135="进行中",0.5,0))*20%)</f>
        <v/>
      </c>
      <c r="AC135" s="43">
        <f>IF(G135="已完成","正常",IF(OR(G135="暂停",G135="挂起"),"暂停",IF(J135="","日期缺失",IF(J135&lt;'项目驾驶舱'!$B$3,"已延期",IF(J135&lt;='项目驾驶舱'!$B$3+7,"临近到期","正常")))))</f>
        <v/>
      </c>
      <c r="AD135" s="43" t="inlineStr"/>
      <c r="AE135" s="44" t="inlineStr"/>
    </row>
    <row r="136" hidden="1" ht="17" customHeight="1" s="1">
      <c r="A136" s="41" t="inlineStr">
        <is>
          <t>T133</t>
        </is>
      </c>
      <c r="B136" s="43" t="inlineStr">
        <is>
          <t>移动端</t>
        </is>
      </c>
      <c r="C136" s="43" t="inlineStr">
        <is>
          <t>APP</t>
        </is>
      </c>
      <c r="D136" s="43" t="inlineStr">
        <is>
          <t>查询船舶靠泊通知单</t>
        </is>
      </c>
      <c r="E136" s="43" t="inlineStr">
        <is>
          <t>/</t>
        </is>
      </c>
      <c r="F136" s="43" t="inlineStr">
        <is>
          <t>第二批次</t>
        </is>
      </c>
      <c r="G136" s="43">
        <f>IF(OR(M136="挂起",M136="暂停",Q136="挂起",Q136="暂停",U136="挂起",U136="暂停",Y136="挂起",Y136="暂停"),"暂停","未开始")</f>
        <v/>
      </c>
      <c r="H136" s="43">
        <f>IF(L136&lt;&gt;"",L136,IF(P136&lt;&gt;"",P136,IF(T136&lt;&gt;"",T136,X136)))</f>
        <v/>
      </c>
      <c r="I136" s="106">
        <f>IF(COUNT(N136,R136,V136,Z136)=0,"",MIN(N136,R136,V136,Z136))</f>
        <v/>
      </c>
      <c r="J136" s="106">
        <f>IF(ISNUMBER(K136),K136,IF(COUNT(O136,S136,W136,AA136)=0,"",MAX(O136,S136,W136,AA136)))</f>
        <v/>
      </c>
      <c r="K136" s="106" t="n"/>
      <c r="L136" s="43" t="inlineStr">
        <is>
          <t>郑士旺</t>
        </is>
      </c>
      <c r="M136" s="43" t="inlineStr">
        <is>
          <t>未开始</t>
        </is>
      </c>
      <c r="N136" s="106" t="n">
        <v>46230</v>
      </c>
      <c r="O136" s="106" t="n">
        <v>46241</v>
      </c>
      <c r="P136" s="43" t="inlineStr">
        <is>
          <t>石军磊、刘凯</t>
        </is>
      </c>
      <c r="Q136" s="43" t="inlineStr">
        <is>
          <t>未开始</t>
        </is>
      </c>
      <c r="R136" s="106" t="n">
        <v>46307</v>
      </c>
      <c r="S136" s="106" t="n">
        <v>46339</v>
      </c>
      <c r="T136" s="43" t="inlineStr">
        <is>
          <t>贺航</t>
        </is>
      </c>
      <c r="U136" s="43" t="inlineStr">
        <is>
          <t>未开始</t>
        </is>
      </c>
      <c r="V136" s="106" t="n">
        <v>46307</v>
      </c>
      <c r="W136" s="106" t="n">
        <v>46339</v>
      </c>
      <c r="X136" s="43" t="inlineStr">
        <is>
          <t>袁丽荣</t>
        </is>
      </c>
      <c r="Y136" s="43" t="inlineStr">
        <is>
          <t>未开始</t>
        </is>
      </c>
      <c r="Z136" s="106" t="n">
        <v>46342</v>
      </c>
      <c r="AA136" s="106" t="n">
        <v>46353</v>
      </c>
      <c r="AB136" s="72">
        <f>(IF(M136="已完成",1,IF(M136="进行中",0.5,0))*15%+IF(Q136="已完成",1,IF(Q136="进行中",0.5,0))*35%+IF(U136="已完成",1,IF(U136="进行中",0.5,0))*30%+IF(Y136="已完成",1,IF(Y136="进行中",0.5,0))*20%)</f>
        <v/>
      </c>
      <c r="AC136" s="43">
        <f>IF(G136="已完成","正常",IF(OR(G136="暂停",G136="挂起"),"暂停",IF(J136="","日期缺失",IF(J136&lt;'项目驾驶舱'!$B$3,"已延期",IF(J136&lt;='项目驾驶舱'!$B$3+7,"临近到期","正常")))))</f>
        <v/>
      </c>
      <c r="AD136" s="43" t="inlineStr"/>
      <c r="AE136" s="44" t="inlineStr"/>
    </row>
    <row r="137" hidden="1" ht="17" customHeight="1" s="1">
      <c r="A137" s="41" t="inlineStr">
        <is>
          <t>T134</t>
        </is>
      </c>
      <c r="B137" s="43" t="inlineStr">
        <is>
          <t>移动端</t>
        </is>
      </c>
      <c r="C137" s="43" t="inlineStr">
        <is>
          <t>APP</t>
        </is>
      </c>
      <c r="D137" s="43" t="inlineStr">
        <is>
          <t>卸船计划查询</t>
        </is>
      </c>
      <c r="E137" s="43" t="inlineStr">
        <is>
          <t>/</t>
        </is>
      </c>
      <c r="F137" s="43" t="inlineStr">
        <is>
          <t>第二批次</t>
        </is>
      </c>
      <c r="G137" s="43">
        <f>IF(OR(M137="挂起",M137="暂停",Q137="挂起",Q137="暂停",U137="挂起",U137="暂停",Y137="挂起",Y137="暂停"),"暂停","未开始")</f>
        <v/>
      </c>
      <c r="H137" s="43">
        <f>IF(L137&lt;&gt;"",L137,IF(P137&lt;&gt;"",P137,IF(T137&lt;&gt;"",T137,X137)))</f>
        <v/>
      </c>
      <c r="I137" s="106">
        <f>IF(COUNT(N137,R137,V137,Z137)=0,"",MIN(N137,R137,V137,Z137))</f>
        <v/>
      </c>
      <c r="J137" s="106">
        <f>IF(ISNUMBER(K137),K137,IF(COUNT(O137,S137,W137,AA137)=0,"",MAX(O137,S137,W137,AA137)))</f>
        <v/>
      </c>
      <c r="K137" s="106" t="n"/>
      <c r="L137" s="43" t="inlineStr">
        <is>
          <t>郑士旺</t>
        </is>
      </c>
      <c r="M137" s="43" t="inlineStr">
        <is>
          <t>未开始</t>
        </is>
      </c>
      <c r="N137" s="106" t="n">
        <v>46230</v>
      </c>
      <c r="O137" s="106" t="n">
        <v>46241</v>
      </c>
      <c r="P137" s="43" t="inlineStr">
        <is>
          <t>石军磊、刘凯</t>
        </is>
      </c>
      <c r="Q137" s="43" t="inlineStr">
        <is>
          <t>未开始</t>
        </is>
      </c>
      <c r="R137" s="106" t="n">
        <v>46307</v>
      </c>
      <c r="S137" s="106" t="n">
        <v>46339</v>
      </c>
      <c r="T137" s="43" t="inlineStr">
        <is>
          <t>贺航</t>
        </is>
      </c>
      <c r="U137" s="43" t="inlineStr">
        <is>
          <t>未开始</t>
        </is>
      </c>
      <c r="V137" s="106" t="n">
        <v>46307</v>
      </c>
      <c r="W137" s="106" t="n">
        <v>46339</v>
      </c>
      <c r="X137" s="43" t="inlineStr">
        <is>
          <t>袁丽荣</t>
        </is>
      </c>
      <c r="Y137" s="43" t="inlineStr">
        <is>
          <t>未开始</t>
        </is>
      </c>
      <c r="Z137" s="106" t="n">
        <v>46342</v>
      </c>
      <c r="AA137" s="106" t="n">
        <v>46353</v>
      </c>
      <c r="AB137" s="72">
        <f>(IF(M137="已完成",1,IF(M137="进行中",0.5,0))*15%+IF(Q137="已完成",1,IF(Q137="进行中",0.5,0))*35%+IF(U137="已完成",1,IF(U137="进行中",0.5,0))*30%+IF(Y137="已完成",1,IF(Y137="进行中",0.5,0))*20%)</f>
        <v/>
      </c>
      <c r="AC137" s="43">
        <f>IF(G137="已完成","正常",IF(OR(G137="暂停",G137="挂起"),"暂停",IF(J137="","日期缺失",IF(J137&lt;'项目驾驶舱'!$B$3,"已延期",IF(J137&lt;='项目驾驶舱'!$B$3+7,"临近到期","正常")))))</f>
        <v/>
      </c>
      <c r="AD137" s="43" t="inlineStr"/>
      <c r="AE137" s="44" t="inlineStr"/>
    </row>
    <row r="138" hidden="1" ht="17" customHeight="1" s="1">
      <c r="A138" s="41" t="inlineStr">
        <is>
          <t>T135</t>
        </is>
      </c>
      <c r="B138" s="43" t="inlineStr">
        <is>
          <t>移动端</t>
        </is>
      </c>
      <c r="C138" s="43" t="inlineStr">
        <is>
          <t>APP</t>
        </is>
      </c>
      <c r="D138" s="43" t="inlineStr">
        <is>
          <t>卸船查询</t>
        </is>
      </c>
      <c r="E138" s="43" t="inlineStr">
        <is>
          <t>/</t>
        </is>
      </c>
      <c r="F138" s="43" t="inlineStr">
        <is>
          <t>第二批次</t>
        </is>
      </c>
      <c r="G138" s="43">
        <f>IF(OR(M138="挂起",M138="暂停",Q138="挂起",Q138="暂停",U138="挂起",U138="暂停",Y138="挂起",Y138="暂停"),"暂停","未开始")</f>
        <v/>
      </c>
      <c r="H138" s="43">
        <f>IF(L138&lt;&gt;"",L138,IF(P138&lt;&gt;"",P138,IF(T138&lt;&gt;"",T138,X138)))</f>
        <v/>
      </c>
      <c r="I138" s="106">
        <f>IF(COUNT(N138,R138,V138,Z138)=0,"",MIN(N138,R138,V138,Z138))</f>
        <v/>
      </c>
      <c r="J138" s="106">
        <f>IF(ISNUMBER(K138),K138,IF(COUNT(O138,S138,W138,AA138)=0,"",MAX(O138,S138,W138,AA138)))</f>
        <v/>
      </c>
      <c r="K138" s="106" t="n"/>
      <c r="L138" s="43" t="inlineStr">
        <is>
          <t>郑士旺</t>
        </is>
      </c>
      <c r="M138" s="43" t="inlineStr">
        <is>
          <t>未开始</t>
        </is>
      </c>
      <c r="N138" s="106" t="n">
        <v>46230</v>
      </c>
      <c r="O138" s="106" t="n">
        <v>46241</v>
      </c>
      <c r="P138" s="43" t="inlineStr">
        <is>
          <t>石军磊、刘凯</t>
        </is>
      </c>
      <c r="Q138" s="43" t="inlineStr">
        <is>
          <t>未开始</t>
        </is>
      </c>
      <c r="R138" s="106" t="n">
        <v>46307</v>
      </c>
      <c r="S138" s="106" t="n">
        <v>46339</v>
      </c>
      <c r="T138" s="43" t="inlineStr">
        <is>
          <t>贺航</t>
        </is>
      </c>
      <c r="U138" s="43" t="inlineStr">
        <is>
          <t>未开始</t>
        </is>
      </c>
      <c r="V138" s="106" t="n">
        <v>46307</v>
      </c>
      <c r="W138" s="106" t="n">
        <v>46339</v>
      </c>
      <c r="X138" s="43" t="inlineStr">
        <is>
          <t>袁丽荣</t>
        </is>
      </c>
      <c r="Y138" s="43" t="inlineStr">
        <is>
          <t>未开始</t>
        </is>
      </c>
      <c r="Z138" s="106" t="n">
        <v>46342</v>
      </c>
      <c r="AA138" s="106" t="n">
        <v>46353</v>
      </c>
      <c r="AB138" s="72">
        <f>(IF(M138="已完成",1,IF(M138="进行中",0.5,0))*15%+IF(Q138="已完成",1,IF(Q138="进行中",0.5,0))*35%+IF(U138="已完成",1,IF(U138="进行中",0.5,0))*30%+IF(Y138="已完成",1,IF(Y138="进行中",0.5,0))*20%)</f>
        <v/>
      </c>
      <c r="AC138" s="43">
        <f>IF(G138="已完成","正常",IF(OR(G138="暂停",G138="挂起"),"暂停",IF(J138="","日期缺失",IF(J138&lt;'项目驾驶舱'!$B$3,"已延期",IF(J138&lt;='项目驾驶舱'!$B$3+7,"临近到期","正常")))))</f>
        <v/>
      </c>
      <c r="AD138" s="43" t="inlineStr"/>
      <c r="AE138" s="44" t="inlineStr"/>
    </row>
    <row r="139" hidden="1" ht="17" customHeight="1" s="1">
      <c r="A139" s="41" t="inlineStr">
        <is>
          <t>T136</t>
        </is>
      </c>
      <c r="B139" s="43" t="inlineStr">
        <is>
          <t>移动端</t>
        </is>
      </c>
      <c r="C139" s="43" t="inlineStr">
        <is>
          <t>APP</t>
        </is>
      </c>
      <c r="D139" s="43" t="inlineStr">
        <is>
          <t>卸船作业委托</t>
        </is>
      </c>
      <c r="E139" s="43" t="inlineStr">
        <is>
          <t>/</t>
        </is>
      </c>
      <c r="F139" s="43" t="inlineStr">
        <is>
          <t>第二批次</t>
        </is>
      </c>
      <c r="G139" s="43">
        <f>IF(OR(M139="挂起",M139="暂停",Q139="挂起",Q139="暂停",U139="挂起",U139="暂停",Y139="挂起",Y139="暂停"),"暂停","未开始")</f>
        <v/>
      </c>
      <c r="H139" s="43">
        <f>IF(L139&lt;&gt;"",L139,IF(P139&lt;&gt;"",P139,IF(T139&lt;&gt;"",T139,X139)))</f>
        <v/>
      </c>
      <c r="I139" s="106">
        <f>IF(COUNT(N139,R139,V139,Z139)=0,"",MIN(N139,R139,V139,Z139))</f>
        <v/>
      </c>
      <c r="J139" s="106">
        <f>IF(ISNUMBER(K139),K139,IF(COUNT(O139,S139,W139,AA139)=0,"",MAX(O139,S139,W139,AA139)))</f>
        <v/>
      </c>
      <c r="K139" s="106" t="n"/>
      <c r="L139" s="43" t="inlineStr">
        <is>
          <t>郑士旺</t>
        </is>
      </c>
      <c r="M139" s="43" t="inlineStr">
        <is>
          <t>未开始</t>
        </is>
      </c>
      <c r="N139" s="106" t="n">
        <v>46230</v>
      </c>
      <c r="O139" s="106" t="n">
        <v>46241</v>
      </c>
      <c r="P139" s="43" t="inlineStr">
        <is>
          <t>石军磊、刘凯</t>
        </is>
      </c>
      <c r="Q139" s="43" t="inlineStr">
        <is>
          <t>未开始</t>
        </is>
      </c>
      <c r="R139" s="106" t="n">
        <v>46307</v>
      </c>
      <c r="S139" s="106" t="n">
        <v>46339</v>
      </c>
      <c r="T139" s="43" t="inlineStr">
        <is>
          <t>贺航</t>
        </is>
      </c>
      <c r="U139" s="43" t="inlineStr">
        <is>
          <t>未开始</t>
        </is>
      </c>
      <c r="V139" s="106" t="n">
        <v>46307</v>
      </c>
      <c r="W139" s="106" t="n">
        <v>46339</v>
      </c>
      <c r="X139" s="43" t="inlineStr">
        <is>
          <t>袁丽荣</t>
        </is>
      </c>
      <c r="Y139" s="43" t="inlineStr">
        <is>
          <t>未开始</t>
        </is>
      </c>
      <c r="Z139" s="106" t="n">
        <v>46342</v>
      </c>
      <c r="AA139" s="106" t="n">
        <v>46353</v>
      </c>
      <c r="AB139" s="72">
        <f>(IF(M139="已完成",1,IF(M139="进行中",0.5,0))*15%+IF(Q139="已完成",1,IF(Q139="进行中",0.5,0))*35%+IF(U139="已完成",1,IF(U139="进行中",0.5,0))*30%+IF(Y139="已完成",1,IF(Y139="进行中",0.5,0))*20%)</f>
        <v/>
      </c>
      <c r="AC139" s="43">
        <f>IF(G139="已完成","正常",IF(OR(G139="暂停",G139="挂起"),"暂停",IF(J139="","日期缺失",IF(J139&lt;'项目驾驶舱'!$B$3,"已延期",IF(J139&lt;='项目驾驶舱'!$B$3+7,"临近到期","正常")))))</f>
        <v/>
      </c>
      <c r="AD139" s="43" t="inlineStr"/>
      <c r="AE139" s="44" t="inlineStr"/>
    </row>
    <row r="140" hidden="1" ht="17" customHeight="1" s="1">
      <c r="A140" s="41" t="inlineStr">
        <is>
          <t>T137</t>
        </is>
      </c>
      <c r="B140" s="43" t="inlineStr">
        <is>
          <t>移动端</t>
        </is>
      </c>
      <c r="C140" s="43" t="inlineStr">
        <is>
          <t>APP</t>
        </is>
      </c>
      <c r="D140" s="43" t="inlineStr">
        <is>
          <t>外轮转内贸业务查询</t>
        </is>
      </c>
      <c r="E140" s="43" t="inlineStr">
        <is>
          <t>/</t>
        </is>
      </c>
      <c r="F140" s="43" t="inlineStr">
        <is>
          <t>第二批次</t>
        </is>
      </c>
      <c r="G140" s="43">
        <f>IF(OR(M140="挂起",M140="暂停",Q140="挂起",Q140="暂停",U140="挂起",U140="暂停",Y140="挂起",Y140="暂停"),"暂停","未开始")</f>
        <v/>
      </c>
      <c r="H140" s="43">
        <f>IF(L140&lt;&gt;"",L140,IF(P140&lt;&gt;"",P140,IF(T140&lt;&gt;"",T140,X140)))</f>
        <v/>
      </c>
      <c r="I140" s="106">
        <f>IF(COUNT(N140,R140,V140,Z140)=0,"",MIN(N140,R140,V140,Z140))</f>
        <v/>
      </c>
      <c r="J140" s="106">
        <f>IF(ISNUMBER(K140),K140,IF(COUNT(O140,S140,W140,AA140)=0,"",MAX(O140,S140,W140,AA140)))</f>
        <v/>
      </c>
      <c r="K140" s="106" t="n"/>
      <c r="L140" s="43" t="inlineStr">
        <is>
          <t>郑士旺</t>
        </is>
      </c>
      <c r="M140" s="43" t="inlineStr">
        <is>
          <t>未开始</t>
        </is>
      </c>
      <c r="N140" s="106" t="n">
        <v>46230</v>
      </c>
      <c r="O140" s="106" t="n">
        <v>46241</v>
      </c>
      <c r="P140" s="43" t="inlineStr">
        <is>
          <t>石军磊、刘凯</t>
        </is>
      </c>
      <c r="Q140" s="43" t="inlineStr">
        <is>
          <t>未开始</t>
        </is>
      </c>
      <c r="R140" s="106" t="n">
        <v>46307</v>
      </c>
      <c r="S140" s="106" t="n">
        <v>46339</v>
      </c>
      <c r="T140" s="43" t="inlineStr">
        <is>
          <t>贺航</t>
        </is>
      </c>
      <c r="U140" s="43" t="inlineStr">
        <is>
          <t>未开始</t>
        </is>
      </c>
      <c r="V140" s="106" t="n">
        <v>46307</v>
      </c>
      <c r="W140" s="106" t="n">
        <v>46339</v>
      </c>
      <c r="X140" s="43" t="inlineStr">
        <is>
          <t>袁丽荣</t>
        </is>
      </c>
      <c r="Y140" s="43" t="inlineStr">
        <is>
          <t>未开始</t>
        </is>
      </c>
      <c r="Z140" s="106" t="n">
        <v>46342</v>
      </c>
      <c r="AA140" s="106" t="n">
        <v>46353</v>
      </c>
      <c r="AB140" s="72">
        <f>(IF(M140="已完成",1,IF(M140="进行中",0.5,0))*15%+IF(Q140="已完成",1,IF(Q140="进行中",0.5,0))*35%+IF(U140="已完成",1,IF(U140="进行中",0.5,0))*30%+IF(Y140="已完成",1,IF(Y140="进行中",0.5,0))*20%)</f>
        <v/>
      </c>
      <c r="AC140" s="43">
        <f>IF(G140="已完成","正常",IF(OR(G140="暂停",G140="挂起"),"暂停",IF(J140="","日期缺失",IF(J140&lt;'项目驾驶舱'!$B$3,"已延期",IF(J140&lt;='项目驾驶舱'!$B$3+7,"临近到期","正常")))))</f>
        <v/>
      </c>
      <c r="AD140" s="43" t="inlineStr"/>
      <c r="AE140" s="44" t="inlineStr"/>
    </row>
    <row r="141" hidden="1" ht="17" customHeight="1" s="1">
      <c r="A141" s="41" t="inlineStr">
        <is>
          <t>T138</t>
        </is>
      </c>
      <c r="B141" s="43" t="inlineStr">
        <is>
          <t>移动端</t>
        </is>
      </c>
      <c r="C141" s="43" t="inlineStr">
        <is>
          <t>APP</t>
        </is>
      </c>
      <c r="D141" s="43" t="inlineStr">
        <is>
          <t>查询卸车流程</t>
        </is>
      </c>
      <c r="E141" s="43" t="inlineStr">
        <is>
          <t>/</t>
        </is>
      </c>
      <c r="F141" s="43" t="inlineStr">
        <is>
          <t>第二批次</t>
        </is>
      </c>
      <c r="G141" s="43">
        <f>IF(OR(M141="挂起",M141="暂停",Q141="挂起",Q141="暂停",U141="挂起",U141="暂停",Y141="挂起",Y141="暂停"),"暂停","已完成")</f>
        <v/>
      </c>
      <c r="H141" s="43">
        <f>IF(L141&lt;&gt;"",L141,IF(P141&lt;&gt;"",P141,IF(T141&lt;&gt;"",T141,X141)))</f>
        <v/>
      </c>
      <c r="I141" s="106">
        <f>IF(COUNT(N141,R141,V141,Z141)=0,"",MIN(N141,R141,V141,Z141))</f>
        <v/>
      </c>
      <c r="J141" s="106">
        <f>IF(ISNUMBER(K141),K141,IF(COUNT(O141,S141,W141,AA141)=0,"",MAX(O141,S141,W141,AA141)))</f>
        <v/>
      </c>
      <c r="K141" s="106" t="n">
        <v>46261</v>
      </c>
      <c r="L141" s="43" t="inlineStr">
        <is>
          <t>郑士旺</t>
        </is>
      </c>
      <c r="M141" s="43" t="inlineStr">
        <is>
          <t>已完成</t>
        </is>
      </c>
      <c r="N141" s="106" t="n">
        <v>46209</v>
      </c>
      <c r="O141" s="106" t="n">
        <v>46213</v>
      </c>
      <c r="P141" s="43" t="inlineStr">
        <is>
          <t>石军磊、刘凯</t>
        </is>
      </c>
      <c r="Q141" s="43" t="inlineStr">
        <is>
          <t>已完成</t>
        </is>
      </c>
      <c r="R141" s="106" t="n">
        <v>46230</v>
      </c>
      <c r="S141" s="106" t="n">
        <v>46262</v>
      </c>
      <c r="T141" s="43" t="inlineStr">
        <is>
          <t>贺航</t>
        </is>
      </c>
      <c r="U141" s="43" t="inlineStr">
        <is>
          <t>已完成</t>
        </is>
      </c>
      <c r="V141" s="106" t="n">
        <v>46230</v>
      </c>
      <c r="W141" s="106" t="n">
        <v>46262</v>
      </c>
      <c r="X141" s="43" t="inlineStr">
        <is>
          <t>袁丽荣</t>
        </is>
      </c>
      <c r="Y141" s="43" t="inlineStr">
        <is>
          <t>已完成</t>
        </is>
      </c>
      <c r="Z141" s="106" t="n">
        <v>46342</v>
      </c>
      <c r="AA141" s="106" t="n">
        <v>46353</v>
      </c>
      <c r="AB141" s="72">
        <f>(IF(M141="已完成",1,IF(M141="进行中",0.5,0))*15%+IF(Q141="已完成",1,IF(Q141="进行中",0.5,0))*35%+IF(U141="已完成",1,IF(U141="进行中",0.5,0))*30%+IF(Y141="已完成",1,IF(Y141="进行中",0.5,0))*20%)</f>
        <v/>
      </c>
      <c r="AC141" s="43">
        <f>IF(G141="已完成","正常",IF(OR(G141="暂停",G141="挂起"),"暂停",IF(J141="","日期缺失",IF(J141&lt;'项目驾驶舱'!$B$3,"已延期",IF(J141&lt;='项目驾驶舱'!$B$3+7,"临近到期","正常")))))</f>
        <v/>
      </c>
      <c r="AD141" s="43" t="inlineStr"/>
      <c r="AE141" s="44" t="inlineStr"/>
    </row>
    <row r="142" hidden="1" ht="17" customHeight="1" s="1">
      <c r="A142" s="41" t="inlineStr">
        <is>
          <t>T139</t>
        </is>
      </c>
      <c r="B142" s="43" t="inlineStr">
        <is>
          <t>移动端</t>
        </is>
      </c>
      <c r="C142" s="43" t="inlineStr">
        <is>
          <t>APP</t>
        </is>
      </c>
      <c r="D142" s="43" t="inlineStr">
        <is>
          <t>查询装船流程</t>
        </is>
      </c>
      <c r="E142" s="43" t="inlineStr">
        <is>
          <t>/</t>
        </is>
      </c>
      <c r="F142" s="43" t="inlineStr">
        <is>
          <t>第二批次</t>
        </is>
      </c>
      <c r="G142" s="43">
        <f>IF(OR(M142="挂起",M142="暂停",Q142="挂起",Q142="暂停",U142="挂起",U142="暂停",Y142="挂起",Y142="暂停"),"暂停","已完成")</f>
        <v/>
      </c>
      <c r="H142" s="43">
        <f>IF(L142&lt;&gt;"",L142,IF(P142&lt;&gt;"",P142,IF(T142&lt;&gt;"",T142,X142)))</f>
        <v/>
      </c>
      <c r="I142" s="106">
        <f>IF(COUNT(N142,R142,V142,Z142)=0,"",MIN(N142,R142,V142,Z142))</f>
        <v/>
      </c>
      <c r="J142" s="106">
        <f>IF(ISNUMBER(K142),K142,IF(COUNT(O142,S142,W142,AA142)=0,"",MAX(O142,S142,W142,AA142)))</f>
        <v/>
      </c>
      <c r="K142" s="106" t="n">
        <v>46261</v>
      </c>
      <c r="L142" s="43" t="inlineStr">
        <is>
          <t>郑士旺</t>
        </is>
      </c>
      <c r="M142" s="43" t="inlineStr">
        <is>
          <t>已完成</t>
        </is>
      </c>
      <c r="N142" s="106" t="n">
        <v>46209</v>
      </c>
      <c r="O142" s="106" t="n">
        <v>46213</v>
      </c>
      <c r="P142" s="43" t="inlineStr">
        <is>
          <t>石军磊、刘凯</t>
        </is>
      </c>
      <c r="Q142" s="43" t="inlineStr">
        <is>
          <t>已完成</t>
        </is>
      </c>
      <c r="R142" s="106" t="n">
        <v>46230</v>
      </c>
      <c r="S142" s="106" t="n">
        <v>46262</v>
      </c>
      <c r="T142" s="43" t="inlineStr">
        <is>
          <t>贺航</t>
        </is>
      </c>
      <c r="U142" s="43" t="inlineStr">
        <is>
          <t>已完成</t>
        </is>
      </c>
      <c r="V142" s="106" t="n">
        <v>46230</v>
      </c>
      <c r="W142" s="106" t="n">
        <v>46262</v>
      </c>
      <c r="X142" s="43" t="inlineStr">
        <is>
          <t>袁丽荣</t>
        </is>
      </c>
      <c r="Y142" s="43" t="inlineStr">
        <is>
          <t>已完成</t>
        </is>
      </c>
      <c r="Z142" s="106" t="n">
        <v>46342</v>
      </c>
      <c r="AA142" s="106" t="n">
        <v>46353</v>
      </c>
      <c r="AB142" s="72">
        <f>(IF(M142="已完成",1,IF(M142="进行中",0.5,0))*15%+IF(Q142="已完成",1,IF(Q142="进行中",0.5,0))*35%+IF(U142="已完成",1,IF(U142="进行中",0.5,0))*30%+IF(Y142="已完成",1,IF(Y142="进行中",0.5,0))*20%)</f>
        <v/>
      </c>
      <c r="AC142" s="43">
        <f>IF(G142="已完成","正常",IF(OR(G142="暂停",G142="挂起"),"暂停",IF(J142="","日期缺失",IF(J142&lt;'项目驾驶舱'!$B$3,"已延期",IF(J142&lt;='项目驾驶舱'!$B$3+7,"临近到期","正常")))))</f>
        <v/>
      </c>
      <c r="AD142" s="43" t="inlineStr"/>
      <c r="AE142" s="44" t="inlineStr"/>
    </row>
    <row r="143" hidden="1" ht="17" customHeight="1" s="1">
      <c r="A143" s="41" t="inlineStr">
        <is>
          <t>T140</t>
        </is>
      </c>
      <c r="B143" s="43" t="inlineStr">
        <is>
          <t>移动端</t>
        </is>
      </c>
      <c r="C143" s="43" t="inlineStr">
        <is>
          <t>APP</t>
        </is>
      </c>
      <c r="D143" s="43" t="inlineStr">
        <is>
          <t>查询卸船流程</t>
        </is>
      </c>
      <c r="E143" s="43" t="inlineStr">
        <is>
          <t>/</t>
        </is>
      </c>
      <c r="F143" s="43" t="inlineStr">
        <is>
          <t>第二批次</t>
        </is>
      </c>
      <c r="G143" s="43">
        <f>IF(OR(M143="挂起",M143="暂停",Q143="挂起",Q143="暂停",U143="挂起",U143="暂停",Y143="挂起",Y143="暂停"),"暂停","已完成")</f>
        <v/>
      </c>
      <c r="H143" s="43">
        <f>IF(L143&lt;&gt;"",L143,IF(P143&lt;&gt;"",P143,IF(T143&lt;&gt;"",T143,X143)))</f>
        <v/>
      </c>
      <c r="I143" s="106">
        <f>IF(COUNT(N143,R143,V143,Z143)=0,"",MIN(N143,R143,V143,Z143))</f>
        <v/>
      </c>
      <c r="J143" s="106">
        <f>IF(ISNUMBER(K143),K143,IF(COUNT(O143,S143,W143,AA143)=0,"",MAX(O143,S143,W143,AA143)))</f>
        <v/>
      </c>
      <c r="K143" s="106" t="n"/>
      <c r="L143" s="43" t="inlineStr">
        <is>
          <t>郑士旺</t>
        </is>
      </c>
      <c r="M143" s="43" t="inlineStr">
        <is>
          <t>已完成</t>
        </is>
      </c>
      <c r="N143" s="106" t="n">
        <v>46209</v>
      </c>
      <c r="O143" s="106" t="n">
        <v>46213</v>
      </c>
      <c r="P143" s="43" t="inlineStr">
        <is>
          <t>石军磊、刘凯</t>
        </is>
      </c>
      <c r="Q143" s="43" t="inlineStr">
        <is>
          <t>已完成</t>
        </is>
      </c>
      <c r="R143" s="106" t="n">
        <v>46230</v>
      </c>
      <c r="S143" s="106" t="n">
        <v>46262</v>
      </c>
      <c r="T143" s="43" t="inlineStr">
        <is>
          <t>贺航</t>
        </is>
      </c>
      <c r="U143" s="43" t="inlineStr">
        <is>
          <t>已完成</t>
        </is>
      </c>
      <c r="V143" s="106" t="n">
        <v>46230</v>
      </c>
      <c r="W143" s="106" t="n">
        <v>46262</v>
      </c>
      <c r="X143" s="43" t="inlineStr">
        <is>
          <t>袁丽荣</t>
        </is>
      </c>
      <c r="Y143" s="43" t="inlineStr">
        <is>
          <t>已完成</t>
        </is>
      </c>
      <c r="Z143" s="106" t="n">
        <v>46342</v>
      </c>
      <c r="AA143" s="106" t="n">
        <v>46353</v>
      </c>
      <c r="AB143" s="72">
        <f>(IF(M143="已完成",1,IF(M143="进行中",0.5,0))*15%+IF(Q143="已完成",1,IF(Q143="进行中",0.5,0))*35%+IF(U143="已完成",1,IF(U143="进行中",0.5,0))*30%+IF(Y143="已完成",1,IF(Y143="进行中",0.5,0))*20%)</f>
        <v/>
      </c>
      <c r="AC143" s="43">
        <f>IF(G143="已完成","正常",IF(OR(G143="暂停",G143="挂起"),"暂停",IF(J143="","日期缺失",IF(J143&lt;'项目驾驶舱'!$B$3,"已延期",IF(J143&lt;='项目驾驶舱'!$B$3+7,"临近到期","正常")))))</f>
        <v/>
      </c>
      <c r="AD143" s="43" t="inlineStr"/>
      <c r="AE143" s="44" t="inlineStr"/>
    </row>
    <row r="144" hidden="1" ht="17" customHeight="1" s="1">
      <c r="A144" s="41" t="inlineStr">
        <is>
          <t>T141</t>
        </is>
      </c>
      <c r="B144" s="43" t="inlineStr">
        <is>
          <t>移动端</t>
        </is>
      </c>
      <c r="C144" s="43" t="inlineStr">
        <is>
          <t>APP</t>
        </is>
      </c>
      <c r="D144" s="43" t="inlineStr">
        <is>
          <t>视频监控查询</t>
        </is>
      </c>
      <c r="E144" s="43" t="inlineStr">
        <is>
          <t>/</t>
        </is>
      </c>
      <c r="F144" s="43" t="inlineStr">
        <is>
          <t>第二批次</t>
        </is>
      </c>
      <c r="G144" s="43">
        <f>IF(OR(M144="挂起",M144="暂停",Q144="挂起",Q144="暂停",U144="挂起",U144="暂停",Y144="挂起",Y144="暂停"),"暂停","未开始")</f>
        <v/>
      </c>
      <c r="H144" s="43">
        <f>IF(L144&lt;&gt;"",L144,IF(P144&lt;&gt;"",P144,IF(T144&lt;&gt;"",T144,X144)))</f>
        <v/>
      </c>
      <c r="I144" s="106">
        <f>IF(COUNT(N144,R144,V144,Z144)=0,"",MIN(N144,R144,V144,Z144))</f>
        <v/>
      </c>
      <c r="J144" s="106">
        <f>IF(ISNUMBER(K144),K144,IF(COUNT(O144,S144,W144,AA144)=0,"",MAX(O144,S144,W144,AA144)))</f>
        <v/>
      </c>
      <c r="K144" s="106" t="n"/>
      <c r="L144" s="43" t="inlineStr">
        <is>
          <t>郑士旺</t>
        </is>
      </c>
      <c r="M144" s="43" t="inlineStr">
        <is>
          <t>未开始</t>
        </is>
      </c>
      <c r="N144" s="106" t="n">
        <v>46223</v>
      </c>
      <c r="O144" s="106" t="n">
        <v>46227</v>
      </c>
      <c r="P144" s="43" t="inlineStr">
        <is>
          <t>石军磊、刘凯</t>
        </is>
      </c>
      <c r="Q144" s="43" t="inlineStr">
        <is>
          <t>未开始</t>
        </is>
      </c>
      <c r="R144" s="106" t="n">
        <v>46272</v>
      </c>
      <c r="S144" s="106" t="n">
        <v>46304</v>
      </c>
      <c r="T144" s="43" t="inlineStr">
        <is>
          <t>贺航</t>
        </is>
      </c>
      <c r="U144" s="43" t="inlineStr">
        <is>
          <t>未开始</t>
        </is>
      </c>
      <c r="V144" s="106" t="n">
        <v>46272</v>
      </c>
      <c r="W144" s="106" t="n">
        <v>46304</v>
      </c>
      <c r="X144" s="43" t="inlineStr">
        <is>
          <t>袁丽荣</t>
        </is>
      </c>
      <c r="Y144" s="43" t="inlineStr">
        <is>
          <t>未开始</t>
        </is>
      </c>
      <c r="Z144" s="106" t="n">
        <v>46307</v>
      </c>
      <c r="AA144" s="106" t="n">
        <v>46318</v>
      </c>
      <c r="AB144" s="72">
        <f>(IF(M144="已完成",1,IF(M144="进行中",0.5,0))*15%+IF(Q144="已完成",1,IF(Q144="进行中",0.5,0))*35%+IF(U144="已完成",1,IF(U144="进行中",0.5,0))*30%+IF(Y144="已完成",1,IF(Y144="进行中",0.5,0))*20%)</f>
        <v/>
      </c>
      <c r="AC144" s="43">
        <f>IF(G144="已完成","正常",IF(OR(G144="暂停",G144="挂起"),"暂停",IF(J144="","日期缺失",IF(J144&lt;'项目驾驶舱'!$B$3,"已延期",IF(J144&lt;='项目驾驶舱'!$B$3+7,"临近到期","正常")))))</f>
        <v/>
      </c>
      <c r="AD144" s="43" t="inlineStr"/>
      <c r="AE144" s="44" t="inlineStr"/>
    </row>
    <row r="145" hidden="1" ht="17" customHeight="1" s="1">
      <c r="A145" s="41" t="inlineStr">
        <is>
          <t>T142</t>
        </is>
      </c>
      <c r="B145" s="43" t="inlineStr">
        <is>
          <t>移动端</t>
        </is>
      </c>
      <c r="C145" s="43" t="inlineStr">
        <is>
          <t>iHN+</t>
        </is>
      </c>
      <c r="D145" s="43" t="inlineStr">
        <is>
          <t>审批船舶靠泊通知单</t>
        </is>
      </c>
      <c r="E145" s="43" t="inlineStr">
        <is>
          <t>/</t>
        </is>
      </c>
      <c r="F145" s="43" t="inlineStr">
        <is>
          <t>第二批次</t>
        </is>
      </c>
      <c r="G145" s="43">
        <f>IF(OR(M145="挂起",M145="暂停",Q145="挂起",Q145="暂停",U145="挂起",U145="暂停",Y145="挂起",Y145="暂停"),"暂停","未开始")</f>
        <v/>
      </c>
      <c r="H145" s="43">
        <f>IF(L145&lt;&gt;"",L145,IF(P145&lt;&gt;"",P145,IF(T145&lt;&gt;"",T145,X145)))</f>
        <v/>
      </c>
      <c r="I145" s="106">
        <f>IF(COUNT(N145,R145,V145,Z145)=0,"",MIN(N145,R145,V145,Z145))</f>
        <v/>
      </c>
      <c r="J145" s="106">
        <f>IF(ISNUMBER(K145),K145,IF(COUNT(O145,S145,W145,AA145)=0,"",MAX(O145,S145,W145,AA145)))</f>
        <v/>
      </c>
      <c r="K145" s="106" t="n"/>
      <c r="L145" s="43" t="inlineStr">
        <is>
          <t>郑士旺</t>
        </is>
      </c>
      <c r="M145" s="43" t="inlineStr">
        <is>
          <t>未开始</t>
        </is>
      </c>
      <c r="N145" s="106" t="n">
        <v>46230</v>
      </c>
      <c r="O145" s="106" t="n">
        <v>46241</v>
      </c>
      <c r="P145" s="43" t="inlineStr">
        <is>
          <t>石军磊、刘凯</t>
        </is>
      </c>
      <c r="Q145" s="43" t="inlineStr">
        <is>
          <t>未开始</t>
        </is>
      </c>
      <c r="R145" s="106" t="n">
        <v>46307</v>
      </c>
      <c r="S145" s="106" t="n">
        <v>46339</v>
      </c>
      <c r="T145" s="43" t="inlineStr">
        <is>
          <t>贺航</t>
        </is>
      </c>
      <c r="U145" s="43" t="inlineStr">
        <is>
          <t>未开始</t>
        </is>
      </c>
      <c r="V145" s="106" t="n">
        <v>46307</v>
      </c>
      <c r="W145" s="106" t="n">
        <v>46339</v>
      </c>
      <c r="X145" s="43" t="inlineStr">
        <is>
          <t>袁丽荣</t>
        </is>
      </c>
      <c r="Y145" s="43" t="inlineStr">
        <is>
          <t>未开始</t>
        </is>
      </c>
      <c r="Z145" s="106" t="n">
        <v>46342</v>
      </c>
      <c r="AA145" s="106" t="n">
        <v>46353</v>
      </c>
      <c r="AB145" s="72">
        <f>(IF(M145="已完成",1,IF(M145="进行中",0.5,0))*15%+IF(Q145="已完成",1,IF(Q145="进行中",0.5,0))*35%+IF(U145="已完成",1,IF(U145="进行中",0.5,0))*30%+IF(Y145="已完成",1,IF(Y145="进行中",0.5,0))*20%)</f>
        <v/>
      </c>
      <c r="AC145" s="43">
        <f>IF(G145="已完成","正常",IF(OR(G145="暂停",G145="挂起"),"暂停",IF(J145="","日期缺失",IF(J145&lt;'项目驾驶舱'!$B$3,"已延期",IF(J145&lt;='项目驾驶舱'!$B$3+7,"临近到期","正常")))))</f>
        <v/>
      </c>
      <c r="AD145" s="43" t="inlineStr"/>
      <c r="AE145" s="44" t="inlineStr"/>
    </row>
    <row r="146" hidden="1" ht="17" customHeight="1" s="1">
      <c r="A146" s="41" t="inlineStr">
        <is>
          <t>T143</t>
        </is>
      </c>
      <c r="B146" s="43" t="inlineStr">
        <is>
          <t>移动端</t>
        </is>
      </c>
      <c r="C146" s="43" t="inlineStr">
        <is>
          <t>iHN+</t>
        </is>
      </c>
      <c r="D146" s="43" t="inlineStr">
        <is>
          <t>卸车流程跟踪</t>
        </is>
      </c>
      <c r="E146" s="43" t="inlineStr">
        <is>
          <t>图片上传</t>
        </is>
      </c>
      <c r="F146" s="43" t="inlineStr">
        <is>
          <t>第一批次</t>
        </is>
      </c>
      <c r="G146" s="43">
        <f>IF(OR(M146="挂起",M146="暂停",Q146="挂起",Q146="暂停",U146="挂起",U146="暂停",Y146="挂起",Y146="暂停"),"暂停","已完成")</f>
        <v/>
      </c>
      <c r="H146" s="43">
        <f>IF(L146&lt;&gt;"",L146,IF(P146&lt;&gt;"",P146,IF(T146&lt;&gt;"",T146,X146)))</f>
        <v/>
      </c>
      <c r="I146" s="106">
        <f>IF(COUNT(N146,R146,V146,Z146)=0,"",MIN(N146,R146,V146,Z146))</f>
        <v/>
      </c>
      <c r="J146" s="106">
        <f>IF(ISNUMBER(K146),K146,IF(COUNT(O146,S146,W146,AA146)=0,"",MAX(O146,S146,W146,AA146)))</f>
        <v/>
      </c>
      <c r="K146" s="106" t="n">
        <v>46261</v>
      </c>
      <c r="L146" s="43" t="inlineStr">
        <is>
          <t>郑士旺</t>
        </is>
      </c>
      <c r="M146" s="43" t="inlineStr">
        <is>
          <t>已完成</t>
        </is>
      </c>
      <c r="N146" s="106" t="n">
        <v>46209</v>
      </c>
      <c r="O146" s="106" t="n">
        <v>46213</v>
      </c>
      <c r="P146" s="43" t="inlineStr">
        <is>
          <t>石军磊、刘凯</t>
        </is>
      </c>
      <c r="Q146" s="43" t="inlineStr">
        <is>
          <t>已完成</t>
        </is>
      </c>
      <c r="R146" s="106" t="n">
        <v>46237</v>
      </c>
      <c r="S146" s="106" t="n">
        <v>46252</v>
      </c>
      <c r="T146" s="43" t="inlineStr">
        <is>
          <t>贺航</t>
        </is>
      </c>
      <c r="U146" s="43" t="inlineStr">
        <is>
          <t>已完成</t>
        </is>
      </c>
      <c r="V146" s="106" t="n">
        <v>46237</v>
      </c>
      <c r="W146" s="106" t="n">
        <v>46252</v>
      </c>
      <c r="X146" s="43" t="inlineStr">
        <is>
          <t>袁丽荣</t>
        </is>
      </c>
      <c r="Y146" s="43" t="inlineStr">
        <is>
          <t>已完成</t>
        </is>
      </c>
      <c r="Z146" s="106" t="n">
        <v>46251</v>
      </c>
      <c r="AA146" s="106" t="n">
        <v>46269</v>
      </c>
      <c r="AB146" s="72">
        <f>(IF(M146="已完成",1,IF(M146="进行中",0.5,0))*15%+IF(Q146="已完成",1,IF(Q146="进行中",0.5,0))*35%+IF(U146="已完成",1,IF(U146="进行中",0.5,0))*30%+IF(Y146="已完成",1,IF(Y146="进行中",0.5,0))*20%)</f>
        <v/>
      </c>
      <c r="AC146" s="43">
        <f>IF(G146="已完成","正常",IF(OR(G146="暂停",G146="挂起"),"暂停",IF(J146="","日期缺失",IF(J146&lt;'项目驾驶舱'!$B$3,"已延期",IF(J146&lt;='项目驾驶舱'!$B$3+7,"临近到期","正常")))))</f>
        <v/>
      </c>
      <c r="AD146" s="43" t="inlineStr"/>
      <c r="AE146" s="44" t="inlineStr"/>
    </row>
    <row r="147" hidden="1" ht="17" customHeight="1" s="1">
      <c r="A147" s="41" t="inlineStr">
        <is>
          <t>T144</t>
        </is>
      </c>
      <c r="B147" s="43" t="inlineStr">
        <is>
          <t>移动端</t>
        </is>
      </c>
      <c r="C147" s="43" t="inlineStr">
        <is>
          <t>iHN+</t>
        </is>
      </c>
      <c r="D147" s="43" t="inlineStr">
        <is>
          <t>装船流程跟踪</t>
        </is>
      </c>
      <c r="E147" s="43" t="inlineStr">
        <is>
          <t>图片上传</t>
        </is>
      </c>
      <c r="F147" s="43" t="inlineStr">
        <is>
          <t>第一批次</t>
        </is>
      </c>
      <c r="G147" s="43">
        <f>IF(OR(M147="挂起",M147="暂停",Q147="挂起",Q147="暂停",U147="挂起",U147="暂停",Y147="挂起",Y147="暂停"),"暂停","已完成")</f>
        <v/>
      </c>
      <c r="H147" s="43">
        <f>IF(L147&lt;&gt;"",L147,IF(P147&lt;&gt;"",P147,IF(T147&lt;&gt;"",T147,X147)))</f>
        <v/>
      </c>
      <c r="I147" s="106">
        <f>IF(COUNT(N147,R147,V147,Z147)=0,"",MIN(N147,R147,V147,Z147))</f>
        <v/>
      </c>
      <c r="J147" s="106">
        <f>IF(ISNUMBER(K147),K147,IF(COUNT(O147,S147,W147,AA147)=0,"",MAX(O147,S147,W147,AA147)))</f>
        <v/>
      </c>
      <c r="K147" s="106" t="n">
        <v>46261</v>
      </c>
      <c r="L147" s="43" t="inlineStr">
        <is>
          <t>郑士旺</t>
        </is>
      </c>
      <c r="M147" s="43" t="inlineStr">
        <is>
          <t>已完成</t>
        </is>
      </c>
      <c r="N147" s="106" t="n">
        <v>46209</v>
      </c>
      <c r="O147" s="106" t="n">
        <v>46213</v>
      </c>
      <c r="P147" s="43" t="inlineStr">
        <is>
          <t>石军磊、刘凯</t>
        </is>
      </c>
      <c r="Q147" s="43" t="inlineStr">
        <is>
          <t>已完成</t>
        </is>
      </c>
      <c r="R147" s="106" t="n">
        <v>46237</v>
      </c>
      <c r="S147" s="106" t="n">
        <v>46252</v>
      </c>
      <c r="T147" s="43" t="inlineStr">
        <is>
          <t>贺航</t>
        </is>
      </c>
      <c r="U147" s="43" t="inlineStr">
        <is>
          <t>已完成</t>
        </is>
      </c>
      <c r="V147" s="106" t="n">
        <v>46237</v>
      </c>
      <c r="W147" s="106" t="n">
        <v>46252</v>
      </c>
      <c r="X147" s="43" t="inlineStr">
        <is>
          <t>袁丽荣</t>
        </is>
      </c>
      <c r="Y147" s="43" t="inlineStr">
        <is>
          <t>已完成</t>
        </is>
      </c>
      <c r="Z147" s="106" t="n">
        <v>46251</v>
      </c>
      <c r="AA147" s="106" t="n">
        <v>46269</v>
      </c>
      <c r="AB147" s="72">
        <f>(IF(M147="已完成",1,IF(M147="进行中",0.5,0))*15%+IF(Q147="已完成",1,IF(Q147="进行中",0.5,0))*35%+IF(U147="已完成",1,IF(U147="进行中",0.5,0))*30%+IF(Y147="已完成",1,IF(Y147="进行中",0.5,0))*20%)</f>
        <v/>
      </c>
      <c r="AC147" s="43">
        <f>IF(G147="已完成","正常",IF(OR(G147="暂停",G147="挂起"),"暂停",IF(J147="","日期缺失",IF(J147&lt;'项目驾驶舱'!$B$3,"已延期",IF(J147&lt;='项目驾驶舱'!$B$3+7,"临近到期","正常")))))</f>
        <v/>
      </c>
      <c r="AD147" s="43" t="inlineStr"/>
      <c r="AE147" s="44" t="inlineStr"/>
    </row>
    <row r="148" hidden="1" ht="17" customHeight="1" s="1">
      <c r="A148" s="41" t="inlineStr">
        <is>
          <t>T145</t>
        </is>
      </c>
      <c r="B148" s="43" t="inlineStr">
        <is>
          <t>移动端</t>
        </is>
      </c>
      <c r="C148" s="43" t="inlineStr">
        <is>
          <t>iHN+</t>
        </is>
      </c>
      <c r="D148" s="43" t="inlineStr">
        <is>
          <t>卸船流程跟踪</t>
        </is>
      </c>
      <c r="E148" s="43" t="inlineStr">
        <is>
          <t>图片上传</t>
        </is>
      </c>
      <c r="F148" s="43" t="inlineStr">
        <is>
          <t>第二批次</t>
        </is>
      </c>
      <c r="G148" s="43">
        <f>IF(OR(M148="挂起",M148="暂停",Q148="挂起",Q148="暂停",U148="挂起",U148="暂停",Y148="挂起",Y148="暂停"),"暂停","已完成")</f>
        <v/>
      </c>
      <c r="H148" s="43">
        <f>IF(L148&lt;&gt;"",L148,IF(P148&lt;&gt;"",P148,IF(T148&lt;&gt;"",T148,X148)))</f>
        <v/>
      </c>
      <c r="I148" s="106">
        <f>IF(COUNT(N148,R148,V148,Z148)=0,"",MIN(N148,R148,V148,Z148))</f>
        <v/>
      </c>
      <c r="J148" s="106">
        <f>IF(ISNUMBER(K148),K148,IF(COUNT(O148,S148,W148,AA148)=0,"",MAX(O148,S148,W148,AA148)))</f>
        <v/>
      </c>
      <c r="K148" s="106" t="n"/>
      <c r="L148" s="43" t="inlineStr">
        <is>
          <t>郑士旺</t>
        </is>
      </c>
      <c r="M148" s="43" t="inlineStr">
        <is>
          <t>已完成</t>
        </is>
      </c>
      <c r="N148" s="106" t="n">
        <v>46209</v>
      </c>
      <c r="O148" s="106" t="n">
        <v>46213</v>
      </c>
      <c r="P148" s="43" t="inlineStr">
        <is>
          <t>石军磊、刘凯</t>
        </is>
      </c>
      <c r="Q148" s="43" t="inlineStr">
        <is>
          <t>已完成</t>
        </is>
      </c>
      <c r="R148" s="106" t="n">
        <v>46237</v>
      </c>
      <c r="S148" s="106" t="n">
        <v>46252</v>
      </c>
      <c r="T148" s="43" t="inlineStr">
        <is>
          <t>贺航</t>
        </is>
      </c>
      <c r="U148" s="43" t="inlineStr">
        <is>
          <t>已完成</t>
        </is>
      </c>
      <c r="V148" s="106" t="n">
        <v>46237</v>
      </c>
      <c r="W148" s="106" t="n">
        <v>46252</v>
      </c>
      <c r="X148" s="43" t="inlineStr">
        <is>
          <t>袁丽荣</t>
        </is>
      </c>
      <c r="Y148" s="43" t="inlineStr">
        <is>
          <t>已完成</t>
        </is>
      </c>
      <c r="Z148" s="106" t="n">
        <v>46251</v>
      </c>
      <c r="AA148" s="106" t="n">
        <v>46269</v>
      </c>
      <c r="AB148" s="72">
        <f>(IF(M148="已完成",1,IF(M148="进行中",0.5,0))*15%+IF(Q148="已完成",1,IF(Q148="进行中",0.5,0))*35%+IF(U148="已完成",1,IF(U148="进行中",0.5,0))*30%+IF(Y148="已完成",1,IF(Y148="进行中",0.5,0))*20%)</f>
        <v/>
      </c>
      <c r="AC148" s="43">
        <f>IF(G148="已完成","正常",IF(OR(G148="暂停",G148="挂起"),"暂停",IF(J148="","日期缺失",IF(J148&lt;'项目驾驶舱'!$B$3,"已延期",IF(J148&lt;='项目驾驶舱'!$B$3+7,"临近到期","正常")))))</f>
        <v/>
      </c>
      <c r="AD148" s="43" t="n"/>
      <c r="AE148" s="44" t="n"/>
    </row>
  </sheetData>
  <autoFilter ref="A3:AE148">
    <filterColumn colId="6" hiddenButton="0" showButton="1">
      <filters>
        <filter val="进行中"/>
      </filters>
    </filterColumn>
  </autoFilter>
  <mergeCells count="2">
    <mergeCell ref="A1:AE1"/>
    <mergeCell ref="A2:AE2"/>
  </mergeCells>
  <conditionalFormatting sqref="G4:G132">
    <cfRule type="containsText" priority="1" operator="between" dxfId="0" text="已完成">
      <formula>NOT(ISERROR(SEARCH("已完成",G4)))</formula>
    </cfRule>
    <cfRule type="containsText" priority="2" operator="between" dxfId="1" text="进行中">
      <formula>NOT(ISERROR(SEARCH("进行中",G4)))</formula>
    </cfRule>
    <cfRule type="containsText" priority="3" operator="between" dxfId="2" text="未开始">
      <formula>NOT(ISERROR(SEARCH("未开始",G4)))</formula>
    </cfRule>
    <cfRule type="containsText" priority="4" operator="between" dxfId="3" text="暂停">
      <formula>NOT(ISERROR(SEARCH("暂停",G4)))</formula>
    </cfRule>
  </conditionalFormatting>
  <conditionalFormatting sqref="M4:M132">
    <cfRule type="containsText" priority="5" operator="between" dxfId="0" text="已完成">
      <formula>NOT(ISERROR(SEARCH("已完成",M4)))</formula>
    </cfRule>
    <cfRule type="containsText" priority="6" operator="between" dxfId="1" text="进行中">
      <formula>NOT(ISERROR(SEARCH("进行中",M4)))</formula>
    </cfRule>
    <cfRule type="containsText" priority="7" operator="between" dxfId="2" text="未开始">
      <formula>NOT(ISERROR(SEARCH("未开始",M4)))</formula>
    </cfRule>
    <cfRule type="containsText" priority="8" operator="between" dxfId="3" text="暂停">
      <formula>NOT(ISERROR(SEARCH("暂停",M4)))</formula>
    </cfRule>
  </conditionalFormatting>
  <conditionalFormatting sqref="Q4:Q132">
    <cfRule type="containsText" priority="9" operator="between" dxfId="0" text="已完成">
      <formula>NOT(ISERROR(SEARCH("已完成",Q4)))</formula>
    </cfRule>
    <cfRule type="containsText" priority="10" operator="between" dxfId="1" text="进行中">
      <formula>NOT(ISERROR(SEARCH("进行中",Q4)))</formula>
    </cfRule>
    <cfRule type="containsText" priority="11" operator="between" dxfId="2" text="未开始">
      <formula>NOT(ISERROR(SEARCH("未开始",Q4)))</formula>
    </cfRule>
    <cfRule type="containsText" priority="12" operator="between" dxfId="3" text="暂停">
      <formula>NOT(ISERROR(SEARCH("暂停",Q4)))</formula>
    </cfRule>
  </conditionalFormatting>
  <conditionalFormatting sqref="U4:U132">
    <cfRule type="containsText" priority="13" operator="between" dxfId="0" text="已完成">
      <formula>NOT(ISERROR(SEARCH("已完成",U4)))</formula>
    </cfRule>
    <cfRule type="containsText" priority="14" operator="between" dxfId="1" text="进行中">
      <formula>NOT(ISERROR(SEARCH("进行中",U4)))</formula>
    </cfRule>
    <cfRule type="containsText" priority="15" operator="between" dxfId="2" text="未开始">
      <formula>NOT(ISERROR(SEARCH("未开始",U4)))</formula>
    </cfRule>
    <cfRule type="containsText" priority="16" operator="between" dxfId="3" text="暂停">
      <formula>NOT(ISERROR(SEARCH("暂停",U4)))</formula>
    </cfRule>
  </conditionalFormatting>
  <conditionalFormatting sqref="Y4:Y132">
    <cfRule type="containsText" priority="17" operator="between" dxfId="0" text="已完成">
      <formula>NOT(ISERROR(SEARCH("已完成",Y4)))</formula>
    </cfRule>
    <cfRule type="containsText" priority="18" operator="between" dxfId="1" text="进行中">
      <formula>NOT(ISERROR(SEARCH("进行中",Y4)))</formula>
    </cfRule>
    <cfRule type="containsText" priority="19" operator="between" dxfId="2" text="未开始">
      <formula>NOT(ISERROR(SEARCH("未开始",Y4)))</formula>
    </cfRule>
    <cfRule type="containsText" priority="20" operator="between" dxfId="3" text="暂停">
      <formula>NOT(ISERROR(SEARCH("暂停",Y4)))</formula>
    </cfRule>
  </conditionalFormatting>
  <conditionalFormatting sqref="AB4:AB132">
    <cfRule type="dataBar" priority="23">
      <dataBar>
        <cfvo type="min"/>
        <cfvo type="max"/>
        <color rgb="FF70AD47"/>
      </dataBar>
    </cfRule>
  </conditionalFormatting>
  <conditionalFormatting sqref="AC4:AC132">
    <cfRule type="containsText" priority="21" operator="between" dxfId="4" text="已延期">
      <formula>NOT(ISERROR(SEARCH("已延期",AC4)))</formula>
    </cfRule>
    <cfRule type="containsText" priority="22" operator="between" dxfId="1" text="临近到期">
      <formula>NOT(ISERROR(SEARCH("临近到期",AC4)))</formula>
    </cfRule>
  </conditionalFormatting>
  <dataValidations count="1">
    <dataValidation sqref="G4:G132 M4:M132 Q4:Q132 U4:U132 Y4:Y132" showDropDown="0" showInputMessage="0" showErrorMessage="0" allowBlank="0" type="list">
      <formula1>"未开始,进行中,已完成,暂停"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selection activeCell="D4" sqref="D4"/>
    </sheetView>
  </sheetViews>
  <sheetFormatPr baseColWidth="8" defaultColWidth="9" defaultRowHeight="16.8"/>
  <cols>
    <col width="11" customWidth="1" style="1" min="1" max="1"/>
    <col width="25" customWidth="1" style="1" min="2" max="2"/>
    <col width="12" customWidth="1" style="1" min="3" max="3"/>
    <col width="36" customWidth="1" style="1" min="4" max="4"/>
    <col width="15" customWidth="1" style="1" min="5" max="5"/>
    <col width="13" customWidth="1" style="1" min="6" max="6"/>
    <col width="11" customWidth="1" style="1" min="7" max="7"/>
    <col width="13" customWidth="1" style="1" min="8" max="8"/>
    <col width="11" customWidth="1" style="1" min="9" max="9"/>
    <col width="10" customWidth="1" style="1" min="10" max="10"/>
    <col width="26" customWidth="1" style="1" min="11" max="11"/>
  </cols>
  <sheetData>
    <row r="1" ht="34" customHeight="1" s="1">
      <c r="A1" s="29" t="inlineStr">
        <is>
          <t>里程碑计划与阶段门管理</t>
        </is>
      </c>
    </row>
    <row r="3" ht="30" customHeight="1" s="1">
      <c r="A3" s="32" t="inlineStr">
        <is>
          <t>里程碑ID</t>
        </is>
      </c>
      <c r="B3" s="32" t="inlineStr">
        <is>
          <t>里程碑名称</t>
        </is>
      </c>
      <c r="C3" s="32" t="inlineStr">
        <is>
          <t>批次</t>
        </is>
      </c>
      <c r="D3" s="32" t="inlineStr">
        <is>
          <t>验收/完成标准</t>
        </is>
      </c>
      <c r="E3" s="32" t="inlineStr">
        <is>
          <t>责任人</t>
        </is>
      </c>
      <c r="F3" s="32" t="inlineStr">
        <is>
          <t>计划日期</t>
        </is>
      </c>
      <c r="G3" s="32" t="inlineStr">
        <is>
          <t>状态</t>
        </is>
      </c>
      <c r="H3" s="32" t="inlineStr">
        <is>
          <t>实际日期</t>
        </is>
      </c>
      <c r="I3" s="32" t="inlineStr">
        <is>
          <t>偏差天数</t>
        </is>
      </c>
      <c r="J3" s="32" t="inlineStr">
        <is>
          <t>健康度</t>
        </is>
      </c>
      <c r="K3" s="32" t="inlineStr">
        <is>
          <t>说明</t>
        </is>
      </c>
    </row>
    <row r="4" ht="17" customHeight="1" s="1">
      <c r="A4" s="33" t="inlineStr">
        <is>
          <t>M01</t>
        </is>
      </c>
      <c r="B4" s="35" t="inlineStr">
        <is>
          <t>第一批次业务设计完成</t>
        </is>
      </c>
      <c r="C4" s="35" t="inlineStr">
        <is>
          <t>第一批次</t>
        </is>
      </c>
      <c r="D4" s="35" t="inlineStr">
        <is>
          <t>第一批次业务设计状态全部完成</t>
        </is>
      </c>
      <c r="E4" s="35" t="inlineStr">
        <is>
          <t>郑士旺</t>
        </is>
      </c>
      <c r="F4" s="107" t="n">
        <v>46241</v>
      </c>
      <c r="G4" s="35" t="inlineStr">
        <is>
          <t>未开始</t>
        </is>
      </c>
      <c r="H4" s="107" t="n"/>
      <c r="I4" s="35">
        <f>IF(H4&lt;&gt;"",H4-F4,MAX(0,项目驾驶舱!$B$3-F4))</f>
        <v/>
      </c>
      <c r="J4" s="35">
        <f>IF(G4="已完成","绿",IF(F4&lt;项目驾驶舱!$B$3,"红",IF(F4&lt;=项目驾驶舱!$B$3+7,"黄","绿")))</f>
        <v/>
      </c>
      <c r="K4" s="36" t="inlineStr"/>
    </row>
    <row r="5" ht="17" customHeight="1" s="1">
      <c r="A5" s="37" t="inlineStr">
        <is>
          <t>M02</t>
        </is>
      </c>
      <c r="B5" s="39" t="inlineStr">
        <is>
          <t>第一批次前后端开发完成</t>
        </is>
      </c>
      <c r="C5" s="39" t="inlineStr">
        <is>
          <t>第一批次</t>
        </is>
      </c>
      <c r="D5" s="39" t="inlineStr">
        <is>
          <t>第一批次前端、后端状态全部完成</t>
        </is>
      </c>
      <c r="E5" s="39" t="inlineStr">
        <is>
          <t>开发组</t>
        </is>
      </c>
      <c r="F5" s="108" t="n">
        <v>46262</v>
      </c>
      <c r="G5" s="39" t="inlineStr">
        <is>
          <t>未开始</t>
        </is>
      </c>
      <c r="H5" s="108" t="n"/>
      <c r="I5" s="39">
        <f>IF(H5&lt;&gt;"",H5-F5,MAX(0,项目驾驶舱!$B$3-F5))</f>
        <v/>
      </c>
      <c r="J5" s="39">
        <f>IF(G5="已完成","绿",IF(F5&lt;项目驾驶舱!$B$3,"红",IF(F5&lt;=项目驾驶舱!$B$3+7,"黄","绿")))</f>
        <v/>
      </c>
      <c r="K5" s="40" t="inlineStr"/>
    </row>
    <row r="6" ht="17" customHeight="1" s="1">
      <c r="A6" s="37" t="inlineStr">
        <is>
          <t>M03</t>
        </is>
      </c>
      <c r="B6" s="39" t="inlineStr">
        <is>
          <t>第一批次测试完成</t>
        </is>
      </c>
      <c r="C6" s="39" t="inlineStr">
        <is>
          <t>第一批次</t>
        </is>
      </c>
      <c r="D6" s="39" t="inlineStr">
        <is>
          <t>第一批次测试状态全部完成且无阻断缺陷</t>
        </is>
      </c>
      <c r="E6" s="39" t="inlineStr">
        <is>
          <t>袁丽荣</t>
        </is>
      </c>
      <c r="F6" s="108" t="n">
        <v>46318</v>
      </c>
      <c r="G6" s="39" t="inlineStr">
        <is>
          <t>未开始</t>
        </is>
      </c>
      <c r="H6" s="108" t="n"/>
      <c r="I6" s="39">
        <f>IF(H6&lt;&gt;"",H6-F6,MAX(0,项目驾驶舱!$B$3-F6))</f>
        <v/>
      </c>
      <c r="J6" s="39">
        <f>IF(G6="已完成","绿",IF(F6&lt;项目驾驶舱!$B$3,"红",IF(F6&lt;=项目驾驶舱!$B$3+7,"黄","绿")))</f>
        <v/>
      </c>
      <c r="K6" s="40" t="inlineStr"/>
    </row>
    <row r="7" ht="17" customHeight="1" s="1">
      <c r="A7" s="37" t="inlineStr">
        <is>
          <t>M04</t>
        </is>
      </c>
      <c r="B7" s="39" t="inlineStr">
        <is>
          <t>第一批次上线</t>
        </is>
      </c>
      <c r="C7" s="39" t="inlineStr">
        <is>
          <t>第一批次</t>
        </is>
      </c>
      <c r="D7" s="39" t="inlineStr">
        <is>
          <t>完成上线审批、部署及回归验证</t>
        </is>
      </c>
      <c r="E7" s="39" t="inlineStr">
        <is>
          <t>项目经理</t>
        </is>
      </c>
      <c r="F7" s="108" t="n">
        <v>46261</v>
      </c>
      <c r="G7" s="39" t="inlineStr">
        <is>
          <t>未开始</t>
        </is>
      </c>
      <c r="H7" s="108" t="n"/>
      <c r="I7" s="39">
        <f>IF(H7&lt;&gt;"",H7-F7,MAX(0,项目驾驶舱!$B$3-F7))</f>
        <v/>
      </c>
      <c r="J7" s="39">
        <f>IF(G7="已完成","绿",IF(F7&lt;项目驾驶舱!$B$3,"红",IF(F7&lt;=项目驾驶舱!$B$3+7,"黄","绿")))</f>
        <v/>
      </c>
      <c r="K7" s="40" t="inlineStr"/>
    </row>
    <row r="8" ht="17" customHeight="1" s="1">
      <c r="A8" s="37" t="inlineStr">
        <is>
          <t>M05</t>
        </is>
      </c>
      <c r="B8" s="39" t="inlineStr">
        <is>
          <t>第二批次业务设计完成</t>
        </is>
      </c>
      <c r="C8" s="39" t="inlineStr">
        <is>
          <t>第二批次</t>
        </is>
      </c>
      <c r="D8" s="39" t="inlineStr">
        <is>
          <t>第二批次业务设计状态全部完成</t>
        </is>
      </c>
      <c r="E8" s="39" t="inlineStr">
        <is>
          <t>郑士旺</t>
        </is>
      </c>
      <c r="F8" s="108" t="n">
        <v>46241</v>
      </c>
      <c r="G8" s="39" t="inlineStr">
        <is>
          <t>未开始</t>
        </is>
      </c>
      <c r="H8" s="108" t="n"/>
      <c r="I8" s="39">
        <f>IF(H8&lt;&gt;"",H8-F8,MAX(0,项目驾驶舱!$B$3-F8))</f>
        <v/>
      </c>
      <c r="J8" s="39">
        <f>IF(G8="已完成","绿",IF(F8&lt;项目驾驶舱!$B$3,"红",IF(F8&lt;=项目驾驶舱!$B$3+7,"黄","绿")))</f>
        <v/>
      </c>
      <c r="K8" s="40" t="inlineStr"/>
    </row>
    <row r="9" ht="17" customHeight="1" s="1">
      <c r="A9" s="37" t="inlineStr">
        <is>
          <t>M06</t>
        </is>
      </c>
      <c r="B9" s="39" t="inlineStr">
        <is>
          <t>第二批次前后端开发完成</t>
        </is>
      </c>
      <c r="C9" s="39" t="inlineStr">
        <is>
          <t>第二批次</t>
        </is>
      </c>
      <c r="D9" s="39" t="inlineStr">
        <is>
          <t>第二批次前端、后端状态全部完成</t>
        </is>
      </c>
      <c r="E9" s="39" t="inlineStr">
        <is>
          <t>开发组</t>
        </is>
      </c>
      <c r="F9" s="108" t="n">
        <v>46339</v>
      </c>
      <c r="G9" s="39" t="inlineStr">
        <is>
          <t>未开始</t>
        </is>
      </c>
      <c r="H9" s="108" t="n"/>
      <c r="I9" s="39">
        <f>IF(H9&lt;&gt;"",H9-F9,MAX(0,项目驾驶舱!$B$3-F9))</f>
        <v/>
      </c>
      <c r="J9" s="39">
        <f>IF(G9="已完成","绿",IF(F9&lt;项目驾驶舱!$B$3,"红",IF(F9&lt;=项目驾驶舱!$B$3+7,"黄","绿")))</f>
        <v/>
      </c>
      <c r="K9" s="40" t="inlineStr"/>
    </row>
    <row r="10" ht="17" customHeight="1" s="1">
      <c r="A10" s="37" t="inlineStr">
        <is>
          <t>M07</t>
        </is>
      </c>
      <c r="B10" s="39" t="inlineStr">
        <is>
          <t>第二批次测试完成</t>
        </is>
      </c>
      <c r="C10" s="39" t="inlineStr">
        <is>
          <t>第二批次</t>
        </is>
      </c>
      <c r="D10" s="39" t="inlineStr">
        <is>
          <t>第二批次测试状态全部完成且无阻断缺陷</t>
        </is>
      </c>
      <c r="E10" s="39" t="inlineStr">
        <is>
          <t>袁丽荣</t>
        </is>
      </c>
      <c r="F10" s="108" t="n">
        <v>46353</v>
      </c>
      <c r="G10" s="39" t="inlineStr">
        <is>
          <t>未开始</t>
        </is>
      </c>
      <c r="H10" s="108" t="n"/>
      <c r="I10" s="39">
        <f>IF(H10&lt;&gt;"",H10-F10,MAX(0,项目驾驶舱!$B$3-F10))</f>
        <v/>
      </c>
      <c r="J10" s="39">
        <f>IF(G10="已完成","绿",IF(F10&lt;项目驾驶舱!$B$3,"红",IF(F10&lt;=项目驾驶舱!$B$3+7,"黄","绿")))</f>
        <v/>
      </c>
      <c r="K10" s="40" t="inlineStr"/>
    </row>
    <row r="11" ht="17" customHeight="1" s="1">
      <c r="A11" s="37" t="inlineStr">
        <is>
          <t>M08</t>
        </is>
      </c>
      <c r="B11" s="39" t="inlineStr">
        <is>
          <t>第二批次上线</t>
        </is>
      </c>
      <c r="C11" s="39" t="inlineStr">
        <is>
          <t>第二批次</t>
        </is>
      </c>
      <c r="D11" s="39" t="inlineStr">
        <is>
          <t>完成上线审批、部署及回归验证</t>
        </is>
      </c>
      <c r="E11" s="39" t="inlineStr">
        <is>
          <t>项目经理</t>
        </is>
      </c>
      <c r="F11" s="108" t="n">
        <v>46261</v>
      </c>
      <c r="G11" s="39" t="inlineStr">
        <is>
          <t>未开始</t>
        </is>
      </c>
      <c r="H11" s="108" t="n"/>
      <c r="I11" s="39">
        <f>IF(H11&lt;&gt;"",H11-F11,MAX(0,项目驾驶舱!$B$3-F11))</f>
        <v/>
      </c>
      <c r="J11" s="39">
        <f>IF(G11="已完成","绿",IF(F11&lt;项目驾驶舱!$B$3,"红",IF(F11&lt;=项目驾驶舱!$B$3+7,"黄","绿")))</f>
        <v/>
      </c>
      <c r="K11" s="40" t="inlineStr"/>
    </row>
    <row r="12" ht="17" customHeight="1" s="1">
      <c r="A12" s="37" t="inlineStr">
        <is>
          <t>M09</t>
        </is>
      </c>
      <c r="B12" s="39" t="inlineStr">
        <is>
          <t>外部系统集成联调完成</t>
        </is>
      </c>
      <c r="C12" s="39" t="inlineStr">
        <is>
          <t>全项目</t>
        </is>
      </c>
      <c r="D12" s="39" t="inlineStr">
        <is>
          <t>6个外部系统均完成联调确认</t>
        </is>
      </c>
      <c r="E12" s="39" t="inlineStr">
        <is>
          <t>集成负责人</t>
        </is>
      </c>
      <c r="F12" s="108" t="n">
        <v>46346</v>
      </c>
      <c r="G12" s="39" t="inlineStr">
        <is>
          <t>未开始</t>
        </is>
      </c>
      <c r="H12" s="108" t="n"/>
      <c r="I12" s="39">
        <f>IF(H12&lt;&gt;"",H12-F12,MAX(0,项目驾驶舱!$B$3-F12))</f>
        <v/>
      </c>
      <c r="J12" s="39">
        <f>IF(G12="已完成","绿",IF(F12&lt;项目驾驶舱!$B$3,"红",IF(F12&lt;=项目驾驶舱!$B$3+7,"黄","绿")))</f>
        <v/>
      </c>
      <c r="K12" s="40" t="inlineStr"/>
    </row>
    <row r="13" ht="17" customHeight="1" s="1">
      <c r="A13" s="41" t="inlineStr">
        <is>
          <t>M10</t>
        </is>
      </c>
      <c r="B13" s="43" t="inlineStr">
        <is>
          <t>项目验收</t>
        </is>
      </c>
      <c r="C13" s="43" t="inlineStr">
        <is>
          <t>全项目</t>
        </is>
      </c>
      <c r="D13" s="43" t="inlineStr">
        <is>
          <t>完成用户验收并签署验收材料</t>
        </is>
      </c>
      <c r="E13" s="43" t="inlineStr">
        <is>
          <t>项目经理</t>
        </is>
      </c>
      <c r="F13" s="109" t="n">
        <v>46356</v>
      </c>
      <c r="G13" s="43" t="inlineStr">
        <is>
          <t>未开始</t>
        </is>
      </c>
      <c r="H13" s="109" t="n"/>
      <c r="I13" s="43">
        <f>IF(H13&lt;&gt;"",H13-F13,MAX(0,项目驾驶舱!$B$3-F13))</f>
        <v/>
      </c>
      <c r="J13" s="43">
        <f>IF(G13="已完成","绿",IF(F13&lt;项目驾驶舱!$B$3,"红",IF(F13&lt;=项目驾驶舱!$B$3+7,"黄","绿")))</f>
        <v/>
      </c>
      <c r="K13" s="44" t="inlineStr"/>
    </row>
    <row r="14">
      <c r="A14" s="45" t="n"/>
      <c r="B14" s="45" t="n"/>
      <c r="C14" s="45" t="n"/>
      <c r="D14" s="45" t="n"/>
      <c r="E14" s="45" t="n"/>
      <c r="F14" s="45" t="n"/>
      <c r="G14" s="45" t="n"/>
      <c r="H14" s="45" t="n"/>
      <c r="I14" s="45" t="n"/>
      <c r="J14" s="45" t="n"/>
      <c r="K14" s="45" t="n"/>
    </row>
    <row r="15">
      <c r="A15" s="45" t="n"/>
      <c r="B15" s="45" t="n"/>
      <c r="C15" s="45" t="n"/>
      <c r="D15" s="45" t="n"/>
      <c r="E15" s="45" t="n"/>
      <c r="F15" s="45" t="n"/>
      <c r="G15" s="45" t="n"/>
      <c r="H15" s="45" t="n"/>
      <c r="I15" s="45" t="n"/>
      <c r="J15" s="45" t="n"/>
      <c r="K15" s="45" t="n"/>
    </row>
    <row r="16">
      <c r="A16" s="45" t="n"/>
      <c r="B16" s="45" t="n"/>
      <c r="C16" s="45" t="n"/>
      <c r="D16" s="45" t="n"/>
      <c r="E16" s="45" t="n"/>
      <c r="F16" s="45" t="n"/>
      <c r="G16" s="45" t="n"/>
      <c r="H16" s="45" t="n"/>
      <c r="I16" s="45" t="n"/>
      <c r="J16" s="45" t="n"/>
      <c r="K16" s="45" t="n"/>
    </row>
    <row r="17">
      <c r="A17" s="45" t="n"/>
      <c r="B17" s="45" t="n"/>
      <c r="C17" s="45" t="n"/>
      <c r="D17" s="45" t="n"/>
      <c r="E17" s="45" t="n"/>
      <c r="F17" s="45" t="n"/>
      <c r="G17" s="45" t="n"/>
      <c r="H17" s="45" t="n"/>
      <c r="I17" s="45" t="n"/>
      <c r="J17" s="45" t="n"/>
      <c r="K17" s="45" t="n"/>
    </row>
    <row r="18">
      <c r="A18" s="45" t="n"/>
      <c r="B18" s="45" t="n"/>
      <c r="C18" s="45" t="n"/>
      <c r="D18" s="45" t="n"/>
      <c r="E18" s="45" t="n"/>
      <c r="F18" s="45" t="n"/>
      <c r="G18" s="45" t="n"/>
      <c r="H18" s="45" t="n"/>
      <c r="I18" s="45" t="n"/>
      <c r="J18" s="45" t="n"/>
      <c r="K18" s="45" t="n"/>
    </row>
    <row r="19">
      <c r="A19" s="45" t="n"/>
      <c r="B19" s="45" t="n"/>
      <c r="C19" s="45" t="n"/>
      <c r="D19" s="45" t="n"/>
      <c r="E19" s="45" t="n"/>
      <c r="F19" s="45" t="n"/>
      <c r="G19" s="45" t="n"/>
      <c r="H19" s="45" t="n"/>
      <c r="I19" s="45" t="n"/>
      <c r="J19" s="45" t="n"/>
      <c r="K19" s="45" t="n"/>
    </row>
    <row r="20">
      <c r="A20" s="45" t="n"/>
      <c r="B20" s="45" t="n"/>
      <c r="C20" s="45" t="n"/>
      <c r="D20" s="45" t="n"/>
      <c r="E20" s="45" t="n"/>
      <c r="F20" s="45" t="n"/>
      <c r="G20" s="45" t="n"/>
      <c r="H20" s="45" t="n"/>
      <c r="I20" s="45" t="n"/>
      <c r="J20" s="45" t="n"/>
      <c r="K20" s="45" t="n"/>
    </row>
    <row r="21">
      <c r="A21" s="45" t="n"/>
      <c r="B21" s="45" t="n"/>
      <c r="C21" s="45" t="n"/>
      <c r="D21" s="45" t="n"/>
      <c r="E21" s="45" t="n"/>
      <c r="F21" s="45" t="n"/>
      <c r="G21" s="45" t="n"/>
      <c r="H21" s="45" t="n"/>
      <c r="I21" s="45" t="n"/>
      <c r="J21" s="45" t="n"/>
      <c r="K21" s="45" t="n"/>
    </row>
    <row r="22">
      <c r="A22" s="45" t="n"/>
      <c r="B22" s="45" t="n"/>
      <c r="C22" s="45" t="n"/>
      <c r="D22" s="45" t="n"/>
      <c r="E22" s="45" t="n"/>
      <c r="F22" s="45" t="n"/>
      <c r="G22" s="45" t="n"/>
      <c r="H22" s="45" t="n"/>
      <c r="I22" s="45" t="n"/>
      <c r="J22" s="45" t="n"/>
      <c r="K22" s="45" t="n"/>
    </row>
    <row r="23">
      <c r="A23" s="45" t="n"/>
      <c r="B23" s="45" t="n"/>
      <c r="C23" s="45" t="n"/>
      <c r="D23" s="45" t="n"/>
      <c r="E23" s="45" t="n"/>
      <c r="F23" s="45" t="n"/>
      <c r="G23" s="45" t="n"/>
      <c r="H23" s="45" t="n"/>
      <c r="I23" s="45" t="n"/>
      <c r="J23" s="45" t="n"/>
      <c r="K23" s="45" t="n"/>
    </row>
  </sheetData>
  <mergeCells count="1">
    <mergeCell ref="A1:K1"/>
  </mergeCells>
  <conditionalFormatting sqref="G4:G23">
    <cfRule type="containsText" priority="1" operator="between" dxfId="0" text="已完成">
      <formula>NOT(ISERROR(SEARCH("已完成",G4)))</formula>
    </cfRule>
    <cfRule type="containsText" priority="2" operator="between" dxfId="1" text="进行中">
      <formula>NOT(ISERROR(SEARCH("进行中",G4)))</formula>
    </cfRule>
    <cfRule type="containsText" priority="3" operator="between" dxfId="2" text="未开始">
      <formula>NOT(ISERROR(SEARCH("未开始",G4)))</formula>
    </cfRule>
    <cfRule type="containsText" priority="4" operator="between" dxfId="3" text="暂停">
      <formula>NOT(ISERROR(SEARCH("暂停",G4)))</formula>
    </cfRule>
  </conditionalFormatting>
  <conditionalFormatting sqref="J4:J23">
    <cfRule type="containsText" priority="5" operator="between" dxfId="4" text="红">
      <formula>NOT(ISERROR(SEARCH("红",J4)))</formula>
    </cfRule>
    <cfRule type="containsText" priority="6" operator="between" dxfId="1" text="黄">
      <formula>NOT(ISERROR(SEARCH("黄",J4)))</formula>
    </cfRule>
    <cfRule type="containsText" priority="7" operator="between" dxfId="0" text="绿">
      <formula>NOT(ISERROR(SEARCH("绿",J4)))</formula>
    </cfRule>
  </conditionalFormatting>
  <dataValidations count="1">
    <dataValidation sqref="G4:G23" showDropDown="0" showInputMessage="0" showErrorMessage="0" allowBlank="0" type="list">
      <formula1>"未开始,进行中,已完成,暂停"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  <selection pane="topRight" activeCell="A1" sqref="A1"/>
      <selection pane="bottomLeft" activeCell="A1" sqref="A1"/>
      <selection pane="bottomRight" activeCell="I5" sqref="I5"/>
    </sheetView>
  </sheetViews>
  <sheetFormatPr baseColWidth="8" defaultColWidth="9" defaultRowHeight="16.8"/>
  <cols>
    <col width="8.88288288288288" customWidth="1" style="1" min="1" max="1"/>
    <col width="13.3333333333333" customWidth="1" style="1" min="2" max="2"/>
    <col width="13" customWidth="1" style="1" min="3" max="3"/>
    <col width="60.5585585585586" customWidth="1" style="1" min="4" max="4"/>
    <col width="53.4414414414414" customWidth="1" style="1" min="5" max="5"/>
    <col width="54.3333333333333" customWidth="1" style="1" min="6" max="6"/>
    <col width="59.2252252252252" customWidth="1" style="1" min="7" max="7"/>
    <col width="12" customWidth="1" style="1" min="8" max="8"/>
    <col width="28" customWidth="1" style="1" min="9" max="9"/>
  </cols>
  <sheetData>
    <row r="1" ht="34" customHeight="1" s="1">
      <c r="A1" s="29" t="inlineStr">
        <is>
          <t>周迭代计划与完成跟踪</t>
        </is>
      </c>
    </row>
    <row r="3" ht="30" customHeight="1" s="1">
      <c r="A3" s="32" t="inlineStr">
        <is>
          <t>迭代周</t>
        </is>
      </c>
      <c r="B3" s="32" t="inlineStr">
        <is>
          <t>开始日期</t>
        </is>
      </c>
      <c r="C3" s="32" t="inlineStr">
        <is>
          <t>结束日期</t>
        </is>
      </c>
      <c r="D3" s="32" t="inlineStr">
        <is>
          <t>功能设计</t>
        </is>
      </c>
      <c r="E3" s="32" t="inlineStr">
        <is>
          <t>前端开发</t>
        </is>
      </c>
      <c r="F3" s="32" t="inlineStr">
        <is>
          <t>后端开发</t>
        </is>
      </c>
      <c r="G3" s="32" t="inlineStr">
        <is>
          <t>功能测试</t>
        </is>
      </c>
      <c r="H3" s="32" t="inlineStr">
        <is>
          <t>本周完成率</t>
        </is>
      </c>
      <c r="I3" s="32" t="inlineStr">
        <is>
          <t>复盘说明</t>
        </is>
      </c>
    </row>
    <row r="4" ht="43.2" customHeight="1" s="1">
      <c r="A4" s="47" t="n">
        <v>1</v>
      </c>
      <c r="B4" s="110" t="n">
        <v>46195</v>
      </c>
      <c r="C4" s="110" t="n">
        <v>46199</v>
      </c>
      <c r="D4" s="35" t="inlineStr">
        <is>
          <t>装船计划编制及推送、卸船作业信息录入优化（太仓）、装船作业信息录入优化（太仓）</t>
        </is>
      </c>
      <c r="E4" s="49" t="inlineStr">
        <is>
          <t>装船计划编制及推送、卸船作业信息录入优化（太仓）、装船作业信息录入优化（太仓）</t>
        </is>
      </c>
      <c r="F4" s="49" t="inlineStr">
        <is>
          <t>装船计划编制及推送、卸船作业信息录入优化（太仓）、装船作业信息录入优化（太仓）</t>
        </is>
      </c>
      <c r="G4" s="35" t="inlineStr">
        <is>
          <t>/</t>
        </is>
      </c>
      <c r="H4" s="50">
        <f>IF(COUNTA(D4:G4)=0,0,(IF(AND(D4&lt;&gt;"",D4&lt;&gt;"/"),1,0)+IF(AND(E4&lt;&gt;"",E4&lt;&gt;"/"),1,0)+IF(AND(F4&lt;&gt;"",F4&lt;&gt;"/"),1,0)+IF(AND(G4&lt;&gt;"",G4&lt;&gt;"/"),1,0))/4)</f>
        <v/>
      </c>
      <c r="I4" s="51" t="n"/>
    </row>
    <row r="5" ht="65.15000000000001" customHeight="1" s="1">
      <c r="A5" s="52" t="n">
        <v>2</v>
      </c>
      <c r="B5" s="111" t="n">
        <v>46202</v>
      </c>
      <c r="C5" s="111" t="n">
        <v>46206</v>
      </c>
      <c r="D5" s="39" t="inlineStr">
        <is>
          <t>车辆信息维护、交易中心报单信息展示及应单入口、船舶轨迹跟踪、货权跟踪、货权提醒、船舶预到优化（太仓）、堆存费优化（太仓）、港杂费优化(太仓）、收费标准信息维护、采样方式信息维护、装卸费结算、租赁费结算、采样作业信息录入</t>
        </is>
      </c>
      <c r="E5" s="54" t="n"/>
      <c r="F5" s="54" t="n"/>
      <c r="G5" s="55" t="inlineStr">
        <is>
          <t>装船计划编制及推送、卸船作业信息录入优化（太仓）、装船作业信息录入优化（太仓）</t>
        </is>
      </c>
      <c r="H5" s="56">
        <f>IF(COUNTA(D5:G5)=0,0,(IF(AND(D5&lt;&gt;"",D5&lt;&gt;"/"),1,0)+IF(AND(E5&lt;&gt;"",E5&lt;&gt;"/"),1,0)+IF(AND(F5&lt;&gt;"",F5&lt;&gt;"/"),1,0)+IF(AND(G5&lt;&gt;"",G5&lt;&gt;"/"),1,0))/4)</f>
        <v/>
      </c>
      <c r="I5" s="57" t="n"/>
    </row>
    <row r="6" ht="32.55" customHeight="1" s="1">
      <c r="A6" s="52" t="n">
        <v>3</v>
      </c>
      <c r="B6" s="111" t="n">
        <v>46209</v>
      </c>
      <c r="C6" s="111" t="n">
        <v>46213</v>
      </c>
      <c r="D6" s="39" t="inlineStr">
        <is>
          <t>卸车流程跟踪、装船流程跟踪、卸船流程跟踪、行业资讯、统计分析</t>
        </is>
      </c>
      <c r="E6" s="55" t="inlineStr">
        <is>
          <t>车辆信息维护、交易中心报单信息展示及应单入口、船舶轨迹跟踪、货权跟踪、货权提醒、船舶预到优化（太仓）、堆存费优化（太仓）、港杂费优化(太仓）、收费标准信息维护、采样方式信息维护、装卸费结算、租赁费结算、采样作业信息录入</t>
        </is>
      </c>
      <c r="F6" s="55" t="inlineStr">
        <is>
          <t>车辆信息维护、交易中心报单信息展示及应单入口、船舶轨迹跟踪、货权跟踪、货权提醒、船舶预到优化（太仓）、堆存费优化（太仓）、港杂费优化(太仓）、收费标准信息维护、采样方式信息维护、装卸费结算、租赁费结算、采样作业信息录入</t>
        </is>
      </c>
      <c r="G6" s="54" t="n"/>
      <c r="H6" s="56">
        <f>IF(COUNTA(D6:G6)=0,0,(IF(AND(D6&lt;&gt;"",D6&lt;&gt;"/"),1,0)+IF(AND(E6&lt;&gt;"",E6&lt;&gt;"/"),1,0)+IF(AND(F6&lt;&gt;"",F6&lt;&gt;"/"),1,0)+IF(AND(G6&lt;&gt;"",G6&lt;&gt;"/"),1,0))/4)</f>
        <v/>
      </c>
      <c r="I6" s="57" t="n"/>
    </row>
    <row r="7" ht="55.05" customHeight="1" s="1">
      <c r="A7" s="52" t="n">
        <v>4</v>
      </c>
      <c r="B7" s="111" t="n">
        <v>46216</v>
      </c>
      <c r="C7" s="111" t="n">
        <v>46220</v>
      </c>
      <c r="D7" s="39" t="inlineStr">
        <is>
          <t>APP：船舶供应服务查询、船舶预到（内贸）查询、台账查询、停泊费（内贸）查询、船舶供应服务费（内贸）查询</t>
        </is>
      </c>
      <c r="E7" s="58" t="n"/>
      <c r="F7" s="58" t="n"/>
      <c r="G7" s="55" t="inlineStr">
        <is>
          <t>车辆信息维护、交易中心报单信息展示及应单入口、船舶轨迹跟踪、货权跟踪、货权提醒、船舶预到优化（太仓）、堆存费优化（太仓）、港杂费优化（太仓）、收费标准信息维护、采样方式信息维护、装卸费结算、租赁费结算、采样作业信息录入</t>
        </is>
      </c>
      <c r="H7" s="56">
        <f>IF(COUNTA(D7:G7)=0,0,(IF(AND(D7&lt;&gt;"",D7&lt;&gt;"/"),1,0)+IF(AND(E7&lt;&gt;"",E7&lt;&gt;"/"),1,0)+IF(AND(F7&lt;&gt;"",F7&lt;&gt;"/"),1,0)+IF(AND(G7&lt;&gt;"",G7&lt;&gt;"/"),1,0))/4)</f>
        <v/>
      </c>
      <c r="I7" s="57" t="n"/>
    </row>
    <row r="8" ht="16.3" customHeight="1" s="1">
      <c r="A8" s="52" t="n">
        <v>5</v>
      </c>
      <c r="B8" s="111" t="n">
        <v>46223</v>
      </c>
      <c r="C8" s="111" t="n">
        <v>46227</v>
      </c>
      <c r="D8" s="39" t="inlineStr">
        <is>
          <t>结算条款管理、协同视览、费用合同签订校验</t>
        </is>
      </c>
      <c r="E8" s="54" t="n"/>
      <c r="F8" s="54" t="n"/>
      <c r="G8" s="58" t="n"/>
      <c r="H8" s="56">
        <f>IF(COUNTA(D8:G8)=0,0,(IF(AND(D8&lt;&gt;"",D8&lt;&gt;"/"),1,0)+IF(AND(E8&lt;&gt;"",E8&lt;&gt;"/"),1,0)+IF(AND(F8&lt;&gt;"",F8&lt;&gt;"/"),1,0)+IF(AND(G8&lt;&gt;"",G8&lt;&gt;"/"),1,0))/4)</f>
        <v/>
      </c>
      <c r="I8" s="57" t="n"/>
    </row>
    <row r="9" ht="16.25" customHeight="1" s="1">
      <c r="A9" s="52" t="n">
        <v>6</v>
      </c>
      <c r="B9" s="111" t="n">
        <v>46230</v>
      </c>
      <c r="C9" s="111" t="n">
        <v>46234</v>
      </c>
      <c r="D9" s="55" t="inlineStr">
        <is>
          <t>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</t>
        </is>
      </c>
      <c r="E9" s="55" t="inlineStr">
        <is>
          <t>卸车流程跟踪、装船流程跟踪、卸船流程跟踪、行业资讯、统计分析、自动报告</t>
        </is>
      </c>
      <c r="F9" s="55" t="inlineStr">
        <is>
          <t>卸车流程跟踪、装船流程跟踪、卸船流程跟踪、行业资讯、统计分析、自动报告</t>
        </is>
      </c>
      <c r="G9" s="54" t="n"/>
      <c r="H9" s="56">
        <f>IF(COUNTA(D9:G9)=0,0,(IF(AND(D9&lt;&gt;"",D9&lt;&gt;"/"),1,0)+IF(AND(E9&lt;&gt;"",E9&lt;&gt;"/"),1,0)+IF(AND(F9&lt;&gt;"",F9&lt;&gt;"/"),1,0)+IF(AND(G9&lt;&gt;"",G9&lt;&gt;"/"),1,0))/4)</f>
        <v/>
      </c>
      <c r="I9" s="57" t="n"/>
    </row>
    <row r="10" ht="51.6" customHeight="1" s="1">
      <c r="A10" s="52" t="n">
        <v>7</v>
      </c>
      <c r="B10" s="111" t="n">
        <v>46237</v>
      </c>
      <c r="C10" s="111" t="n">
        <v>46241</v>
      </c>
      <c r="D10" s="54" t="n"/>
      <c r="E10" s="58" t="n"/>
      <c r="F10" s="58" t="n"/>
      <c r="G10" s="39" t="n"/>
      <c r="H10" s="56">
        <f>IF(COUNTA(D10:G10)=0,0,(IF(AND(D10&lt;&gt;"",D10&lt;&gt;"/"),1,0)+IF(AND(E10&lt;&gt;"",E10&lt;&gt;"/"),1,0)+IF(AND(F10&lt;&gt;"",F10&lt;&gt;"/"),1,0)+IF(AND(G10&lt;&gt;"",G10&lt;&gt;"/"),1,0))/4)</f>
        <v/>
      </c>
      <c r="I10" s="57" t="n"/>
    </row>
    <row r="11" ht="16.25" customHeight="1" s="1">
      <c r="A11" s="52" t="n">
        <v>8</v>
      </c>
      <c r="B11" s="111" t="n">
        <v>46244</v>
      </c>
      <c r="C11" s="111" t="n">
        <v>46248</v>
      </c>
      <c r="D11" s="39" t="n"/>
      <c r="E11" s="58" t="n"/>
      <c r="F11" s="58" t="n"/>
      <c r="G11" s="39" t="n"/>
      <c r="H11" s="56">
        <f>IF(COUNTA(D11:G11)=0,0,(IF(AND(D11&lt;&gt;"",D11&lt;&gt;"/"),1,0)+IF(AND(E11&lt;&gt;"",E11&lt;&gt;"/"),1,0)+IF(AND(F11&lt;&gt;"",F11&lt;&gt;"/"),1,0)+IF(AND(G11&lt;&gt;"",G11&lt;&gt;"/"),1,0))/4)</f>
        <v/>
      </c>
      <c r="I11" s="57" t="n"/>
    </row>
    <row r="12" ht="16.25" customHeight="1" s="1">
      <c r="A12" s="52" t="n">
        <v>9</v>
      </c>
      <c r="B12" s="111" t="n">
        <v>46251</v>
      </c>
      <c r="C12" s="111" t="n">
        <v>46255</v>
      </c>
      <c r="D12" s="39" t="n"/>
      <c r="E12" s="58" t="n"/>
      <c r="F12" s="58" t="n"/>
      <c r="G12" s="55" t="inlineStr">
        <is>
          <t>卸车流程跟踪、装船流程跟踪、卸船流程跟踪、行业资讯、统计分析、自动报告</t>
        </is>
      </c>
      <c r="H12" s="56">
        <f>IF(COUNTA(D12:G12)=0,0,(IF(AND(D12&lt;&gt;"",D12&lt;&gt;"/"),1,0)+IF(AND(E12&lt;&gt;"",E12&lt;&gt;"/"),1,0)+IF(AND(F12&lt;&gt;"",F12&lt;&gt;"/"),1,0)+IF(AND(G12&lt;&gt;"",G12&lt;&gt;"/"),1,0))/4)</f>
        <v/>
      </c>
      <c r="I12" s="57" t="n"/>
    </row>
    <row r="13" ht="16.25" customHeight="1" s="1">
      <c r="A13" s="52" t="n">
        <v>10</v>
      </c>
      <c r="B13" s="111" t="n">
        <v>46258</v>
      </c>
      <c r="C13" s="111" t="n">
        <v>46262</v>
      </c>
      <c r="D13" s="39" t="n"/>
      <c r="E13" s="54" t="n"/>
      <c r="F13" s="54" t="n"/>
      <c r="G13" s="58" t="n"/>
      <c r="H13" s="56">
        <f>IF(COUNTA(D13:G13)=0,0,(IF(AND(D13&lt;&gt;"",D13&lt;&gt;"/"),1,0)+IF(AND(E13&lt;&gt;"",E13&lt;&gt;"/"),1,0)+IF(AND(F13&lt;&gt;"",F13&lt;&gt;"/"),1,0)+IF(AND(G13&lt;&gt;"",G13&lt;&gt;"/"),1,0))/4)</f>
        <v/>
      </c>
      <c r="I13" s="57" t="n"/>
    </row>
    <row r="14" ht="32.55" customHeight="1" s="1">
      <c r="A14" s="52" t="n">
        <v>11</v>
      </c>
      <c r="B14" s="111" t="n">
        <v>46265</v>
      </c>
      <c r="C14" s="111" t="n">
        <v>46269</v>
      </c>
      <c r="D14" s="39" t="n"/>
      <c r="E14" s="39" t="inlineStr">
        <is>
          <t>APP：船舶供应服务查询、船舶预到（内贸）查询、台账查询、停泊费（内贸）查询、船舶供应服务费（内贸）查询</t>
        </is>
      </c>
      <c r="F14" s="39" t="inlineStr">
        <is>
          <t>APP：船舶供应服务查询、船舶预到（内贸）查询、台账查询、停泊费（内贸）查询、船舶供应服务费（内贸）查询</t>
        </is>
      </c>
      <c r="G14" s="54" t="n"/>
      <c r="H14" s="56">
        <f>IF(COUNTA(D14:G14)=0,0,(IF(AND(D14&lt;&gt;"",D14&lt;&gt;"/"),1,0)+IF(AND(E14&lt;&gt;"",E14&lt;&gt;"/"),1,0)+IF(AND(F14&lt;&gt;"",F14&lt;&gt;"/"),1,0)+IF(AND(G14&lt;&gt;"",G14&lt;&gt;"/"),1,0))/4)</f>
        <v/>
      </c>
      <c r="I14" s="57" t="n"/>
    </row>
    <row r="15" ht="32.55" customFormat="1" customHeight="1" s="46">
      <c r="A15" s="59" t="n">
        <v>12</v>
      </c>
      <c r="B15" s="112" t="n">
        <v>46272</v>
      </c>
      <c r="C15" s="112" t="n">
        <v>46276</v>
      </c>
      <c r="D15" s="61" t="n"/>
      <c r="E15" s="62" t="inlineStr">
        <is>
          <t>结算条款管理、协同视览、费用合同签订校验</t>
        </is>
      </c>
      <c r="F15" s="62" t="inlineStr">
        <is>
          <t>结算条款管理、协同视览、费用合同签订校验</t>
        </is>
      </c>
      <c r="G15" s="61" t="inlineStr">
        <is>
          <t>APP：船舶供应服务查询、船舶预到（内贸）查询、台账查询、停泊费（内贸）查询、船舶供应服务费（内贸）查询</t>
        </is>
      </c>
      <c r="H15" s="63">
        <f>IF(COUNTA(D15:G15)=0,0,(IF(AND(D15&lt;&gt;"",D15&lt;&gt;"/"),1,0)+IF(AND(E15&lt;&gt;"",E15&lt;&gt;"/"),1,0)+IF(AND(F15&lt;&gt;"",F15&lt;&gt;"/"),1,0)+IF(AND(G15&lt;&gt;"",G15&lt;&gt;"/"),1,0))/4)</f>
        <v/>
      </c>
      <c r="I15" s="64" t="n"/>
    </row>
    <row r="16" ht="16.25" customFormat="1" customHeight="1" s="46">
      <c r="A16" s="59" t="n">
        <v>13</v>
      </c>
      <c r="B16" s="112" t="n">
        <v>46279</v>
      </c>
      <c r="C16" s="112" t="n">
        <v>46283</v>
      </c>
      <c r="D16" s="61" t="n"/>
      <c r="E16" s="58" t="n"/>
      <c r="F16" s="58" t="n"/>
      <c r="G16" s="61" t="n"/>
      <c r="H16" s="63">
        <f>IF(COUNTA(D16:G16)=0,0,(IF(AND(D16&lt;&gt;"",D16&lt;&gt;"/"),1,0)+IF(AND(E16&lt;&gt;"",E16&lt;&gt;"/"),1,0)+IF(AND(F16&lt;&gt;"",F16&lt;&gt;"/"),1,0)+IF(AND(G16&lt;&gt;"",G16&lt;&gt;"/"),1,0))/4)</f>
        <v/>
      </c>
      <c r="I16" s="64" t="n"/>
    </row>
    <row r="17" ht="16.25" customFormat="1" customHeight="1" s="46">
      <c r="A17" s="59" t="n">
        <v>14</v>
      </c>
      <c r="B17" s="112" t="n">
        <v>46286</v>
      </c>
      <c r="C17" s="112" t="n">
        <v>46290</v>
      </c>
      <c r="D17" s="61" t="n"/>
      <c r="E17" s="58" t="n"/>
      <c r="F17" s="58" t="n"/>
      <c r="G17" s="61" t="n"/>
      <c r="H17" s="63">
        <f>IF(COUNTA(D17:G17)=0,0,(IF(AND(D17&lt;&gt;"",D17&lt;&gt;"/"),1,0)+IF(AND(E17&lt;&gt;"",E17&lt;&gt;"/"),1,0)+IF(AND(F17&lt;&gt;"",F17&lt;&gt;"/"),1,0)+IF(AND(G17&lt;&gt;"",G17&lt;&gt;"/"),1,0))/4)</f>
        <v/>
      </c>
      <c r="I17" s="64" t="n"/>
    </row>
    <row r="18" ht="16.25" customFormat="1" customHeight="1" s="46">
      <c r="A18" s="59" t="n">
        <v>15</v>
      </c>
      <c r="B18" s="112" t="n">
        <v>46293</v>
      </c>
      <c r="C18" s="112" t="n">
        <v>46297</v>
      </c>
      <c r="D18" s="61" t="n"/>
      <c r="E18" s="58" t="n"/>
      <c r="F18" s="58" t="n"/>
      <c r="G18" s="61" t="n"/>
      <c r="H18" s="63">
        <f>IF(COUNTA(D18:G18)=0,0,(IF(AND(D18&lt;&gt;"",D18&lt;&gt;"/"),1,0)+IF(AND(E18&lt;&gt;"",E18&lt;&gt;"/"),1,0)+IF(AND(F18&lt;&gt;"",F18&lt;&gt;"/"),1,0)+IF(AND(G18&lt;&gt;"",G18&lt;&gt;"/"),1,0))/4)</f>
        <v/>
      </c>
      <c r="I18" s="64" t="n"/>
    </row>
    <row r="19" ht="16.25" customFormat="1" customHeight="1" s="46">
      <c r="A19" s="59" t="n">
        <v>16</v>
      </c>
      <c r="B19" s="112" t="n">
        <v>46300</v>
      </c>
      <c r="C19" s="112" t="n">
        <v>46304</v>
      </c>
      <c r="D19" s="61" t="n"/>
      <c r="E19" s="54" t="n"/>
      <c r="F19" s="54" t="n"/>
      <c r="G19" s="61" t="n"/>
      <c r="H19" s="63">
        <f>IF(COUNTA(D19:G19)=0,0,(IF(AND(D19&lt;&gt;"",D19&lt;&gt;"/"),1,0)+IF(AND(E19&lt;&gt;"",E19&lt;&gt;"/"),1,0)+IF(AND(F19&lt;&gt;"",F19&lt;&gt;"/"),1,0)+IF(AND(G19&lt;&gt;"",G19&lt;&gt;"/"),1,0))/4)</f>
        <v/>
      </c>
      <c r="I19" s="64" t="n"/>
    </row>
    <row r="20" ht="16.25" customHeight="1" s="1">
      <c r="A20" s="52" t="n">
        <v>17</v>
      </c>
      <c r="B20" s="111" t="n">
        <v>46307</v>
      </c>
      <c r="C20" s="111" t="n">
        <v>46311</v>
      </c>
      <c r="D20" s="39" t="n"/>
      <c r="E20" s="55" t="inlineStr">
        <is>
          <t>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</t>
        </is>
      </c>
      <c r="F20" s="55" t="inlineStr">
        <is>
          <t>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</t>
        </is>
      </c>
      <c r="G20" s="55" t="inlineStr">
        <is>
          <t>结算条款管理、协同视览、费用合同签订校验</t>
        </is>
      </c>
      <c r="H20" s="56">
        <f>IF(COUNTA(D20:G20)=0,0,(IF(AND(D20&lt;&gt;"",D20&lt;&gt;"/"),1,0)+IF(AND(E20&lt;&gt;"",E20&lt;&gt;"/"),1,0)+IF(AND(F20&lt;&gt;"",F20&lt;&gt;"/"),1,0)+IF(AND(G20&lt;&gt;"",G20&lt;&gt;"/"),1,0))/4)</f>
        <v/>
      </c>
      <c r="I20" s="57" t="n"/>
    </row>
    <row r="21" ht="16.25" customHeight="1" s="1">
      <c r="A21" s="52" t="n">
        <v>18</v>
      </c>
      <c r="B21" s="111" t="n">
        <v>46314</v>
      </c>
      <c r="C21" s="111" t="n">
        <v>46318</v>
      </c>
      <c r="D21" s="39" t="n"/>
      <c r="E21" s="58" t="n"/>
      <c r="F21" s="58" t="n"/>
      <c r="G21" s="54" t="n"/>
      <c r="H21" s="56">
        <f>IF(COUNTA(D21:G21)=0,0,(IF(AND(D21&lt;&gt;"",D21&lt;&gt;"/"),1,0)+IF(AND(E21&lt;&gt;"",E21&lt;&gt;"/"),1,0)+IF(AND(F21&lt;&gt;"",F21&lt;&gt;"/"),1,0)+IF(AND(G21&lt;&gt;"",G21&lt;&gt;"/"),1,0))/4)</f>
        <v/>
      </c>
      <c r="I21" s="57" t="n"/>
    </row>
    <row r="22" ht="16.25" customHeight="1" s="1">
      <c r="A22" s="52" t="n">
        <v>19</v>
      </c>
      <c r="B22" s="111" t="n">
        <v>46321</v>
      </c>
      <c r="C22" s="111" t="n">
        <v>46325</v>
      </c>
      <c r="D22" s="39" t="n"/>
      <c r="E22" s="58" t="n"/>
      <c r="F22" s="58" t="n"/>
      <c r="G22" s="39" t="n"/>
      <c r="H22" s="56">
        <f>IF(COUNTA(D22:G22)=0,0,(IF(AND(D22&lt;&gt;"",D22&lt;&gt;"/"),1,0)+IF(AND(E22&lt;&gt;"",E22&lt;&gt;"/"),1,0)+IF(AND(F22&lt;&gt;"",F22&lt;&gt;"/"),1,0)+IF(AND(G22&lt;&gt;"",G22&lt;&gt;"/"),1,0))/4)</f>
        <v/>
      </c>
      <c r="I22" s="57" t="n"/>
    </row>
    <row r="23" ht="16.25" customHeight="1" s="1">
      <c r="A23" s="52" t="n">
        <v>20</v>
      </c>
      <c r="B23" s="111" t="n">
        <v>46328</v>
      </c>
      <c r="C23" s="111" t="n">
        <v>46332</v>
      </c>
      <c r="D23" s="39" t="n"/>
      <c r="E23" s="58" t="n"/>
      <c r="F23" s="58" t="n"/>
      <c r="G23" s="39" t="n"/>
      <c r="H23" s="56">
        <f>IF(COUNTA(D23:G23)=0,0,(IF(AND(D23&lt;&gt;"",D23&lt;&gt;"/"),1,0)+IF(AND(E23&lt;&gt;"",E23&lt;&gt;"/"),1,0)+IF(AND(F23&lt;&gt;"",F23&lt;&gt;"/"),1,0)+IF(AND(G23&lt;&gt;"",G23&lt;&gt;"/"),1,0))/4)</f>
        <v/>
      </c>
      <c r="I23" s="57" t="n"/>
    </row>
    <row r="24" ht="16.25" customHeight="1" s="1">
      <c r="A24" s="52" t="n">
        <v>21</v>
      </c>
      <c r="B24" s="111" t="n">
        <v>46335</v>
      </c>
      <c r="C24" s="111" t="n">
        <v>46339</v>
      </c>
      <c r="D24" s="39" t="n"/>
      <c r="E24" s="54" t="n"/>
      <c r="F24" s="54" t="n"/>
      <c r="G24" s="39" t="n"/>
      <c r="H24" s="56">
        <f>IF(COUNTA(D24:G24)=0,0,(IF(AND(D24&lt;&gt;"",D24&lt;&gt;"/"),1,0)+IF(AND(E24&lt;&gt;"",E24&lt;&gt;"/"),1,0)+IF(AND(F24&lt;&gt;"",F24&lt;&gt;"/"),1,0)+IF(AND(G24&lt;&gt;"",G24&lt;&gt;"/"),1,0))/4)</f>
        <v/>
      </c>
      <c r="I24" s="57" t="n"/>
    </row>
    <row r="25" ht="16.25" customHeight="1" s="1">
      <c r="A25" s="52" t="n">
        <v>22</v>
      </c>
      <c r="B25" s="111" t="n">
        <v>46342</v>
      </c>
      <c r="C25" s="111" t="n">
        <v>46346</v>
      </c>
      <c r="D25" s="39" t="n"/>
      <c r="E25" s="39" t="n"/>
      <c r="F25" s="39" t="n"/>
      <c r="G25" s="55" t="inlineStr">
        <is>
          <t>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</t>
        </is>
      </c>
      <c r="H25" s="56">
        <f>IF(COUNTA(D25:G25)=0,0,(IF(AND(D25&lt;&gt;"",D25&lt;&gt;"/"),1,0)+IF(AND(E25&lt;&gt;"",E25&lt;&gt;"/"),1,0)+IF(AND(F25&lt;&gt;"",F25&lt;&gt;"/"),1,0)+IF(AND(G25&lt;&gt;"",G25&lt;&gt;"/"),1,0))/4)</f>
        <v/>
      </c>
      <c r="I25" s="57" t="n"/>
    </row>
    <row r="26" ht="16.25" customHeight="1" s="1">
      <c r="A26" s="65" t="n">
        <v>23</v>
      </c>
      <c r="B26" s="113" t="n">
        <v>46349</v>
      </c>
      <c r="C26" s="113" t="n">
        <v>46353</v>
      </c>
      <c r="D26" s="43" t="n"/>
      <c r="E26" s="43" t="n"/>
      <c r="F26" s="43" t="n"/>
      <c r="G26" s="54" t="n"/>
      <c r="H26" s="67">
        <f>IF(COUNTA(D26:G26)=0,0,(IF(AND(D26&lt;&gt;"",D26&lt;&gt;"/"),1,0)+IF(AND(E26&lt;&gt;"",E26&lt;&gt;"/"),1,0)+IF(AND(F26&lt;&gt;"",F26&lt;&gt;"/"),1,0)+IF(AND(G26&lt;&gt;"",G26&lt;&gt;"/"),1,0))/4)</f>
        <v/>
      </c>
      <c r="I26" s="68" t="n"/>
    </row>
  </sheetData>
  <mergeCells count="17">
    <mergeCell ref="E15:E19"/>
    <mergeCell ref="E4:E5"/>
    <mergeCell ref="F9:F13"/>
    <mergeCell ref="G20:G21"/>
    <mergeCell ref="F6:F8"/>
    <mergeCell ref="G5:G6"/>
    <mergeCell ref="G12:G14"/>
    <mergeCell ref="D9:D10"/>
    <mergeCell ref="E20:E24"/>
    <mergeCell ref="G25:G26"/>
    <mergeCell ref="F15:F19"/>
    <mergeCell ref="E6:E8"/>
    <mergeCell ref="F20:F24"/>
    <mergeCell ref="G7:G9"/>
    <mergeCell ref="F4:F5"/>
    <mergeCell ref="E9:E13"/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selection activeCell="A1" sqref="A1:L1"/>
    </sheetView>
  </sheetViews>
  <sheetFormatPr baseColWidth="8" defaultColWidth="9" defaultRowHeight="16.8"/>
  <cols>
    <col width="11" customWidth="1" style="1" min="1" max="1"/>
    <col width="23" customWidth="1" style="1" min="2" max="2"/>
    <col width="14" customWidth="1" style="1" min="3" max="4"/>
    <col width="34" customWidth="1" style="1" min="5" max="5"/>
    <col width="38" customWidth="1" style="1" min="6" max="6"/>
    <col width="11" customWidth="1" style="1" min="7" max="7"/>
    <col width="13" customWidth="1" style="1" min="8" max="9"/>
    <col width="28" customWidth="1" style="1" min="10" max="10"/>
    <col width="11" customWidth="1" style="1" min="11" max="11"/>
    <col width="45" customWidth="1" style="1" min="12" max="12"/>
  </cols>
  <sheetData>
    <row r="1" ht="34" customHeight="1" s="1">
      <c r="A1" s="29" t="inlineStr">
        <is>
          <t>外部系统集成管理</t>
        </is>
      </c>
    </row>
    <row r="3" ht="30" customHeight="1" s="1">
      <c r="A3" s="32" t="inlineStr">
        <is>
          <t>集成ID</t>
        </is>
      </c>
      <c r="B3" s="32" t="inlineStr">
        <is>
          <t>集成系统</t>
        </is>
      </c>
      <c r="C3" s="32" t="inlineStr">
        <is>
          <t>交互方式</t>
        </is>
      </c>
      <c r="D3" s="32" t="inlineStr">
        <is>
          <t>对接人</t>
        </is>
      </c>
      <c r="E3" s="32" t="inlineStr">
        <is>
          <t>集成内容</t>
        </is>
      </c>
      <c r="F3" s="32" t="inlineStr">
        <is>
          <t>原计划进展</t>
        </is>
      </c>
      <c r="G3" s="32" t="inlineStr">
        <is>
          <t>管理状态</t>
        </is>
      </c>
      <c r="H3" s="32" t="inlineStr">
        <is>
          <t>计划完成</t>
        </is>
      </c>
      <c r="I3" s="32" t="inlineStr">
        <is>
          <t>实际完成</t>
        </is>
      </c>
      <c r="J3" s="32" t="inlineStr">
        <is>
          <t>依赖事项</t>
        </is>
      </c>
      <c r="K3" s="32" t="inlineStr">
        <is>
          <t>风险等级</t>
        </is>
      </c>
      <c r="L3" s="32" t="inlineStr">
        <is>
          <t>风险/备注</t>
        </is>
      </c>
    </row>
    <row r="4" ht="17" customHeight="1" s="1">
      <c r="A4" s="33" t="inlineStr">
        <is>
          <t>INT-01</t>
        </is>
      </c>
      <c r="B4" s="35" t="inlineStr">
        <is>
          <t>调运系统</t>
        </is>
      </c>
      <c r="C4" s="35" t="inlineStr">
        <is>
          <t>接入</t>
        </is>
      </c>
      <c r="D4" s="35" t="inlineStr">
        <is>
          <t>佘万明</t>
        </is>
      </c>
      <c r="E4" s="35" t="inlineStr">
        <is>
          <t>船舶轨迹位置、船舶档案、海图信息</t>
        </is>
      </c>
      <c r="F4" s="35" t="inlineStr">
        <is>
          <t>已完成</t>
        </is>
      </c>
      <c r="G4" s="35" t="inlineStr">
        <is>
          <t>已完成</t>
        </is>
      </c>
      <c r="H4" s="35" t="n"/>
      <c r="I4" s="35" t="n"/>
      <c r="J4" s="35" t="n"/>
      <c r="K4" s="35" t="inlineStr">
        <is>
          <t>中</t>
        </is>
      </c>
      <c r="L4" s="36" t="n"/>
    </row>
    <row r="5" ht="84" customHeight="1" s="1">
      <c r="A5" s="37" t="inlineStr">
        <is>
          <t>INT-02</t>
        </is>
      </c>
      <c r="B5" s="39" t="inlineStr">
        <is>
          <t>法治平台</t>
        </is>
      </c>
      <c r="C5" s="39" t="inlineStr">
        <is>
          <t>接入</t>
        </is>
      </c>
      <c r="D5" s="39" t="inlineStr">
        <is>
          <t>许祥</t>
        </is>
      </c>
      <c r="E5" s="39" t="inlineStr">
        <is>
          <t>曹妃甸港、太仓港合同信息</t>
        </is>
      </c>
      <c r="F5" s="39" t="inlineStr">
        <is>
          <t>已初步对接，对方已提供接口文档，数据清单</t>
        </is>
      </c>
      <c r="G5" s="39" t="inlineStr">
        <is>
          <t>进行中</t>
        </is>
      </c>
      <c r="H5" s="39" t="n"/>
      <c r="I5" s="39" t="n"/>
      <c r="J5" s="39" t="n"/>
      <c r="K5" s="39" t="inlineStr">
        <is>
          <t>高</t>
        </is>
      </c>
      <c r="L5" s="40" t="inlineStr">
        <is>
          <t>1.进度风险：法制平台7月上线试点运行，会在10月份全面上线，相关功能应用需在10月份后才能上线；
2.功能风险：企法部要求法制平台咱不提供接收合同接口，无法满足客户在本系统录入合同的需求，已与用户反馈，用户内部需进行评估</t>
        </is>
      </c>
    </row>
    <row r="6" ht="17" customHeight="1" s="1">
      <c r="A6" s="37" t="inlineStr">
        <is>
          <t>INT-03</t>
        </is>
      </c>
      <c r="B6" s="39" t="inlineStr">
        <is>
          <t>集团大模型服务</t>
        </is>
      </c>
      <c r="C6" s="39" t="inlineStr">
        <is>
          <t>接入</t>
        </is>
      </c>
      <c r="D6" s="39" t="inlineStr">
        <is>
          <t>李超来</t>
        </is>
      </c>
      <c r="E6" s="39" t="inlineStr">
        <is>
          <t>OCR能力</t>
        </is>
      </c>
      <c r="F6" s="39" t="inlineStr">
        <is>
          <t>已完成</t>
        </is>
      </c>
      <c r="G6" s="39" t="inlineStr">
        <is>
          <t>已完成</t>
        </is>
      </c>
      <c r="H6" s="39" t="n"/>
      <c r="I6" s="39" t="n"/>
      <c r="J6" s="39" t="n"/>
      <c r="K6" s="39" t="inlineStr">
        <is>
          <t>高</t>
        </is>
      </c>
      <c r="L6" s="40" t="inlineStr">
        <is>
          <t>1.效率风险：文件识别效率偏低，需1分钟左右</t>
        </is>
      </c>
    </row>
    <row r="7" ht="34" customHeight="1" s="1">
      <c r="A7" s="37" t="inlineStr">
        <is>
          <t>INT-04</t>
        </is>
      </c>
      <c r="B7" s="39" t="inlineStr">
        <is>
          <t>港航部科技项目系统</t>
        </is>
      </c>
      <c r="C7" s="39" t="inlineStr">
        <is>
          <t>接入</t>
        </is>
      </c>
      <c r="D7" s="39" t="n"/>
      <c r="E7" s="39" t="inlineStr">
        <is>
          <t>曹妃甸港、太仓港视频监控数据</t>
        </is>
      </c>
      <c r="F7" s="39" t="inlineStr">
        <is>
          <t>已初步对接，对方预计10月份具备接口联调条件</t>
        </is>
      </c>
      <c r="G7" s="39" t="inlineStr">
        <is>
          <t>进行中</t>
        </is>
      </c>
      <c r="H7" s="39" t="n"/>
      <c r="I7" s="39" t="n"/>
      <c r="J7" s="39" t="n"/>
      <c r="K7" s="39" t="inlineStr">
        <is>
          <t>高</t>
        </is>
      </c>
      <c r="L7" s="40" t="inlineStr">
        <is>
          <t>1.科技项目不会对接全部生产作业视频监控数据，需确认科技项目对接范围后确认是否满足用户需求</t>
        </is>
      </c>
    </row>
    <row r="8" ht="17" customHeight="1" s="1">
      <c r="A8" s="37" t="inlineStr">
        <is>
          <t>INT-05</t>
        </is>
      </c>
      <c r="B8" s="39" t="inlineStr">
        <is>
          <t>曹妃甸管控一体化系统</t>
        </is>
      </c>
      <c r="C8" s="39" t="inlineStr">
        <is>
          <t>接入、推送</t>
        </is>
      </c>
      <c r="D8" s="39" t="inlineStr">
        <is>
          <t>张应龙</t>
        </is>
      </c>
      <c r="E8" s="39" t="inlineStr">
        <is>
          <t>基础数据、业务数据、结算数据</t>
        </is>
      </c>
      <c r="F8" s="39" t="inlineStr">
        <is>
          <t>未对接</t>
        </is>
      </c>
      <c r="G8" s="39" t="inlineStr">
        <is>
          <t>未开始</t>
        </is>
      </c>
      <c r="H8" s="39" t="n"/>
      <c r="I8" s="39" t="n"/>
      <c r="J8" s="39" t="n"/>
      <c r="K8" s="39" t="inlineStr">
        <is>
          <t>中</t>
        </is>
      </c>
      <c r="L8" s="40" t="inlineStr">
        <is>
          <t>暂无</t>
        </is>
      </c>
    </row>
    <row r="9" ht="17" customHeight="1" s="1">
      <c r="A9" s="41" t="inlineStr">
        <is>
          <t>INT-06</t>
        </is>
      </c>
      <c r="B9" s="43" t="inlineStr">
        <is>
          <t>太仓港管控一体化系统</t>
        </is>
      </c>
      <c r="C9" s="43" t="inlineStr">
        <is>
          <t>接入、推送</t>
        </is>
      </c>
      <c r="D9" s="43" t="inlineStr">
        <is>
          <t>/</t>
        </is>
      </c>
      <c r="E9" s="43" t="inlineStr">
        <is>
          <t>基础数据、业务数据、结算数据</t>
        </is>
      </c>
      <c r="F9" s="43" t="inlineStr">
        <is>
          <t>未对接</t>
        </is>
      </c>
      <c r="G9" s="43" t="inlineStr">
        <is>
          <t>未开始</t>
        </is>
      </c>
      <c r="H9" s="43" t="n"/>
      <c r="I9" s="43" t="n"/>
      <c r="J9" s="43" t="n"/>
      <c r="K9" s="43" t="inlineStr">
        <is>
          <t>高</t>
        </is>
      </c>
      <c r="L9" s="44" t="inlineStr">
        <is>
          <t>1.太仓港管控一体化系统刚立项，集成工作暂时无法开展</t>
        </is>
      </c>
    </row>
    <row r="10">
      <c r="A10" s="45" t="n"/>
      <c r="B10" s="45" t="n"/>
      <c r="C10" s="45" t="n"/>
      <c r="D10" s="45" t="n"/>
      <c r="E10" s="45" t="n"/>
      <c r="F10" s="45" t="n"/>
      <c r="G10" s="45" t="n"/>
      <c r="H10" s="45" t="n"/>
      <c r="I10" s="45" t="n"/>
      <c r="J10" s="45" t="n"/>
      <c r="K10" s="45" t="n"/>
      <c r="L10" s="45" t="n"/>
    </row>
    <row r="11">
      <c r="A11" s="45" t="n"/>
      <c r="B11" s="45" t="n"/>
      <c r="C11" s="45" t="n"/>
      <c r="D11" s="45" t="n"/>
      <c r="E11" s="45" t="n"/>
      <c r="F11" s="45" t="n"/>
      <c r="G11" s="45" t="n"/>
      <c r="H11" s="45" t="n"/>
      <c r="I11" s="45" t="n"/>
      <c r="J11" s="45" t="n"/>
      <c r="K11" s="45" t="n"/>
      <c r="L11" s="45" t="n"/>
    </row>
    <row r="12">
      <c r="A12" s="45" t="n"/>
      <c r="B12" s="45" t="n"/>
      <c r="C12" s="45" t="n"/>
      <c r="D12" s="45" t="n"/>
      <c r="E12" s="45" t="n"/>
      <c r="F12" s="45" t="n"/>
      <c r="G12" s="45" t="n"/>
      <c r="H12" s="45" t="n"/>
      <c r="I12" s="45" t="n"/>
      <c r="J12" s="45" t="n"/>
      <c r="K12" s="45" t="n"/>
      <c r="L12" s="45" t="n"/>
    </row>
    <row r="13">
      <c r="A13" s="45" t="n"/>
      <c r="B13" s="45" t="n"/>
      <c r="C13" s="45" t="n"/>
      <c r="D13" s="45" t="n"/>
      <c r="E13" s="45" t="n"/>
      <c r="F13" s="45" t="n"/>
      <c r="G13" s="45" t="n"/>
      <c r="H13" s="45" t="n"/>
      <c r="I13" s="45" t="n"/>
      <c r="J13" s="45" t="n"/>
      <c r="K13" s="45" t="n"/>
      <c r="L13" s="45" t="n"/>
    </row>
    <row r="14">
      <c r="A14" s="45" t="n"/>
      <c r="B14" s="45" t="n"/>
      <c r="C14" s="45" t="n"/>
      <c r="D14" s="45" t="n"/>
      <c r="E14" s="45" t="n"/>
      <c r="F14" s="45" t="n"/>
      <c r="G14" s="45" t="n"/>
      <c r="H14" s="45" t="n"/>
      <c r="I14" s="45" t="n"/>
      <c r="J14" s="45" t="n"/>
      <c r="K14" s="45" t="n"/>
      <c r="L14" s="45" t="n"/>
    </row>
    <row r="15">
      <c r="A15" s="45" t="n"/>
      <c r="B15" s="45" t="n"/>
      <c r="C15" s="45" t="n"/>
      <c r="D15" s="45" t="n"/>
      <c r="E15" s="45" t="n"/>
      <c r="F15" s="45" t="n"/>
      <c r="G15" s="45" t="n"/>
      <c r="H15" s="45" t="n"/>
      <c r="I15" s="45" t="n"/>
      <c r="J15" s="45" t="n"/>
      <c r="K15" s="45" t="n"/>
      <c r="L15" s="45" t="n"/>
    </row>
    <row r="16">
      <c r="A16" s="45" t="n"/>
      <c r="B16" s="45" t="n"/>
      <c r="C16" s="45" t="n"/>
      <c r="D16" s="45" t="n"/>
      <c r="E16" s="45" t="n"/>
      <c r="F16" s="45" t="n"/>
      <c r="G16" s="45" t="n"/>
      <c r="H16" s="45" t="n"/>
      <c r="I16" s="45" t="n"/>
      <c r="J16" s="45" t="n"/>
      <c r="K16" s="45" t="n"/>
      <c r="L16" s="45" t="n"/>
    </row>
    <row r="17">
      <c r="A17" s="45" t="n"/>
      <c r="B17" s="45" t="n"/>
      <c r="C17" s="45" t="n"/>
      <c r="D17" s="45" t="n"/>
      <c r="E17" s="45" t="n"/>
      <c r="F17" s="45" t="n"/>
      <c r="G17" s="45" t="n"/>
      <c r="H17" s="45" t="n"/>
      <c r="I17" s="45" t="n"/>
      <c r="J17" s="45" t="n"/>
      <c r="K17" s="45" t="n"/>
      <c r="L17" s="45" t="n"/>
    </row>
    <row r="18">
      <c r="A18" s="45" t="n"/>
      <c r="B18" s="45" t="n"/>
      <c r="C18" s="45" t="n"/>
      <c r="D18" s="45" t="n"/>
      <c r="E18" s="45" t="n"/>
      <c r="F18" s="45" t="n"/>
      <c r="G18" s="45" t="n"/>
      <c r="H18" s="45" t="n"/>
      <c r="I18" s="45" t="n"/>
      <c r="J18" s="45" t="n"/>
      <c r="K18" s="45" t="n"/>
      <c r="L18" s="45" t="n"/>
    </row>
    <row r="19">
      <c r="A19" s="45" t="n"/>
      <c r="B19" s="45" t="n"/>
      <c r="C19" s="45" t="n"/>
      <c r="D19" s="45" t="n"/>
      <c r="E19" s="45" t="n"/>
      <c r="F19" s="45" t="n"/>
      <c r="G19" s="45" t="n"/>
      <c r="H19" s="45" t="n"/>
      <c r="I19" s="45" t="n"/>
      <c r="J19" s="45" t="n"/>
      <c r="K19" s="45" t="n"/>
      <c r="L19" s="45" t="n"/>
    </row>
    <row r="20">
      <c r="A20" s="45" t="n"/>
      <c r="B20" s="45" t="n"/>
      <c r="C20" s="45" t="n"/>
      <c r="D20" s="45" t="n"/>
      <c r="E20" s="45" t="n"/>
      <c r="F20" s="45" t="n"/>
      <c r="G20" s="45" t="n"/>
      <c r="H20" s="45" t="n"/>
      <c r="I20" s="45" t="n"/>
      <c r="J20" s="45" t="n"/>
      <c r="K20" s="45" t="n"/>
      <c r="L20" s="45" t="n"/>
    </row>
    <row r="21">
      <c r="A21" s="45" t="n"/>
      <c r="B21" s="45" t="n"/>
      <c r="C21" s="45" t="n"/>
      <c r="D21" s="45" t="n"/>
      <c r="E21" s="45" t="n"/>
      <c r="F21" s="45" t="n"/>
      <c r="G21" s="45" t="n"/>
      <c r="H21" s="45" t="n"/>
      <c r="I21" s="45" t="n"/>
      <c r="J21" s="45" t="n"/>
      <c r="K21" s="45" t="n"/>
      <c r="L21" s="45" t="n"/>
    </row>
    <row r="22">
      <c r="A22" s="45" t="n"/>
      <c r="B22" s="45" t="n"/>
      <c r="C22" s="45" t="n"/>
      <c r="D22" s="45" t="n"/>
      <c r="E22" s="45" t="n"/>
      <c r="F22" s="45" t="n"/>
      <c r="G22" s="45" t="n"/>
      <c r="H22" s="45" t="n"/>
      <c r="I22" s="45" t="n"/>
      <c r="J22" s="45" t="n"/>
      <c r="K22" s="45" t="n"/>
      <c r="L22" s="45" t="n"/>
    </row>
    <row r="23">
      <c r="A23" s="45" t="n"/>
      <c r="B23" s="45" t="n"/>
      <c r="C23" s="45" t="n"/>
      <c r="D23" s="45" t="n"/>
      <c r="E23" s="45" t="n"/>
      <c r="F23" s="45" t="n"/>
      <c r="G23" s="45" t="n"/>
      <c r="H23" s="45" t="n"/>
      <c r="I23" s="45" t="n"/>
      <c r="J23" s="45" t="n"/>
      <c r="K23" s="45" t="n"/>
      <c r="L23" s="45" t="n"/>
    </row>
    <row r="24">
      <c r="A24" s="45" t="n"/>
      <c r="B24" s="45" t="n"/>
      <c r="C24" s="45" t="n"/>
      <c r="D24" s="45" t="n"/>
      <c r="E24" s="45" t="n"/>
      <c r="F24" s="45" t="n"/>
      <c r="G24" s="45" t="n"/>
      <c r="H24" s="45" t="n"/>
      <c r="I24" s="45" t="n"/>
      <c r="J24" s="45" t="n"/>
      <c r="K24" s="45" t="n"/>
      <c r="L24" s="45" t="n"/>
    </row>
    <row r="25">
      <c r="A25" s="45" t="n"/>
      <c r="B25" s="45" t="n"/>
      <c r="C25" s="45" t="n"/>
      <c r="D25" s="45" t="n"/>
      <c r="E25" s="45" t="n"/>
      <c r="F25" s="45" t="n"/>
      <c r="G25" s="45" t="n"/>
      <c r="H25" s="45" t="n"/>
      <c r="I25" s="45" t="n"/>
      <c r="J25" s="45" t="n"/>
      <c r="K25" s="45" t="n"/>
      <c r="L25" s="45" t="n"/>
    </row>
    <row r="26">
      <c r="A26" s="45" t="n"/>
      <c r="B26" s="45" t="n"/>
      <c r="C26" s="45" t="n"/>
      <c r="D26" s="45" t="n"/>
      <c r="E26" s="45" t="n"/>
      <c r="F26" s="45" t="n"/>
      <c r="G26" s="45" t="n"/>
      <c r="H26" s="45" t="n"/>
      <c r="I26" s="45" t="n"/>
      <c r="J26" s="45" t="n"/>
      <c r="K26" s="45" t="n"/>
      <c r="L26" s="45" t="n"/>
    </row>
    <row r="27">
      <c r="A27" s="45" t="n"/>
      <c r="B27" s="45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</row>
    <row r="28">
      <c r="A28" s="45" t="n"/>
      <c r="B28" s="45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</row>
    <row r="29">
      <c r="A29" s="45" t="n"/>
      <c r="B29" s="45" t="n"/>
      <c r="C29" s="45" t="n"/>
      <c r="D29" s="45" t="n"/>
      <c r="E29" s="45" t="n"/>
      <c r="F29" s="45" t="n"/>
      <c r="G29" s="45" t="n"/>
      <c r="H29" s="45" t="n"/>
      <c r="I29" s="45" t="n"/>
      <c r="J29" s="45" t="n"/>
      <c r="K29" s="45" t="n"/>
      <c r="L29" s="45" t="n"/>
    </row>
    <row r="30">
      <c r="A30" s="45" t="n"/>
      <c r="B30" s="45" t="n"/>
      <c r="C30" s="45" t="n"/>
      <c r="D30" s="45" t="n"/>
      <c r="E30" s="45" t="n"/>
      <c r="F30" s="45" t="n"/>
      <c r="G30" s="45" t="n"/>
      <c r="H30" s="45" t="n"/>
      <c r="I30" s="45" t="n"/>
      <c r="J30" s="45" t="n"/>
      <c r="K30" s="45" t="n"/>
      <c r="L30" s="45" t="n"/>
    </row>
    <row r="31">
      <c r="A31" s="45" t="n"/>
      <c r="B31" s="45" t="n"/>
      <c r="C31" s="45" t="n"/>
      <c r="D31" s="45" t="n"/>
      <c r="E31" s="45" t="n"/>
      <c r="F31" s="45" t="n"/>
      <c r="G31" s="45" t="n"/>
      <c r="H31" s="45" t="n"/>
      <c r="I31" s="45" t="n"/>
      <c r="J31" s="45" t="n"/>
      <c r="K31" s="45" t="n"/>
      <c r="L31" s="45" t="n"/>
    </row>
    <row r="32">
      <c r="A32" s="45" t="n"/>
      <c r="B32" s="45" t="n"/>
      <c r="C32" s="45" t="n"/>
      <c r="D32" s="45" t="n"/>
      <c r="E32" s="45" t="n"/>
      <c r="F32" s="45" t="n"/>
      <c r="G32" s="45" t="n"/>
      <c r="H32" s="45" t="n"/>
      <c r="I32" s="45" t="n"/>
      <c r="J32" s="45" t="n"/>
      <c r="K32" s="45" t="n"/>
      <c r="L32" s="45" t="n"/>
    </row>
    <row r="33">
      <c r="A33" s="45" t="n"/>
      <c r="B33" s="45" t="n"/>
      <c r="C33" s="45" t="n"/>
      <c r="D33" s="45" t="n"/>
      <c r="E33" s="45" t="n"/>
      <c r="F33" s="45" t="n"/>
      <c r="G33" s="45" t="n"/>
      <c r="H33" s="45" t="n"/>
      <c r="I33" s="45" t="n"/>
      <c r="J33" s="45" t="n"/>
      <c r="K33" s="45" t="n"/>
      <c r="L33" s="45" t="n"/>
    </row>
    <row r="34">
      <c r="A34" s="45" t="n"/>
      <c r="B34" s="45" t="n"/>
      <c r="C34" s="45" t="n"/>
      <c r="D34" s="45" t="n"/>
      <c r="E34" s="45" t="n"/>
      <c r="F34" s="45" t="n"/>
      <c r="G34" s="45" t="n"/>
      <c r="H34" s="45" t="n"/>
      <c r="I34" s="45" t="n"/>
      <c r="J34" s="45" t="n"/>
      <c r="K34" s="45" t="n"/>
      <c r="L34" s="45" t="n"/>
    </row>
    <row r="35">
      <c r="A35" s="45" t="n"/>
      <c r="B35" s="45" t="n"/>
      <c r="C35" s="45" t="n"/>
      <c r="D35" s="45" t="n"/>
      <c r="E35" s="45" t="n"/>
      <c r="F35" s="45" t="n"/>
      <c r="G35" s="45" t="n"/>
      <c r="H35" s="45" t="n"/>
      <c r="I35" s="45" t="n"/>
      <c r="J35" s="45" t="n"/>
      <c r="K35" s="45" t="n"/>
      <c r="L35" s="45" t="n"/>
    </row>
    <row r="36">
      <c r="A36" s="45" t="n"/>
      <c r="B36" s="45" t="n"/>
      <c r="C36" s="45" t="n"/>
      <c r="D36" s="45" t="n"/>
      <c r="E36" s="45" t="n"/>
      <c r="F36" s="45" t="n"/>
      <c r="G36" s="45" t="n"/>
      <c r="H36" s="45" t="n"/>
      <c r="I36" s="45" t="n"/>
      <c r="J36" s="45" t="n"/>
      <c r="K36" s="45" t="n"/>
      <c r="L36" s="45" t="n"/>
    </row>
    <row r="37">
      <c r="A37" s="45" t="n"/>
      <c r="B37" s="45" t="n"/>
      <c r="C37" s="45" t="n"/>
      <c r="D37" s="45" t="n"/>
      <c r="E37" s="45" t="n"/>
      <c r="F37" s="45" t="n"/>
      <c r="G37" s="45" t="n"/>
      <c r="H37" s="45" t="n"/>
      <c r="I37" s="45" t="n"/>
      <c r="J37" s="45" t="n"/>
      <c r="K37" s="45" t="n"/>
      <c r="L37" s="45" t="n"/>
    </row>
    <row r="38">
      <c r="A38" s="45" t="n"/>
      <c r="B38" s="45" t="n"/>
      <c r="C38" s="45" t="n"/>
      <c r="D38" s="45" t="n"/>
      <c r="E38" s="45" t="n"/>
      <c r="F38" s="45" t="n"/>
      <c r="G38" s="45" t="n"/>
      <c r="H38" s="45" t="n"/>
      <c r="I38" s="45" t="n"/>
      <c r="J38" s="45" t="n"/>
      <c r="K38" s="45" t="n"/>
      <c r="L38" s="45" t="n"/>
    </row>
    <row r="39">
      <c r="A39" s="45" t="n"/>
      <c r="B39" s="45" t="n"/>
      <c r="C39" s="45" t="n"/>
      <c r="D39" s="45" t="n"/>
      <c r="E39" s="45" t="n"/>
      <c r="F39" s="45" t="n"/>
      <c r="G39" s="45" t="n"/>
      <c r="H39" s="45" t="n"/>
      <c r="I39" s="45" t="n"/>
      <c r="J39" s="45" t="n"/>
      <c r="K39" s="45" t="n"/>
      <c r="L39" s="45" t="n"/>
    </row>
    <row r="40">
      <c r="A40" s="45" t="n"/>
      <c r="B40" s="45" t="n"/>
      <c r="C40" s="45" t="n"/>
      <c r="D40" s="45" t="n"/>
      <c r="E40" s="45" t="n"/>
      <c r="F40" s="45" t="n"/>
      <c r="G40" s="45" t="n"/>
      <c r="H40" s="45" t="n"/>
      <c r="I40" s="45" t="n"/>
      <c r="J40" s="45" t="n"/>
      <c r="K40" s="45" t="n"/>
      <c r="L40" s="45" t="n"/>
    </row>
    <row r="41">
      <c r="A41" s="45" t="n"/>
      <c r="B41" s="45" t="n"/>
      <c r="C41" s="45" t="n"/>
      <c r="D41" s="45" t="n"/>
      <c r="E41" s="45" t="n"/>
      <c r="F41" s="45" t="n"/>
      <c r="G41" s="45" t="n"/>
      <c r="H41" s="45" t="n"/>
      <c r="I41" s="45" t="n"/>
      <c r="J41" s="45" t="n"/>
      <c r="K41" s="45" t="n"/>
      <c r="L41" s="45" t="n"/>
    </row>
    <row r="42">
      <c r="A42" s="45" t="n"/>
      <c r="B42" s="45" t="n"/>
      <c r="C42" s="45" t="n"/>
      <c r="D42" s="45" t="n"/>
      <c r="E42" s="45" t="n"/>
      <c r="F42" s="45" t="n"/>
      <c r="G42" s="45" t="n"/>
      <c r="H42" s="45" t="n"/>
      <c r="I42" s="45" t="n"/>
      <c r="J42" s="45" t="n"/>
      <c r="K42" s="45" t="n"/>
      <c r="L42" s="45" t="n"/>
    </row>
    <row r="43">
      <c r="A43" s="45" t="n"/>
      <c r="B43" s="45" t="n"/>
      <c r="C43" s="45" t="n"/>
      <c r="D43" s="45" t="n"/>
      <c r="E43" s="45" t="n"/>
      <c r="F43" s="45" t="n"/>
      <c r="G43" s="45" t="n"/>
      <c r="H43" s="45" t="n"/>
      <c r="I43" s="45" t="n"/>
      <c r="J43" s="45" t="n"/>
      <c r="K43" s="45" t="n"/>
      <c r="L43" s="45" t="n"/>
    </row>
    <row r="44">
      <c r="A44" s="45" t="n"/>
      <c r="B44" s="45" t="n"/>
      <c r="C44" s="45" t="n"/>
      <c r="D44" s="45" t="n"/>
      <c r="E44" s="45" t="n"/>
      <c r="F44" s="45" t="n"/>
      <c r="G44" s="45" t="n"/>
      <c r="H44" s="45" t="n"/>
      <c r="I44" s="45" t="n"/>
      <c r="J44" s="45" t="n"/>
      <c r="K44" s="45" t="n"/>
      <c r="L44" s="45" t="n"/>
    </row>
    <row r="45">
      <c r="A45" s="45" t="n"/>
      <c r="B45" s="45" t="n"/>
      <c r="C45" s="45" t="n"/>
      <c r="D45" s="45" t="n"/>
      <c r="E45" s="45" t="n"/>
      <c r="F45" s="45" t="n"/>
      <c r="G45" s="45" t="n"/>
      <c r="H45" s="45" t="n"/>
      <c r="I45" s="45" t="n"/>
      <c r="J45" s="45" t="n"/>
      <c r="K45" s="45" t="n"/>
      <c r="L45" s="45" t="n"/>
    </row>
    <row r="46">
      <c r="A46" s="45" t="n"/>
      <c r="B46" s="45" t="n"/>
      <c r="C46" s="45" t="n"/>
      <c r="D46" s="45" t="n"/>
      <c r="E46" s="45" t="n"/>
      <c r="F46" s="45" t="n"/>
      <c r="G46" s="45" t="n"/>
      <c r="H46" s="45" t="n"/>
      <c r="I46" s="45" t="n"/>
      <c r="J46" s="45" t="n"/>
      <c r="K46" s="45" t="n"/>
      <c r="L46" s="45" t="n"/>
    </row>
    <row r="47">
      <c r="A47" s="45" t="n"/>
      <c r="B47" s="45" t="n"/>
      <c r="C47" s="45" t="n"/>
      <c r="D47" s="45" t="n"/>
      <c r="E47" s="45" t="n"/>
      <c r="F47" s="45" t="n"/>
      <c r="G47" s="45" t="n"/>
      <c r="H47" s="45" t="n"/>
      <c r="I47" s="45" t="n"/>
      <c r="J47" s="45" t="n"/>
      <c r="K47" s="45" t="n"/>
      <c r="L47" s="45" t="n"/>
    </row>
    <row r="48">
      <c r="A48" s="45" t="n"/>
      <c r="B48" s="45" t="n"/>
      <c r="C48" s="45" t="n"/>
      <c r="D48" s="45" t="n"/>
      <c r="E48" s="45" t="n"/>
      <c r="F48" s="45" t="n"/>
      <c r="G48" s="45" t="n"/>
      <c r="H48" s="45" t="n"/>
      <c r="I48" s="45" t="n"/>
      <c r="J48" s="45" t="n"/>
      <c r="K48" s="45" t="n"/>
      <c r="L48" s="45" t="n"/>
    </row>
    <row r="49">
      <c r="A49" s="45" t="n"/>
      <c r="B49" s="45" t="n"/>
      <c r="C49" s="45" t="n"/>
      <c r="D49" s="45" t="n"/>
      <c r="E49" s="45" t="n"/>
      <c r="F49" s="45" t="n"/>
      <c r="G49" s="45" t="n"/>
      <c r="H49" s="45" t="n"/>
      <c r="I49" s="45" t="n"/>
      <c r="J49" s="45" t="n"/>
      <c r="K49" s="45" t="n"/>
      <c r="L49" s="45" t="n"/>
    </row>
    <row r="50">
      <c r="A50" s="45" t="n"/>
      <c r="B50" s="45" t="n"/>
      <c r="C50" s="45" t="n"/>
      <c r="D50" s="45" t="n"/>
      <c r="E50" s="45" t="n"/>
      <c r="F50" s="45" t="n"/>
      <c r="G50" s="45" t="n"/>
      <c r="H50" s="45" t="n"/>
      <c r="I50" s="45" t="n"/>
      <c r="J50" s="45" t="n"/>
      <c r="K50" s="45" t="n"/>
      <c r="L50" s="45" t="n"/>
    </row>
    <row r="51">
      <c r="A51" s="45" t="n"/>
      <c r="B51" s="45" t="n"/>
      <c r="C51" s="45" t="n"/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</row>
    <row r="52">
      <c r="A52" s="45" t="n"/>
      <c r="B52" s="45" t="n"/>
      <c r="C52" s="45" t="n"/>
      <c r="D52" s="45" t="n"/>
      <c r="E52" s="45" t="n"/>
      <c r="F52" s="45" t="n"/>
      <c r="G52" s="45" t="n"/>
      <c r="H52" s="45" t="n"/>
      <c r="I52" s="45" t="n"/>
      <c r="J52" s="45" t="n"/>
      <c r="K52" s="45" t="n"/>
      <c r="L52" s="45" t="n"/>
    </row>
    <row r="53">
      <c r="A53" s="45" t="n"/>
      <c r="B53" s="45" t="n"/>
      <c r="C53" s="45" t="n"/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</row>
  </sheetData>
  <mergeCells count="1">
    <mergeCell ref="A1:L1"/>
  </mergeCells>
  <conditionalFormatting sqref="G4:G53">
    <cfRule type="containsText" priority="1" operator="between" dxfId="0" text="已完成">
      <formula>NOT(ISERROR(SEARCH("已完成",G4)))</formula>
    </cfRule>
    <cfRule type="containsText" priority="2" operator="between" dxfId="1" text="进行中">
      <formula>NOT(ISERROR(SEARCH("进行中",G4)))</formula>
    </cfRule>
    <cfRule type="containsText" priority="3" operator="between" dxfId="2" text="未开始">
      <formula>NOT(ISERROR(SEARCH("未开始",G4)))</formula>
    </cfRule>
    <cfRule type="containsText" priority="4" operator="between" dxfId="3" text="暂停">
      <formula>NOT(ISERROR(SEARCH("暂停",G4)))</formula>
    </cfRule>
  </conditionalFormatting>
  <dataValidations count="2">
    <dataValidation sqref="G4:G53" showDropDown="0" showInputMessage="0" showErrorMessage="0" allowBlank="0" type="list">
      <formula1>"未开始,进行中,已完成,暂停"</formula1>
    </dataValidation>
    <dataValidation sqref="K4:K53" showDropDown="0" showInputMessage="0" showErrorMessage="0" allowBlank="0" type="list">
      <formula1>"低,中,高"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3"/>
  <sheetViews>
    <sheetView showGridLines="0" workbookViewId="0">
      <selection activeCell="E17" sqref="E17"/>
    </sheetView>
  </sheetViews>
  <sheetFormatPr baseColWidth="8" defaultColWidth="9" defaultRowHeight="16.8"/>
  <cols>
    <col width="11" customWidth="1" style="1" min="1" max="1"/>
    <col width="10" customWidth="1" style="1" min="2" max="2"/>
    <col width="40" customWidth="1" style="1" min="3" max="3"/>
    <col width="10" customWidth="1" style="1" min="4" max="4"/>
    <col width="22" customWidth="1" style="1" min="5" max="5"/>
    <col width="14" customWidth="1" style="1" min="6" max="6"/>
    <col width="42" customWidth="1" style="1" min="7" max="7"/>
    <col width="13" customWidth="1" style="1" min="8" max="9"/>
    <col width="30" customWidth="1" style="1" min="10" max="10"/>
    <col width="11" customWidth="1" style="1" min="11" max="13"/>
    <col width="28" customWidth="1" style="1" min="14" max="14"/>
  </cols>
  <sheetData>
    <row r="1" ht="34" customHeight="1" s="1">
      <c r="A1" s="29" t="inlineStr">
        <is>
          <t>风险与问题闭环台账</t>
        </is>
      </c>
    </row>
    <row r="3" ht="30" customHeight="1" s="1">
      <c r="A3" s="32" t="inlineStr">
        <is>
          <t>编号</t>
        </is>
      </c>
      <c r="B3" s="32" t="inlineStr">
        <is>
          <t>类型</t>
        </is>
      </c>
      <c r="C3" s="32" t="inlineStr">
        <is>
          <t>风险/问题描述</t>
        </is>
      </c>
      <c r="D3" s="32" t="inlineStr">
        <is>
          <t>等级</t>
        </is>
      </c>
      <c r="E3" s="32" t="inlineStr">
        <is>
          <t>影响范围</t>
        </is>
      </c>
      <c r="F3" s="32" t="inlineStr">
        <is>
          <t>责任人</t>
        </is>
      </c>
      <c r="G3" s="32" t="inlineStr">
        <is>
          <t>应对措施</t>
        </is>
      </c>
      <c r="H3" s="32" t="inlineStr">
        <is>
          <t>计划关闭</t>
        </is>
      </c>
      <c r="I3" s="32" t="inlineStr">
        <is>
          <t>实际关闭</t>
        </is>
      </c>
      <c r="J3" s="32" t="inlineStr">
        <is>
          <t>触发条件/根因</t>
        </is>
      </c>
      <c r="K3" s="32" t="inlineStr">
        <is>
          <t>状态</t>
        </is>
      </c>
      <c r="L3" s="32" t="inlineStr">
        <is>
          <t>剩余天数</t>
        </is>
      </c>
      <c r="M3" s="32" t="inlineStr">
        <is>
          <t>是否逾期</t>
        </is>
      </c>
      <c r="N3" s="32" t="inlineStr">
        <is>
          <t>跟踪记录</t>
        </is>
      </c>
    </row>
    <row r="4" ht="17" customHeight="1" s="1">
      <c r="A4" s="33" t="inlineStr">
        <is>
          <t>R-001</t>
        </is>
      </c>
      <c r="B4" s="35" t="inlineStr">
        <is>
          <t>风险</t>
        </is>
      </c>
      <c r="C4" s="35" t="inlineStr">
        <is>
          <t>法治平台全面上线时间影响相关功能投产</t>
        </is>
      </c>
      <c r="D4" s="35" t="inlineStr">
        <is>
          <t>高</t>
        </is>
      </c>
      <c r="E4" s="35" t="inlineStr">
        <is>
          <t>合同信息集成</t>
        </is>
      </c>
      <c r="F4" s="35" t="inlineStr">
        <is>
          <t>集成负责人</t>
        </is>
      </c>
      <c r="G4" s="35" t="inlineStr">
        <is>
          <t>确认对方正式上线窗口，制定模拟数据和延期切换方案</t>
        </is>
      </c>
      <c r="H4" s="107" t="n">
        <v>46310</v>
      </c>
      <c r="I4" s="107" t="n"/>
      <c r="J4" s="35" t="inlineStr">
        <is>
          <t>对方10月后方可正式支撑</t>
        </is>
      </c>
      <c r="K4" s="35" t="inlineStr">
        <is>
          <t>处理中</t>
        </is>
      </c>
      <c r="L4" s="35">
        <f>IF(H4="","",H4-项目驾驶舱!$B$3)</f>
        <v/>
      </c>
      <c r="M4" s="35">
        <f>IF(OR(K4="已关闭",H4=""),"否",IF(H4&lt;项目驾驶舱!$B$3,"是","否"))</f>
        <v/>
      </c>
      <c r="N4" s="36" t="inlineStr">
        <is>
          <t>来源：原计划-集成工作</t>
        </is>
      </c>
    </row>
    <row r="5" ht="34" customHeight="1" s="1">
      <c r="A5" s="37" t="inlineStr">
        <is>
          <t>R-002</t>
        </is>
      </c>
      <c r="B5" s="39" t="inlineStr">
        <is>
          <t>风险</t>
        </is>
      </c>
      <c r="C5" s="39" t="inlineStr">
        <is>
          <t>法治平台不提供合同接收接口，可能无法满足本系统录入合同需求</t>
        </is>
      </c>
      <c r="D5" s="39" t="inlineStr">
        <is>
          <t>高</t>
        </is>
      </c>
      <c r="E5" s="39" t="inlineStr">
        <is>
          <t>合同业务闭环</t>
        </is>
      </c>
      <c r="F5" s="39" t="inlineStr">
        <is>
          <t>项目经理</t>
        </is>
      </c>
      <c r="G5" s="39" t="inlineStr">
        <is>
          <t>推动用户决策，形成接口边界与替代方案确认单</t>
        </is>
      </c>
      <c r="H5" s="108" t="n">
        <v>46283</v>
      </c>
      <c r="I5" s="108" t="n"/>
      <c r="J5" s="39" t="inlineStr">
        <is>
          <t>接口能力与业务诉求不一致</t>
        </is>
      </c>
      <c r="K5" s="39" t="inlineStr">
        <is>
          <t>待处理</t>
        </is>
      </c>
      <c r="L5" s="39">
        <f>IF(H5="","",H5-项目驾驶舱!$B$3)</f>
        <v/>
      </c>
      <c r="M5" s="39">
        <f>IF(OR(K5="已关闭",H5=""),"否",IF(H5&lt;项目驾驶舱!$B$3,"是","否"))</f>
        <v/>
      </c>
      <c r="N5" s="40" t="inlineStr">
        <is>
          <t>来源：原计划-集成工作</t>
        </is>
      </c>
    </row>
    <row r="6" ht="17" customHeight="1" s="1">
      <c r="A6" s="37" t="inlineStr">
        <is>
          <t>R-003</t>
        </is>
      </c>
      <c r="B6" s="39" t="inlineStr">
        <is>
          <t>风险</t>
        </is>
      </c>
      <c r="C6" s="39" t="inlineStr">
        <is>
          <t>OCR识别耗时约1分钟，影响业务效率</t>
        </is>
      </c>
      <c r="D6" s="39" t="inlineStr">
        <is>
          <t>中</t>
        </is>
      </c>
      <c r="E6" s="39" t="inlineStr">
        <is>
          <t>OCR能力</t>
        </is>
      </c>
      <c r="F6" s="39" t="inlineStr">
        <is>
          <t>技术负责人</t>
        </is>
      </c>
      <c r="G6" s="39" t="inlineStr">
        <is>
          <t>压测典型文件，确定超时阈值、异步处理与结果回调方案</t>
        </is>
      </c>
      <c r="H6" s="108" t="n">
        <v>46290</v>
      </c>
      <c r="I6" s="108" t="n"/>
      <c r="J6" s="39" t="inlineStr">
        <is>
          <t>外部大模型服务性能</t>
        </is>
      </c>
      <c r="K6" s="39" t="inlineStr">
        <is>
          <t>处理中</t>
        </is>
      </c>
      <c r="L6" s="39">
        <f>IF(H6="","",H6-项目驾驶舱!$B$3)</f>
        <v/>
      </c>
      <c r="M6" s="39">
        <f>IF(OR(K6="已关闭",H6=""),"否",IF(H6&lt;项目驾驶舱!$B$3,"是","否"))</f>
        <v/>
      </c>
      <c r="N6" s="40" t="inlineStr">
        <is>
          <t>来源：原计划-集成工作</t>
        </is>
      </c>
    </row>
    <row r="7" ht="17" customHeight="1" s="1">
      <c r="A7" s="37" t="inlineStr">
        <is>
          <t>R-004</t>
        </is>
      </c>
      <c r="B7" s="39" t="inlineStr">
        <is>
          <t>风险</t>
        </is>
      </c>
      <c r="C7" s="39" t="inlineStr">
        <is>
          <t>视频监控数据对接范围尚未明确</t>
        </is>
      </c>
      <c r="D7" s="39" t="inlineStr">
        <is>
          <t>高</t>
        </is>
      </c>
      <c r="E7" s="39" t="inlineStr">
        <is>
          <t>视频监控</t>
        </is>
      </c>
      <c r="F7" s="39" t="inlineStr">
        <is>
          <t>集成负责人</t>
        </is>
      </c>
      <c r="G7" s="39" t="inlineStr">
        <is>
          <t>确认科技项目覆盖清单并补充缺口方案</t>
        </is>
      </c>
      <c r="H7" s="108" t="n">
        <v>46280</v>
      </c>
      <c r="I7" s="108" t="n"/>
      <c r="J7" s="39" t="inlineStr">
        <is>
          <t>上游系统范围不确定</t>
        </is>
      </c>
      <c r="K7" s="39" t="inlineStr">
        <is>
          <t>待处理</t>
        </is>
      </c>
      <c r="L7" s="39">
        <f>IF(H7="","",H7-项目驾驶舱!$B$3)</f>
        <v/>
      </c>
      <c r="M7" s="39">
        <f>IF(OR(K7="已关闭",H7=""),"否",IF(H7&lt;项目驾驶舱!$B$3,"是","否"))</f>
        <v/>
      </c>
      <c r="N7" s="40" t="inlineStr">
        <is>
          <t>来源：原计划-集成工作</t>
        </is>
      </c>
    </row>
    <row r="8" ht="34" customHeight="1" s="1">
      <c r="A8" s="37" t="inlineStr">
        <is>
          <t>R-005</t>
        </is>
      </c>
      <c r="B8" s="39" t="inlineStr">
        <is>
          <t>风险</t>
        </is>
      </c>
      <c r="C8" s="39" t="inlineStr">
        <is>
          <t>太仓港管控一体化系统刚立项，集成工作无法按期开展</t>
        </is>
      </c>
      <c r="D8" s="39" t="inlineStr">
        <is>
          <t>高</t>
        </is>
      </c>
      <c r="E8" s="39" t="inlineStr">
        <is>
          <t>太仓港数据集成</t>
        </is>
      </c>
      <c r="F8" s="39" t="inlineStr">
        <is>
          <t>项目经理</t>
        </is>
      </c>
      <c r="G8" s="39" t="inlineStr">
        <is>
          <t>拆分依赖与非依赖工作，设立外部条件就绪门槛</t>
        </is>
      </c>
      <c r="H8" s="108" t="n">
        <v>46326</v>
      </c>
      <c r="I8" s="108" t="n"/>
      <c r="J8" s="39" t="inlineStr">
        <is>
          <t>外部项目未形成可对接环境</t>
        </is>
      </c>
      <c r="K8" s="39" t="inlineStr">
        <is>
          <t>处理中</t>
        </is>
      </c>
      <c r="L8" s="39">
        <f>IF(H8="","",H8-项目驾驶舱!$B$3)</f>
        <v/>
      </c>
      <c r="M8" s="39">
        <f>IF(OR(K8="已关闭",H8=""),"否",IF(H8&lt;项目驾驶舱!$B$3,"是","否"))</f>
        <v/>
      </c>
      <c r="N8" s="40" t="inlineStr">
        <is>
          <t>来源：原计划-集成工作</t>
        </is>
      </c>
    </row>
    <row r="9" ht="34" customHeight="1" s="1">
      <c r="A9" s="37" t="inlineStr">
        <is>
          <t>R-006</t>
        </is>
      </c>
      <c r="B9" s="39" t="inlineStr">
        <is>
          <t>风险</t>
        </is>
      </c>
      <c r="C9" s="39" t="inlineStr">
        <is>
          <t>第二批次存在大量未开始任务，后续开发测试窗口集中</t>
        </is>
      </c>
      <c r="D9" s="39" t="inlineStr">
        <is>
          <t>高</t>
        </is>
      </c>
      <c r="E9" s="39" t="inlineStr">
        <is>
          <t>第二批次</t>
        </is>
      </c>
      <c r="F9" s="39" t="inlineStr">
        <is>
          <t>开发负责人</t>
        </is>
      </c>
      <c r="G9" s="39" t="inlineStr">
        <is>
          <t>按关键路径重排优先级，按周跟踪启动率与完成率</t>
        </is>
      </c>
      <c r="H9" s="108" t="n">
        <v>46276</v>
      </c>
      <c r="I9" s="108" t="n"/>
      <c r="J9" s="39" t="inlineStr">
        <is>
          <t>资源与工作量集中</t>
        </is>
      </c>
      <c r="K9" s="39" t="inlineStr">
        <is>
          <t>待处理</t>
        </is>
      </c>
      <c r="L9" s="39">
        <f>IF(H9="","",H9-项目驾驶舱!$B$3)</f>
        <v/>
      </c>
      <c r="M9" s="39">
        <f>IF(OR(K9="已关闭",H9=""),"否",IF(H9&lt;项目驾驶舱!$B$3,"是","否"))</f>
        <v/>
      </c>
      <c r="N9" s="40" t="inlineStr">
        <is>
          <t>基于开发计划识别</t>
        </is>
      </c>
    </row>
    <row r="10" ht="17" customHeight="1" s="1">
      <c r="A10" s="37" t="n"/>
      <c r="B10" s="39" t="n"/>
      <c r="C10" s="39" t="n"/>
      <c r="D10" s="39" t="n"/>
      <c r="E10" s="39" t="n"/>
      <c r="F10" s="39" t="n"/>
      <c r="G10" s="39" t="n"/>
      <c r="H10" s="108" t="n"/>
      <c r="I10" s="108" t="n"/>
      <c r="J10" s="39" t="n"/>
      <c r="K10" s="39" t="n"/>
      <c r="L10" s="39">
        <f>IF(H10="","",H10-项目驾驶舱!$B$3)</f>
        <v/>
      </c>
      <c r="M10" s="39">
        <f>IF(OR(K10="已关闭",H10=""),"否",IF(H10&lt;项目驾驶舱!$B$3,"是","否"))</f>
        <v/>
      </c>
      <c r="N10" s="40" t="n"/>
    </row>
    <row r="11" ht="17" customHeight="1" s="1">
      <c r="A11" s="37" t="n"/>
      <c r="B11" s="39" t="n"/>
      <c r="C11" s="39" t="n"/>
      <c r="D11" s="39" t="n"/>
      <c r="E11" s="39" t="n"/>
      <c r="F11" s="39" t="n"/>
      <c r="G11" s="39" t="n"/>
      <c r="H11" s="108" t="n"/>
      <c r="I11" s="108" t="n"/>
      <c r="J11" s="39" t="n"/>
      <c r="K11" s="39" t="n"/>
      <c r="L11" s="39">
        <f>IF(H11="","",H11-项目驾驶舱!$B$3)</f>
        <v/>
      </c>
      <c r="M11" s="39">
        <f>IF(OR(K11="已关闭",H11=""),"否",IF(H11&lt;项目驾驶舱!$B$3,"是","否"))</f>
        <v/>
      </c>
      <c r="N11" s="40" t="n"/>
    </row>
    <row r="12" ht="17" customHeight="1" s="1">
      <c r="A12" s="37" t="n"/>
      <c r="B12" s="39" t="n"/>
      <c r="C12" s="39" t="n"/>
      <c r="D12" s="39" t="n"/>
      <c r="E12" s="39" t="n"/>
      <c r="F12" s="39" t="n"/>
      <c r="G12" s="39" t="n"/>
      <c r="H12" s="108" t="n"/>
      <c r="I12" s="108" t="n"/>
      <c r="J12" s="39" t="n"/>
      <c r="K12" s="39" t="n"/>
      <c r="L12" s="39">
        <f>IF(H12="","",H12-项目驾驶舱!$B$3)</f>
        <v/>
      </c>
      <c r="M12" s="39">
        <f>IF(OR(K12="已关闭",H12=""),"否",IF(H12&lt;项目驾驶舱!$B$3,"是","否"))</f>
        <v/>
      </c>
      <c r="N12" s="40" t="n"/>
    </row>
    <row r="13" ht="17" customHeight="1" s="1">
      <c r="A13" s="37" t="n"/>
      <c r="B13" s="39" t="n"/>
      <c r="C13" s="39" t="n"/>
      <c r="D13" s="39" t="n"/>
      <c r="E13" s="39" t="n"/>
      <c r="F13" s="39" t="n"/>
      <c r="G13" s="39" t="n"/>
      <c r="H13" s="108" t="n"/>
      <c r="I13" s="108" t="n"/>
      <c r="J13" s="39" t="n"/>
      <c r="K13" s="39" t="n"/>
      <c r="L13" s="39">
        <f>IF(H13="","",H13-项目驾驶舱!$B$3)</f>
        <v/>
      </c>
      <c r="M13" s="39">
        <f>IF(OR(K13="已关闭",H13=""),"否",IF(H13&lt;项目驾驶舱!$B$3,"是","否"))</f>
        <v/>
      </c>
      <c r="N13" s="40" t="n"/>
    </row>
    <row r="14" ht="17" customHeight="1" s="1">
      <c r="A14" s="37" t="n"/>
      <c r="B14" s="39" t="n"/>
      <c r="C14" s="39" t="n"/>
      <c r="D14" s="39" t="n"/>
      <c r="E14" s="39" t="n"/>
      <c r="F14" s="39" t="n"/>
      <c r="G14" s="39" t="n"/>
      <c r="H14" s="108" t="n"/>
      <c r="I14" s="108" t="n"/>
      <c r="J14" s="39" t="n"/>
      <c r="K14" s="39" t="n"/>
      <c r="L14" s="39">
        <f>IF(H14="","",H14-项目驾驶舱!$B$3)</f>
        <v/>
      </c>
      <c r="M14" s="39">
        <f>IF(OR(K14="已关闭",H14=""),"否",IF(H14&lt;项目驾驶舱!$B$3,"是","否"))</f>
        <v/>
      </c>
      <c r="N14" s="40" t="n"/>
    </row>
    <row r="15" ht="17" customHeight="1" s="1">
      <c r="A15" s="37" t="n"/>
      <c r="B15" s="39" t="n"/>
      <c r="C15" s="39" t="n"/>
      <c r="D15" s="39" t="n"/>
      <c r="E15" s="39" t="n"/>
      <c r="F15" s="39" t="n"/>
      <c r="G15" s="39" t="n"/>
      <c r="H15" s="108" t="n"/>
      <c r="I15" s="108" t="n"/>
      <c r="J15" s="39" t="n"/>
      <c r="K15" s="39" t="n"/>
      <c r="L15" s="39">
        <f>IF(H15="","",H15-项目驾驶舱!$B$3)</f>
        <v/>
      </c>
      <c r="M15" s="39">
        <f>IF(OR(K15="已关闭",H15=""),"否",IF(H15&lt;项目驾驶舱!$B$3,"是","否"))</f>
        <v/>
      </c>
      <c r="N15" s="40" t="n"/>
    </row>
    <row r="16" ht="17" customHeight="1" s="1">
      <c r="A16" s="37" t="n"/>
      <c r="B16" s="39" t="n"/>
      <c r="C16" s="39" t="n"/>
      <c r="D16" s="39" t="n"/>
      <c r="E16" s="39" t="n"/>
      <c r="F16" s="39" t="n"/>
      <c r="G16" s="39" t="n"/>
      <c r="H16" s="108" t="n"/>
      <c r="I16" s="108" t="n"/>
      <c r="J16" s="39" t="n"/>
      <c r="K16" s="39" t="n"/>
      <c r="L16" s="39">
        <f>IF(H16="","",H16-项目驾驶舱!$B$3)</f>
        <v/>
      </c>
      <c r="M16" s="39">
        <f>IF(OR(K16="已关闭",H16=""),"否",IF(H16&lt;项目驾驶舱!$B$3,"是","否"))</f>
        <v/>
      </c>
      <c r="N16" s="40" t="n"/>
    </row>
    <row r="17" ht="17" customHeight="1" s="1">
      <c r="A17" s="37" t="n"/>
      <c r="B17" s="39" t="n"/>
      <c r="C17" s="39" t="n"/>
      <c r="D17" s="39" t="n"/>
      <c r="E17" s="39" t="n"/>
      <c r="F17" s="39" t="n"/>
      <c r="G17" s="39" t="n"/>
      <c r="H17" s="108" t="n"/>
      <c r="I17" s="108" t="n"/>
      <c r="J17" s="39" t="n"/>
      <c r="K17" s="39" t="n"/>
      <c r="L17" s="39">
        <f>IF(H17="","",H17-项目驾驶舱!$B$3)</f>
        <v/>
      </c>
      <c r="M17" s="39">
        <f>IF(OR(K17="已关闭",H17=""),"否",IF(H17&lt;项目驾驶舱!$B$3,"是","否"))</f>
        <v/>
      </c>
      <c r="N17" s="40" t="n"/>
    </row>
    <row r="18" ht="17" customHeight="1" s="1">
      <c r="A18" s="37" t="n"/>
      <c r="B18" s="39" t="n"/>
      <c r="C18" s="39" t="n"/>
      <c r="D18" s="39" t="n"/>
      <c r="E18" s="39" t="n"/>
      <c r="F18" s="39" t="n"/>
      <c r="G18" s="39" t="n"/>
      <c r="H18" s="108" t="n"/>
      <c r="I18" s="108" t="n"/>
      <c r="J18" s="39" t="n"/>
      <c r="K18" s="39" t="n"/>
      <c r="L18" s="39">
        <f>IF(H18="","",H18-项目驾驶舱!$B$3)</f>
        <v/>
      </c>
      <c r="M18" s="39">
        <f>IF(OR(K18="已关闭",H18=""),"否",IF(H18&lt;项目驾驶舱!$B$3,"是","否"))</f>
        <v/>
      </c>
      <c r="N18" s="40" t="n"/>
    </row>
    <row r="19" ht="17" customHeight="1" s="1">
      <c r="A19" s="37" t="n"/>
      <c r="B19" s="39" t="n"/>
      <c r="C19" s="39" t="n"/>
      <c r="D19" s="39" t="n"/>
      <c r="E19" s="39" t="n"/>
      <c r="F19" s="39" t="n"/>
      <c r="G19" s="39" t="n"/>
      <c r="H19" s="108" t="n"/>
      <c r="I19" s="108" t="n"/>
      <c r="J19" s="39" t="n"/>
      <c r="K19" s="39" t="n"/>
      <c r="L19" s="39">
        <f>IF(H19="","",H19-项目驾驶舱!$B$3)</f>
        <v/>
      </c>
      <c r="M19" s="39">
        <f>IF(OR(K19="已关闭",H19=""),"否",IF(H19&lt;项目驾驶舱!$B$3,"是","否"))</f>
        <v/>
      </c>
      <c r="N19" s="40" t="n"/>
    </row>
    <row r="20" ht="17" customHeight="1" s="1">
      <c r="A20" s="37" t="n"/>
      <c r="B20" s="39" t="n"/>
      <c r="C20" s="39" t="n"/>
      <c r="D20" s="39" t="n"/>
      <c r="E20" s="39" t="n"/>
      <c r="F20" s="39" t="n"/>
      <c r="G20" s="39" t="n"/>
      <c r="H20" s="108" t="n"/>
      <c r="I20" s="108" t="n"/>
      <c r="J20" s="39" t="n"/>
      <c r="K20" s="39" t="n"/>
      <c r="L20" s="39">
        <f>IF(H20="","",H20-项目驾驶舱!$B$3)</f>
        <v/>
      </c>
      <c r="M20" s="39">
        <f>IF(OR(K20="已关闭",H20=""),"否",IF(H20&lt;项目驾驶舱!$B$3,"是","否"))</f>
        <v/>
      </c>
      <c r="N20" s="40" t="n"/>
    </row>
    <row r="21" ht="17" customHeight="1" s="1">
      <c r="A21" s="37" t="n"/>
      <c r="B21" s="39" t="n"/>
      <c r="C21" s="39" t="n"/>
      <c r="D21" s="39" t="n"/>
      <c r="E21" s="39" t="n"/>
      <c r="F21" s="39" t="n"/>
      <c r="G21" s="39" t="n"/>
      <c r="H21" s="108" t="n"/>
      <c r="I21" s="108" t="n"/>
      <c r="J21" s="39" t="n"/>
      <c r="K21" s="39" t="n"/>
      <c r="L21" s="39">
        <f>IF(H21="","",H21-项目驾驶舱!$B$3)</f>
        <v/>
      </c>
      <c r="M21" s="39">
        <f>IF(OR(K21="已关闭",H21=""),"否",IF(H21&lt;项目驾驶舱!$B$3,"是","否"))</f>
        <v/>
      </c>
      <c r="N21" s="40" t="n"/>
    </row>
    <row r="22" ht="17" customHeight="1" s="1">
      <c r="A22" s="37" t="n"/>
      <c r="B22" s="39" t="n"/>
      <c r="C22" s="39" t="n"/>
      <c r="D22" s="39" t="n"/>
      <c r="E22" s="39" t="n"/>
      <c r="F22" s="39" t="n"/>
      <c r="G22" s="39" t="n"/>
      <c r="H22" s="108" t="n"/>
      <c r="I22" s="108" t="n"/>
      <c r="J22" s="39" t="n"/>
      <c r="K22" s="39" t="n"/>
      <c r="L22" s="39">
        <f>IF(H22="","",H22-项目驾驶舱!$B$3)</f>
        <v/>
      </c>
      <c r="M22" s="39">
        <f>IF(OR(K22="已关闭",H22=""),"否",IF(H22&lt;项目驾驶舱!$B$3,"是","否"))</f>
        <v/>
      </c>
      <c r="N22" s="40" t="n"/>
    </row>
    <row r="23" ht="17" customHeight="1" s="1">
      <c r="A23" s="37" t="n"/>
      <c r="B23" s="39" t="n"/>
      <c r="C23" s="39" t="n"/>
      <c r="D23" s="39" t="n"/>
      <c r="E23" s="39" t="n"/>
      <c r="F23" s="39" t="n"/>
      <c r="G23" s="39" t="n"/>
      <c r="H23" s="108" t="n"/>
      <c r="I23" s="108" t="n"/>
      <c r="J23" s="39" t="n"/>
      <c r="K23" s="39" t="n"/>
      <c r="L23" s="39">
        <f>IF(H23="","",H23-项目驾驶舱!$B$3)</f>
        <v/>
      </c>
      <c r="M23" s="39">
        <f>IF(OR(K23="已关闭",H23=""),"否",IF(H23&lt;项目驾驶舱!$B$3,"是","否"))</f>
        <v/>
      </c>
      <c r="N23" s="40" t="n"/>
    </row>
    <row r="24" ht="17" customHeight="1" s="1">
      <c r="A24" s="37" t="n"/>
      <c r="B24" s="39" t="n"/>
      <c r="C24" s="39" t="n"/>
      <c r="D24" s="39" t="n"/>
      <c r="E24" s="39" t="n"/>
      <c r="F24" s="39" t="n"/>
      <c r="G24" s="39" t="n"/>
      <c r="H24" s="108" t="n"/>
      <c r="I24" s="108" t="n"/>
      <c r="J24" s="39" t="n"/>
      <c r="K24" s="39" t="n"/>
      <c r="L24" s="39">
        <f>IF(H24="","",H24-项目驾驶舱!$B$3)</f>
        <v/>
      </c>
      <c r="M24" s="39">
        <f>IF(OR(K24="已关闭",H24=""),"否",IF(H24&lt;项目驾驶舱!$B$3,"是","否"))</f>
        <v/>
      </c>
      <c r="N24" s="40" t="n"/>
    </row>
    <row r="25" ht="17" customHeight="1" s="1">
      <c r="A25" s="37" t="n"/>
      <c r="B25" s="39" t="n"/>
      <c r="C25" s="39" t="n"/>
      <c r="D25" s="39" t="n"/>
      <c r="E25" s="39" t="n"/>
      <c r="F25" s="39" t="n"/>
      <c r="G25" s="39" t="n"/>
      <c r="H25" s="108" t="n"/>
      <c r="I25" s="108" t="n"/>
      <c r="J25" s="39" t="n"/>
      <c r="K25" s="39" t="n"/>
      <c r="L25" s="39">
        <f>IF(H25="","",H25-项目驾驶舱!$B$3)</f>
        <v/>
      </c>
      <c r="M25" s="39">
        <f>IF(OR(K25="已关闭",H25=""),"否",IF(H25&lt;项目驾驶舱!$B$3,"是","否"))</f>
        <v/>
      </c>
      <c r="N25" s="40" t="n"/>
    </row>
    <row r="26" ht="17" customHeight="1" s="1">
      <c r="A26" s="37" t="n"/>
      <c r="B26" s="39" t="n"/>
      <c r="C26" s="39" t="n"/>
      <c r="D26" s="39" t="n"/>
      <c r="E26" s="39" t="n"/>
      <c r="F26" s="39" t="n"/>
      <c r="G26" s="39" t="n"/>
      <c r="H26" s="108" t="n"/>
      <c r="I26" s="108" t="n"/>
      <c r="J26" s="39" t="n"/>
      <c r="K26" s="39" t="n"/>
      <c r="L26" s="39">
        <f>IF(H26="","",H26-项目驾驶舱!$B$3)</f>
        <v/>
      </c>
      <c r="M26" s="39">
        <f>IF(OR(K26="已关闭",H26=""),"否",IF(H26&lt;项目驾驶舱!$B$3,"是","否"))</f>
        <v/>
      </c>
      <c r="N26" s="40" t="n"/>
    </row>
    <row r="27" ht="17" customHeight="1" s="1">
      <c r="A27" s="37" t="n"/>
      <c r="B27" s="39" t="n"/>
      <c r="C27" s="39" t="n"/>
      <c r="D27" s="39" t="n"/>
      <c r="E27" s="39" t="n"/>
      <c r="F27" s="39" t="n"/>
      <c r="G27" s="39" t="n"/>
      <c r="H27" s="108" t="n"/>
      <c r="I27" s="108" t="n"/>
      <c r="J27" s="39" t="n"/>
      <c r="K27" s="39" t="n"/>
      <c r="L27" s="39">
        <f>IF(H27="","",H27-项目驾驶舱!$B$3)</f>
        <v/>
      </c>
      <c r="M27" s="39">
        <f>IF(OR(K27="已关闭",H27=""),"否",IF(H27&lt;项目驾驶舱!$B$3,"是","否"))</f>
        <v/>
      </c>
      <c r="N27" s="40" t="n"/>
    </row>
    <row r="28" ht="17" customHeight="1" s="1">
      <c r="A28" s="37" t="n"/>
      <c r="B28" s="39" t="n"/>
      <c r="C28" s="39" t="n"/>
      <c r="D28" s="39" t="n"/>
      <c r="E28" s="39" t="n"/>
      <c r="F28" s="39" t="n"/>
      <c r="G28" s="39" t="n"/>
      <c r="H28" s="108" t="n"/>
      <c r="I28" s="108" t="n"/>
      <c r="J28" s="39" t="n"/>
      <c r="K28" s="39" t="n"/>
      <c r="L28" s="39">
        <f>IF(H28="","",H28-项目驾驶舱!$B$3)</f>
        <v/>
      </c>
      <c r="M28" s="39">
        <f>IF(OR(K28="已关闭",H28=""),"否",IF(H28&lt;项目驾驶舱!$B$3,"是","否"))</f>
        <v/>
      </c>
      <c r="N28" s="40" t="n"/>
    </row>
    <row r="29" ht="17" customHeight="1" s="1">
      <c r="A29" s="37" t="n"/>
      <c r="B29" s="39" t="n"/>
      <c r="C29" s="39" t="n"/>
      <c r="D29" s="39" t="n"/>
      <c r="E29" s="39" t="n"/>
      <c r="F29" s="39" t="n"/>
      <c r="G29" s="39" t="n"/>
      <c r="H29" s="108" t="n"/>
      <c r="I29" s="108" t="n"/>
      <c r="J29" s="39" t="n"/>
      <c r="K29" s="39" t="n"/>
      <c r="L29" s="39">
        <f>IF(H29="","",H29-项目驾驶舱!$B$3)</f>
        <v/>
      </c>
      <c r="M29" s="39">
        <f>IF(OR(K29="已关闭",H29=""),"否",IF(H29&lt;项目驾驶舱!$B$3,"是","否"))</f>
        <v/>
      </c>
      <c r="N29" s="40" t="n"/>
    </row>
    <row r="30" ht="17" customHeight="1" s="1">
      <c r="A30" s="37" t="n"/>
      <c r="B30" s="39" t="n"/>
      <c r="C30" s="39" t="n"/>
      <c r="D30" s="39" t="n"/>
      <c r="E30" s="39" t="n"/>
      <c r="F30" s="39" t="n"/>
      <c r="G30" s="39" t="n"/>
      <c r="H30" s="108" t="n"/>
      <c r="I30" s="108" t="n"/>
      <c r="J30" s="39" t="n"/>
      <c r="K30" s="39" t="n"/>
      <c r="L30" s="39">
        <f>IF(H30="","",H30-项目驾驶舱!$B$3)</f>
        <v/>
      </c>
      <c r="M30" s="39">
        <f>IF(OR(K30="已关闭",H30=""),"否",IF(H30&lt;项目驾驶舱!$B$3,"是","否"))</f>
        <v/>
      </c>
      <c r="N30" s="40" t="n"/>
    </row>
    <row r="31" ht="17" customHeight="1" s="1">
      <c r="A31" s="37" t="n"/>
      <c r="B31" s="39" t="n"/>
      <c r="C31" s="39" t="n"/>
      <c r="D31" s="39" t="n"/>
      <c r="E31" s="39" t="n"/>
      <c r="F31" s="39" t="n"/>
      <c r="G31" s="39" t="n"/>
      <c r="H31" s="108" t="n"/>
      <c r="I31" s="108" t="n"/>
      <c r="J31" s="39" t="n"/>
      <c r="K31" s="39" t="n"/>
      <c r="L31" s="39">
        <f>IF(H31="","",H31-项目驾驶舱!$B$3)</f>
        <v/>
      </c>
      <c r="M31" s="39">
        <f>IF(OR(K31="已关闭",H31=""),"否",IF(H31&lt;项目驾驶舱!$B$3,"是","否"))</f>
        <v/>
      </c>
      <c r="N31" s="40" t="n"/>
    </row>
    <row r="32" ht="17" customHeight="1" s="1">
      <c r="A32" s="37" t="n"/>
      <c r="B32" s="39" t="n"/>
      <c r="C32" s="39" t="n"/>
      <c r="D32" s="39" t="n"/>
      <c r="E32" s="39" t="n"/>
      <c r="F32" s="39" t="n"/>
      <c r="G32" s="39" t="n"/>
      <c r="H32" s="108" t="n"/>
      <c r="I32" s="108" t="n"/>
      <c r="J32" s="39" t="n"/>
      <c r="K32" s="39" t="n"/>
      <c r="L32" s="39">
        <f>IF(H32="","",H32-项目驾驶舱!$B$3)</f>
        <v/>
      </c>
      <c r="M32" s="39">
        <f>IF(OR(K32="已关闭",H32=""),"否",IF(H32&lt;项目驾驶舱!$B$3,"是","否"))</f>
        <v/>
      </c>
      <c r="N32" s="40" t="n"/>
    </row>
    <row r="33" ht="17" customHeight="1" s="1">
      <c r="A33" s="37" t="n"/>
      <c r="B33" s="39" t="n"/>
      <c r="C33" s="39" t="n"/>
      <c r="D33" s="39" t="n"/>
      <c r="E33" s="39" t="n"/>
      <c r="F33" s="39" t="n"/>
      <c r="G33" s="39" t="n"/>
      <c r="H33" s="108" t="n"/>
      <c r="I33" s="108" t="n"/>
      <c r="J33" s="39" t="n"/>
      <c r="K33" s="39" t="n"/>
      <c r="L33" s="39">
        <f>IF(H33="","",H33-项目驾驶舱!$B$3)</f>
        <v/>
      </c>
      <c r="M33" s="39">
        <f>IF(OR(K33="已关闭",H33=""),"否",IF(H33&lt;项目驾驶舱!$B$3,"是","否"))</f>
        <v/>
      </c>
      <c r="N33" s="40" t="n"/>
    </row>
    <row r="34" ht="17" customHeight="1" s="1">
      <c r="A34" s="37" t="n"/>
      <c r="B34" s="39" t="n"/>
      <c r="C34" s="39" t="n"/>
      <c r="D34" s="39" t="n"/>
      <c r="E34" s="39" t="n"/>
      <c r="F34" s="39" t="n"/>
      <c r="G34" s="39" t="n"/>
      <c r="H34" s="108" t="n"/>
      <c r="I34" s="108" t="n"/>
      <c r="J34" s="39" t="n"/>
      <c r="K34" s="39" t="n"/>
      <c r="L34" s="39">
        <f>IF(H34="","",H34-项目驾驶舱!$B$3)</f>
        <v/>
      </c>
      <c r="M34" s="39">
        <f>IF(OR(K34="已关闭",H34=""),"否",IF(H34&lt;项目驾驶舱!$B$3,"是","否"))</f>
        <v/>
      </c>
      <c r="N34" s="40" t="n"/>
    </row>
    <row r="35" ht="17" customHeight="1" s="1">
      <c r="A35" s="37" t="n"/>
      <c r="B35" s="39" t="n"/>
      <c r="C35" s="39" t="n"/>
      <c r="D35" s="39" t="n"/>
      <c r="E35" s="39" t="n"/>
      <c r="F35" s="39" t="n"/>
      <c r="G35" s="39" t="n"/>
      <c r="H35" s="108" t="n"/>
      <c r="I35" s="108" t="n"/>
      <c r="J35" s="39" t="n"/>
      <c r="K35" s="39" t="n"/>
      <c r="L35" s="39">
        <f>IF(H35="","",H35-项目驾驶舱!$B$3)</f>
        <v/>
      </c>
      <c r="M35" s="39">
        <f>IF(OR(K35="已关闭",H35=""),"否",IF(H35&lt;项目驾驶舱!$B$3,"是","否"))</f>
        <v/>
      </c>
      <c r="N35" s="40" t="n"/>
    </row>
    <row r="36" ht="17" customHeight="1" s="1">
      <c r="A36" s="37" t="n"/>
      <c r="B36" s="39" t="n"/>
      <c r="C36" s="39" t="n"/>
      <c r="D36" s="39" t="n"/>
      <c r="E36" s="39" t="n"/>
      <c r="F36" s="39" t="n"/>
      <c r="G36" s="39" t="n"/>
      <c r="H36" s="108" t="n"/>
      <c r="I36" s="108" t="n"/>
      <c r="J36" s="39" t="n"/>
      <c r="K36" s="39" t="n"/>
      <c r="L36" s="39">
        <f>IF(H36="","",H36-项目驾驶舱!$B$3)</f>
        <v/>
      </c>
      <c r="M36" s="39">
        <f>IF(OR(K36="已关闭",H36=""),"否",IF(H36&lt;项目驾驶舱!$B$3,"是","否"))</f>
        <v/>
      </c>
      <c r="N36" s="40" t="n"/>
    </row>
    <row r="37" ht="17" customHeight="1" s="1">
      <c r="A37" s="37" t="n"/>
      <c r="B37" s="39" t="n"/>
      <c r="C37" s="39" t="n"/>
      <c r="D37" s="39" t="n"/>
      <c r="E37" s="39" t="n"/>
      <c r="F37" s="39" t="n"/>
      <c r="G37" s="39" t="n"/>
      <c r="H37" s="108" t="n"/>
      <c r="I37" s="108" t="n"/>
      <c r="J37" s="39" t="n"/>
      <c r="K37" s="39" t="n"/>
      <c r="L37" s="39">
        <f>IF(H37="","",H37-项目驾驶舱!$B$3)</f>
        <v/>
      </c>
      <c r="M37" s="39">
        <f>IF(OR(K37="已关闭",H37=""),"否",IF(H37&lt;项目驾驶舱!$B$3,"是","否"))</f>
        <v/>
      </c>
      <c r="N37" s="40" t="n"/>
    </row>
    <row r="38" ht="17" customHeight="1" s="1">
      <c r="A38" s="37" t="n"/>
      <c r="B38" s="39" t="n"/>
      <c r="C38" s="39" t="n"/>
      <c r="D38" s="39" t="n"/>
      <c r="E38" s="39" t="n"/>
      <c r="F38" s="39" t="n"/>
      <c r="G38" s="39" t="n"/>
      <c r="H38" s="108" t="n"/>
      <c r="I38" s="108" t="n"/>
      <c r="J38" s="39" t="n"/>
      <c r="K38" s="39" t="n"/>
      <c r="L38" s="39">
        <f>IF(H38="","",H38-项目驾驶舱!$B$3)</f>
        <v/>
      </c>
      <c r="M38" s="39">
        <f>IF(OR(K38="已关闭",H38=""),"否",IF(H38&lt;项目驾驶舱!$B$3,"是","否"))</f>
        <v/>
      </c>
      <c r="N38" s="40" t="n"/>
    </row>
    <row r="39" ht="17" customHeight="1" s="1">
      <c r="A39" s="37" t="n"/>
      <c r="B39" s="39" t="n"/>
      <c r="C39" s="39" t="n"/>
      <c r="D39" s="39" t="n"/>
      <c r="E39" s="39" t="n"/>
      <c r="F39" s="39" t="n"/>
      <c r="G39" s="39" t="n"/>
      <c r="H39" s="108" t="n"/>
      <c r="I39" s="108" t="n"/>
      <c r="J39" s="39" t="n"/>
      <c r="K39" s="39" t="n"/>
      <c r="L39" s="39">
        <f>IF(H39="","",H39-项目驾驶舱!$B$3)</f>
        <v/>
      </c>
      <c r="M39" s="39">
        <f>IF(OR(K39="已关闭",H39=""),"否",IF(H39&lt;项目驾驶舱!$B$3,"是","否"))</f>
        <v/>
      </c>
      <c r="N39" s="40" t="n"/>
    </row>
    <row r="40" ht="17" customHeight="1" s="1">
      <c r="A40" s="37" t="n"/>
      <c r="B40" s="39" t="n"/>
      <c r="C40" s="39" t="n"/>
      <c r="D40" s="39" t="n"/>
      <c r="E40" s="39" t="n"/>
      <c r="F40" s="39" t="n"/>
      <c r="G40" s="39" t="n"/>
      <c r="H40" s="108" t="n"/>
      <c r="I40" s="108" t="n"/>
      <c r="J40" s="39" t="n"/>
      <c r="K40" s="39" t="n"/>
      <c r="L40" s="39">
        <f>IF(H40="","",H40-项目驾驶舱!$B$3)</f>
        <v/>
      </c>
      <c r="M40" s="39">
        <f>IF(OR(K40="已关闭",H40=""),"否",IF(H40&lt;项目驾驶舱!$B$3,"是","否"))</f>
        <v/>
      </c>
      <c r="N40" s="40" t="n"/>
    </row>
    <row r="41" ht="17" customHeight="1" s="1">
      <c r="A41" s="37" t="n"/>
      <c r="B41" s="39" t="n"/>
      <c r="C41" s="39" t="n"/>
      <c r="D41" s="39" t="n"/>
      <c r="E41" s="39" t="n"/>
      <c r="F41" s="39" t="n"/>
      <c r="G41" s="39" t="n"/>
      <c r="H41" s="108" t="n"/>
      <c r="I41" s="108" t="n"/>
      <c r="J41" s="39" t="n"/>
      <c r="K41" s="39" t="n"/>
      <c r="L41" s="39">
        <f>IF(H41="","",H41-项目驾驶舱!$B$3)</f>
        <v/>
      </c>
      <c r="M41" s="39">
        <f>IF(OR(K41="已关闭",H41=""),"否",IF(H41&lt;项目驾驶舱!$B$3,"是","否"))</f>
        <v/>
      </c>
      <c r="N41" s="40" t="n"/>
    </row>
    <row r="42" ht="17" customHeight="1" s="1">
      <c r="A42" s="37" t="n"/>
      <c r="B42" s="39" t="n"/>
      <c r="C42" s="39" t="n"/>
      <c r="D42" s="39" t="n"/>
      <c r="E42" s="39" t="n"/>
      <c r="F42" s="39" t="n"/>
      <c r="G42" s="39" t="n"/>
      <c r="H42" s="108" t="n"/>
      <c r="I42" s="108" t="n"/>
      <c r="J42" s="39" t="n"/>
      <c r="K42" s="39" t="n"/>
      <c r="L42" s="39">
        <f>IF(H42="","",H42-项目驾驶舱!$B$3)</f>
        <v/>
      </c>
      <c r="M42" s="39">
        <f>IF(OR(K42="已关闭",H42=""),"否",IF(H42&lt;项目驾驶舱!$B$3,"是","否"))</f>
        <v/>
      </c>
      <c r="N42" s="40" t="n"/>
    </row>
    <row r="43" ht="17" customHeight="1" s="1">
      <c r="A43" s="37" t="n"/>
      <c r="B43" s="39" t="n"/>
      <c r="C43" s="39" t="n"/>
      <c r="D43" s="39" t="n"/>
      <c r="E43" s="39" t="n"/>
      <c r="F43" s="39" t="n"/>
      <c r="G43" s="39" t="n"/>
      <c r="H43" s="108" t="n"/>
      <c r="I43" s="108" t="n"/>
      <c r="J43" s="39" t="n"/>
      <c r="K43" s="39" t="n"/>
      <c r="L43" s="39">
        <f>IF(H43="","",H43-项目驾驶舱!$B$3)</f>
        <v/>
      </c>
      <c r="M43" s="39">
        <f>IF(OR(K43="已关闭",H43=""),"否",IF(H43&lt;项目驾驶舱!$B$3,"是","否"))</f>
        <v/>
      </c>
      <c r="N43" s="40" t="n"/>
    </row>
    <row r="44" ht="17" customHeight="1" s="1">
      <c r="A44" s="37" t="n"/>
      <c r="B44" s="39" t="n"/>
      <c r="C44" s="39" t="n"/>
      <c r="D44" s="39" t="n"/>
      <c r="E44" s="39" t="n"/>
      <c r="F44" s="39" t="n"/>
      <c r="G44" s="39" t="n"/>
      <c r="H44" s="108" t="n"/>
      <c r="I44" s="108" t="n"/>
      <c r="J44" s="39" t="n"/>
      <c r="K44" s="39" t="n"/>
      <c r="L44" s="39">
        <f>IF(H44="","",H44-项目驾驶舱!$B$3)</f>
        <v/>
      </c>
      <c r="M44" s="39">
        <f>IF(OR(K44="已关闭",H44=""),"否",IF(H44&lt;项目驾驶舱!$B$3,"是","否"))</f>
        <v/>
      </c>
      <c r="N44" s="40" t="n"/>
    </row>
    <row r="45" ht="17" customHeight="1" s="1">
      <c r="A45" s="37" t="n"/>
      <c r="B45" s="39" t="n"/>
      <c r="C45" s="39" t="n"/>
      <c r="D45" s="39" t="n"/>
      <c r="E45" s="39" t="n"/>
      <c r="F45" s="39" t="n"/>
      <c r="G45" s="39" t="n"/>
      <c r="H45" s="108" t="n"/>
      <c r="I45" s="108" t="n"/>
      <c r="J45" s="39" t="n"/>
      <c r="K45" s="39" t="n"/>
      <c r="L45" s="39">
        <f>IF(H45="","",H45-项目驾驶舱!$B$3)</f>
        <v/>
      </c>
      <c r="M45" s="39">
        <f>IF(OR(K45="已关闭",H45=""),"否",IF(H45&lt;项目驾驶舱!$B$3,"是","否"))</f>
        <v/>
      </c>
      <c r="N45" s="40" t="n"/>
    </row>
    <row r="46" ht="17" customHeight="1" s="1">
      <c r="A46" s="37" t="n"/>
      <c r="B46" s="39" t="n"/>
      <c r="C46" s="39" t="n"/>
      <c r="D46" s="39" t="n"/>
      <c r="E46" s="39" t="n"/>
      <c r="F46" s="39" t="n"/>
      <c r="G46" s="39" t="n"/>
      <c r="H46" s="108" t="n"/>
      <c r="I46" s="108" t="n"/>
      <c r="J46" s="39" t="n"/>
      <c r="K46" s="39" t="n"/>
      <c r="L46" s="39">
        <f>IF(H46="","",H46-项目驾驶舱!$B$3)</f>
        <v/>
      </c>
      <c r="M46" s="39">
        <f>IF(OR(K46="已关闭",H46=""),"否",IF(H46&lt;项目驾驶舱!$B$3,"是","否"))</f>
        <v/>
      </c>
      <c r="N46" s="40" t="n"/>
    </row>
    <row r="47" ht="17" customHeight="1" s="1">
      <c r="A47" s="37" t="n"/>
      <c r="B47" s="39" t="n"/>
      <c r="C47" s="39" t="n"/>
      <c r="D47" s="39" t="n"/>
      <c r="E47" s="39" t="n"/>
      <c r="F47" s="39" t="n"/>
      <c r="G47" s="39" t="n"/>
      <c r="H47" s="108" t="n"/>
      <c r="I47" s="108" t="n"/>
      <c r="J47" s="39" t="n"/>
      <c r="K47" s="39" t="n"/>
      <c r="L47" s="39">
        <f>IF(H47="","",H47-项目驾驶舱!$B$3)</f>
        <v/>
      </c>
      <c r="M47" s="39">
        <f>IF(OR(K47="已关闭",H47=""),"否",IF(H47&lt;项目驾驶舱!$B$3,"是","否"))</f>
        <v/>
      </c>
      <c r="N47" s="40" t="n"/>
    </row>
    <row r="48" ht="17" customHeight="1" s="1">
      <c r="A48" s="37" t="n"/>
      <c r="B48" s="39" t="n"/>
      <c r="C48" s="39" t="n"/>
      <c r="D48" s="39" t="n"/>
      <c r="E48" s="39" t="n"/>
      <c r="F48" s="39" t="n"/>
      <c r="G48" s="39" t="n"/>
      <c r="H48" s="108" t="n"/>
      <c r="I48" s="108" t="n"/>
      <c r="J48" s="39" t="n"/>
      <c r="K48" s="39" t="n"/>
      <c r="L48" s="39">
        <f>IF(H48="","",H48-项目驾驶舱!$B$3)</f>
        <v/>
      </c>
      <c r="M48" s="39">
        <f>IF(OR(K48="已关闭",H48=""),"否",IF(H48&lt;项目驾驶舱!$B$3,"是","否"))</f>
        <v/>
      </c>
      <c r="N48" s="40" t="n"/>
    </row>
    <row r="49" ht="17" customHeight="1" s="1">
      <c r="A49" s="37" t="n"/>
      <c r="B49" s="39" t="n"/>
      <c r="C49" s="39" t="n"/>
      <c r="D49" s="39" t="n"/>
      <c r="E49" s="39" t="n"/>
      <c r="F49" s="39" t="n"/>
      <c r="G49" s="39" t="n"/>
      <c r="H49" s="108" t="n"/>
      <c r="I49" s="108" t="n"/>
      <c r="J49" s="39" t="n"/>
      <c r="K49" s="39" t="n"/>
      <c r="L49" s="39">
        <f>IF(H49="","",H49-项目驾驶舱!$B$3)</f>
        <v/>
      </c>
      <c r="M49" s="39">
        <f>IF(OR(K49="已关闭",H49=""),"否",IF(H49&lt;项目驾驶舱!$B$3,"是","否"))</f>
        <v/>
      </c>
      <c r="N49" s="40" t="n"/>
    </row>
    <row r="50" ht="17" customHeight="1" s="1">
      <c r="A50" s="37" t="n"/>
      <c r="B50" s="39" t="n"/>
      <c r="C50" s="39" t="n"/>
      <c r="D50" s="39" t="n"/>
      <c r="E50" s="39" t="n"/>
      <c r="F50" s="39" t="n"/>
      <c r="G50" s="39" t="n"/>
      <c r="H50" s="108" t="n"/>
      <c r="I50" s="108" t="n"/>
      <c r="J50" s="39" t="n"/>
      <c r="K50" s="39" t="n"/>
      <c r="L50" s="39">
        <f>IF(H50="","",H50-项目驾驶舱!$B$3)</f>
        <v/>
      </c>
      <c r="M50" s="39">
        <f>IF(OR(K50="已关闭",H50=""),"否",IF(H50&lt;项目驾驶舱!$B$3,"是","否"))</f>
        <v/>
      </c>
      <c r="N50" s="40" t="n"/>
    </row>
    <row r="51" ht="17" customHeight="1" s="1">
      <c r="A51" s="37" t="n"/>
      <c r="B51" s="39" t="n"/>
      <c r="C51" s="39" t="n"/>
      <c r="D51" s="39" t="n"/>
      <c r="E51" s="39" t="n"/>
      <c r="F51" s="39" t="n"/>
      <c r="G51" s="39" t="n"/>
      <c r="H51" s="108" t="n"/>
      <c r="I51" s="108" t="n"/>
      <c r="J51" s="39" t="n"/>
      <c r="K51" s="39" t="n"/>
      <c r="L51" s="39">
        <f>IF(H51="","",H51-项目驾驶舱!$B$3)</f>
        <v/>
      </c>
      <c r="M51" s="39">
        <f>IF(OR(K51="已关闭",H51=""),"否",IF(H51&lt;项目驾驶舱!$B$3,"是","否"))</f>
        <v/>
      </c>
      <c r="N51" s="40" t="n"/>
    </row>
    <row r="52" ht="17" customHeight="1" s="1">
      <c r="A52" s="37" t="n"/>
      <c r="B52" s="39" t="n"/>
      <c r="C52" s="39" t="n"/>
      <c r="D52" s="39" t="n"/>
      <c r="E52" s="39" t="n"/>
      <c r="F52" s="39" t="n"/>
      <c r="G52" s="39" t="n"/>
      <c r="H52" s="108" t="n"/>
      <c r="I52" s="108" t="n"/>
      <c r="J52" s="39" t="n"/>
      <c r="K52" s="39" t="n"/>
      <c r="L52" s="39">
        <f>IF(H52="","",H52-项目驾驶舱!$B$3)</f>
        <v/>
      </c>
      <c r="M52" s="39">
        <f>IF(OR(K52="已关闭",H52=""),"否",IF(H52&lt;项目驾驶舱!$B$3,"是","否"))</f>
        <v/>
      </c>
      <c r="N52" s="40" t="n"/>
    </row>
    <row r="53" ht="17" customHeight="1" s="1">
      <c r="A53" s="37" t="n"/>
      <c r="B53" s="39" t="n"/>
      <c r="C53" s="39" t="n"/>
      <c r="D53" s="39" t="n"/>
      <c r="E53" s="39" t="n"/>
      <c r="F53" s="39" t="n"/>
      <c r="G53" s="39" t="n"/>
      <c r="H53" s="108" t="n"/>
      <c r="I53" s="108" t="n"/>
      <c r="J53" s="39" t="n"/>
      <c r="K53" s="39" t="n"/>
      <c r="L53" s="39">
        <f>IF(H53="","",H53-项目驾驶舱!$B$3)</f>
        <v/>
      </c>
      <c r="M53" s="39">
        <f>IF(OR(K53="已关闭",H53=""),"否",IF(H53&lt;项目驾驶舱!$B$3,"是","否"))</f>
        <v/>
      </c>
      <c r="N53" s="40" t="n"/>
    </row>
    <row r="54" ht="17" customHeight="1" s="1">
      <c r="A54" s="37" t="n"/>
      <c r="B54" s="39" t="n"/>
      <c r="C54" s="39" t="n"/>
      <c r="D54" s="39" t="n"/>
      <c r="E54" s="39" t="n"/>
      <c r="F54" s="39" t="n"/>
      <c r="G54" s="39" t="n"/>
      <c r="H54" s="108" t="n"/>
      <c r="I54" s="108" t="n"/>
      <c r="J54" s="39" t="n"/>
      <c r="K54" s="39" t="n"/>
      <c r="L54" s="39">
        <f>IF(H54="","",H54-项目驾驶舱!$B$3)</f>
        <v/>
      </c>
      <c r="M54" s="39">
        <f>IF(OR(K54="已关闭",H54=""),"否",IF(H54&lt;项目驾驶舱!$B$3,"是","否"))</f>
        <v/>
      </c>
      <c r="N54" s="40" t="n"/>
    </row>
    <row r="55" ht="17" customHeight="1" s="1">
      <c r="A55" s="37" t="n"/>
      <c r="B55" s="39" t="n"/>
      <c r="C55" s="39" t="n"/>
      <c r="D55" s="39" t="n"/>
      <c r="E55" s="39" t="n"/>
      <c r="F55" s="39" t="n"/>
      <c r="G55" s="39" t="n"/>
      <c r="H55" s="108" t="n"/>
      <c r="I55" s="108" t="n"/>
      <c r="J55" s="39" t="n"/>
      <c r="K55" s="39" t="n"/>
      <c r="L55" s="39">
        <f>IF(H55="","",H55-项目驾驶舱!$B$3)</f>
        <v/>
      </c>
      <c r="M55" s="39">
        <f>IF(OR(K55="已关闭",H55=""),"否",IF(H55&lt;项目驾驶舱!$B$3,"是","否"))</f>
        <v/>
      </c>
      <c r="N55" s="40" t="n"/>
    </row>
    <row r="56" ht="17" customHeight="1" s="1">
      <c r="A56" s="37" t="n"/>
      <c r="B56" s="39" t="n"/>
      <c r="C56" s="39" t="n"/>
      <c r="D56" s="39" t="n"/>
      <c r="E56" s="39" t="n"/>
      <c r="F56" s="39" t="n"/>
      <c r="G56" s="39" t="n"/>
      <c r="H56" s="108" t="n"/>
      <c r="I56" s="108" t="n"/>
      <c r="J56" s="39" t="n"/>
      <c r="K56" s="39" t="n"/>
      <c r="L56" s="39">
        <f>IF(H56="","",H56-项目驾驶舱!$B$3)</f>
        <v/>
      </c>
      <c r="M56" s="39">
        <f>IF(OR(K56="已关闭",H56=""),"否",IF(H56&lt;项目驾驶舱!$B$3,"是","否"))</f>
        <v/>
      </c>
      <c r="N56" s="40" t="n"/>
    </row>
    <row r="57" ht="17" customHeight="1" s="1">
      <c r="A57" s="37" t="n"/>
      <c r="B57" s="39" t="n"/>
      <c r="C57" s="39" t="n"/>
      <c r="D57" s="39" t="n"/>
      <c r="E57" s="39" t="n"/>
      <c r="F57" s="39" t="n"/>
      <c r="G57" s="39" t="n"/>
      <c r="H57" s="108" t="n"/>
      <c r="I57" s="108" t="n"/>
      <c r="J57" s="39" t="n"/>
      <c r="K57" s="39" t="n"/>
      <c r="L57" s="39">
        <f>IF(H57="","",H57-项目驾驶舱!$B$3)</f>
        <v/>
      </c>
      <c r="M57" s="39">
        <f>IF(OR(K57="已关闭",H57=""),"否",IF(H57&lt;项目驾驶舱!$B$3,"是","否"))</f>
        <v/>
      </c>
      <c r="N57" s="40" t="n"/>
    </row>
    <row r="58" ht="17" customHeight="1" s="1">
      <c r="A58" s="37" t="n"/>
      <c r="B58" s="39" t="n"/>
      <c r="C58" s="39" t="n"/>
      <c r="D58" s="39" t="n"/>
      <c r="E58" s="39" t="n"/>
      <c r="F58" s="39" t="n"/>
      <c r="G58" s="39" t="n"/>
      <c r="H58" s="108" t="n"/>
      <c r="I58" s="108" t="n"/>
      <c r="J58" s="39" t="n"/>
      <c r="K58" s="39" t="n"/>
      <c r="L58" s="39">
        <f>IF(H58="","",H58-项目驾驶舱!$B$3)</f>
        <v/>
      </c>
      <c r="M58" s="39">
        <f>IF(OR(K58="已关闭",H58=""),"否",IF(H58&lt;项目驾驶舱!$B$3,"是","否"))</f>
        <v/>
      </c>
      <c r="N58" s="40" t="n"/>
    </row>
    <row r="59" ht="17" customHeight="1" s="1">
      <c r="A59" s="37" t="n"/>
      <c r="B59" s="39" t="n"/>
      <c r="C59" s="39" t="n"/>
      <c r="D59" s="39" t="n"/>
      <c r="E59" s="39" t="n"/>
      <c r="F59" s="39" t="n"/>
      <c r="G59" s="39" t="n"/>
      <c r="H59" s="108" t="n"/>
      <c r="I59" s="108" t="n"/>
      <c r="J59" s="39" t="n"/>
      <c r="K59" s="39" t="n"/>
      <c r="L59" s="39">
        <f>IF(H59="","",H59-项目驾驶舱!$B$3)</f>
        <v/>
      </c>
      <c r="M59" s="39">
        <f>IF(OR(K59="已关闭",H59=""),"否",IF(H59&lt;项目驾驶舱!$B$3,"是","否"))</f>
        <v/>
      </c>
      <c r="N59" s="40" t="n"/>
    </row>
    <row r="60" ht="17" customHeight="1" s="1">
      <c r="A60" s="37" t="n"/>
      <c r="B60" s="39" t="n"/>
      <c r="C60" s="39" t="n"/>
      <c r="D60" s="39" t="n"/>
      <c r="E60" s="39" t="n"/>
      <c r="F60" s="39" t="n"/>
      <c r="G60" s="39" t="n"/>
      <c r="H60" s="108" t="n"/>
      <c r="I60" s="108" t="n"/>
      <c r="J60" s="39" t="n"/>
      <c r="K60" s="39" t="n"/>
      <c r="L60" s="39">
        <f>IF(H60="","",H60-项目驾驶舱!$B$3)</f>
        <v/>
      </c>
      <c r="M60" s="39">
        <f>IF(OR(K60="已关闭",H60=""),"否",IF(H60&lt;项目驾驶舱!$B$3,"是","否"))</f>
        <v/>
      </c>
      <c r="N60" s="40" t="n"/>
    </row>
    <row r="61" ht="17" customHeight="1" s="1">
      <c r="A61" s="37" t="n"/>
      <c r="B61" s="39" t="n"/>
      <c r="C61" s="39" t="n"/>
      <c r="D61" s="39" t="n"/>
      <c r="E61" s="39" t="n"/>
      <c r="F61" s="39" t="n"/>
      <c r="G61" s="39" t="n"/>
      <c r="H61" s="108" t="n"/>
      <c r="I61" s="108" t="n"/>
      <c r="J61" s="39" t="n"/>
      <c r="K61" s="39" t="n"/>
      <c r="L61" s="39">
        <f>IF(H61="","",H61-项目驾驶舱!$B$3)</f>
        <v/>
      </c>
      <c r="M61" s="39">
        <f>IF(OR(K61="已关闭",H61=""),"否",IF(H61&lt;项目驾驶舱!$B$3,"是","否"))</f>
        <v/>
      </c>
      <c r="N61" s="40" t="n"/>
    </row>
    <row r="62" ht="17" customHeight="1" s="1">
      <c r="A62" s="37" t="n"/>
      <c r="B62" s="39" t="n"/>
      <c r="C62" s="39" t="n"/>
      <c r="D62" s="39" t="n"/>
      <c r="E62" s="39" t="n"/>
      <c r="F62" s="39" t="n"/>
      <c r="G62" s="39" t="n"/>
      <c r="H62" s="108" t="n"/>
      <c r="I62" s="108" t="n"/>
      <c r="J62" s="39" t="n"/>
      <c r="K62" s="39" t="n"/>
      <c r="L62" s="39">
        <f>IF(H62="","",H62-项目驾驶舱!$B$3)</f>
        <v/>
      </c>
      <c r="M62" s="39">
        <f>IF(OR(K62="已关闭",H62=""),"否",IF(H62&lt;项目驾驶舱!$B$3,"是","否"))</f>
        <v/>
      </c>
      <c r="N62" s="40" t="n"/>
    </row>
    <row r="63" ht="17" customHeight="1" s="1">
      <c r="A63" s="37" t="n"/>
      <c r="B63" s="39" t="n"/>
      <c r="C63" s="39" t="n"/>
      <c r="D63" s="39" t="n"/>
      <c r="E63" s="39" t="n"/>
      <c r="F63" s="39" t="n"/>
      <c r="G63" s="39" t="n"/>
      <c r="H63" s="108" t="n"/>
      <c r="I63" s="108" t="n"/>
      <c r="J63" s="39" t="n"/>
      <c r="K63" s="39" t="n"/>
      <c r="L63" s="39">
        <f>IF(H63="","",H63-项目驾驶舱!$B$3)</f>
        <v/>
      </c>
      <c r="M63" s="39">
        <f>IF(OR(K63="已关闭",H63=""),"否",IF(H63&lt;项目驾驶舱!$B$3,"是","否"))</f>
        <v/>
      </c>
      <c r="N63" s="40" t="n"/>
    </row>
    <row r="64" ht="17" customHeight="1" s="1">
      <c r="A64" s="37" t="n"/>
      <c r="B64" s="39" t="n"/>
      <c r="C64" s="39" t="n"/>
      <c r="D64" s="39" t="n"/>
      <c r="E64" s="39" t="n"/>
      <c r="F64" s="39" t="n"/>
      <c r="G64" s="39" t="n"/>
      <c r="H64" s="108" t="n"/>
      <c r="I64" s="108" t="n"/>
      <c r="J64" s="39" t="n"/>
      <c r="K64" s="39" t="n"/>
      <c r="L64" s="39">
        <f>IF(H64="","",H64-项目驾驶舱!$B$3)</f>
        <v/>
      </c>
      <c r="M64" s="39">
        <f>IF(OR(K64="已关闭",H64=""),"否",IF(H64&lt;项目驾驶舱!$B$3,"是","否"))</f>
        <v/>
      </c>
      <c r="N64" s="40" t="n"/>
    </row>
    <row r="65" ht="17" customHeight="1" s="1">
      <c r="A65" s="37" t="n"/>
      <c r="B65" s="39" t="n"/>
      <c r="C65" s="39" t="n"/>
      <c r="D65" s="39" t="n"/>
      <c r="E65" s="39" t="n"/>
      <c r="F65" s="39" t="n"/>
      <c r="G65" s="39" t="n"/>
      <c r="H65" s="108" t="n"/>
      <c r="I65" s="108" t="n"/>
      <c r="J65" s="39" t="n"/>
      <c r="K65" s="39" t="n"/>
      <c r="L65" s="39">
        <f>IF(H65="","",H65-项目驾驶舱!$B$3)</f>
        <v/>
      </c>
      <c r="M65" s="39">
        <f>IF(OR(K65="已关闭",H65=""),"否",IF(H65&lt;项目驾驶舱!$B$3,"是","否"))</f>
        <v/>
      </c>
      <c r="N65" s="40" t="n"/>
    </row>
    <row r="66" ht="17" customHeight="1" s="1">
      <c r="A66" s="37" t="n"/>
      <c r="B66" s="39" t="n"/>
      <c r="C66" s="39" t="n"/>
      <c r="D66" s="39" t="n"/>
      <c r="E66" s="39" t="n"/>
      <c r="F66" s="39" t="n"/>
      <c r="G66" s="39" t="n"/>
      <c r="H66" s="108" t="n"/>
      <c r="I66" s="108" t="n"/>
      <c r="J66" s="39" t="n"/>
      <c r="K66" s="39" t="n"/>
      <c r="L66" s="39">
        <f>IF(H66="","",H66-项目驾驶舱!$B$3)</f>
        <v/>
      </c>
      <c r="M66" s="39">
        <f>IF(OR(K66="已关闭",H66=""),"否",IF(H66&lt;项目驾驶舱!$B$3,"是","否"))</f>
        <v/>
      </c>
      <c r="N66" s="40" t="n"/>
    </row>
    <row r="67" ht="17" customHeight="1" s="1">
      <c r="A67" s="37" t="n"/>
      <c r="B67" s="39" t="n"/>
      <c r="C67" s="39" t="n"/>
      <c r="D67" s="39" t="n"/>
      <c r="E67" s="39" t="n"/>
      <c r="F67" s="39" t="n"/>
      <c r="G67" s="39" t="n"/>
      <c r="H67" s="108" t="n"/>
      <c r="I67" s="108" t="n"/>
      <c r="J67" s="39" t="n"/>
      <c r="K67" s="39" t="n"/>
      <c r="L67" s="39">
        <f>IF(H67="","",H67-项目驾驶舱!$B$3)</f>
        <v/>
      </c>
      <c r="M67" s="39">
        <f>IF(OR(K67="已关闭",H67=""),"否",IF(H67&lt;项目驾驶舱!$B$3,"是","否"))</f>
        <v/>
      </c>
      <c r="N67" s="40" t="n"/>
    </row>
    <row r="68" ht="17" customHeight="1" s="1">
      <c r="A68" s="37" t="n"/>
      <c r="B68" s="39" t="n"/>
      <c r="C68" s="39" t="n"/>
      <c r="D68" s="39" t="n"/>
      <c r="E68" s="39" t="n"/>
      <c r="F68" s="39" t="n"/>
      <c r="G68" s="39" t="n"/>
      <c r="H68" s="108" t="n"/>
      <c r="I68" s="108" t="n"/>
      <c r="J68" s="39" t="n"/>
      <c r="K68" s="39" t="n"/>
      <c r="L68" s="39">
        <f>IF(H68="","",H68-项目驾驶舱!$B$3)</f>
        <v/>
      </c>
      <c r="M68" s="39">
        <f>IF(OR(K68="已关闭",H68=""),"否",IF(H68&lt;项目驾驶舱!$B$3,"是","否"))</f>
        <v/>
      </c>
      <c r="N68" s="40" t="n"/>
    </row>
    <row r="69" ht="17" customHeight="1" s="1">
      <c r="A69" s="37" t="n"/>
      <c r="B69" s="39" t="n"/>
      <c r="C69" s="39" t="n"/>
      <c r="D69" s="39" t="n"/>
      <c r="E69" s="39" t="n"/>
      <c r="F69" s="39" t="n"/>
      <c r="G69" s="39" t="n"/>
      <c r="H69" s="108" t="n"/>
      <c r="I69" s="108" t="n"/>
      <c r="J69" s="39" t="n"/>
      <c r="K69" s="39" t="n"/>
      <c r="L69" s="39">
        <f>IF(H69="","",H69-项目驾驶舱!$B$3)</f>
        <v/>
      </c>
      <c r="M69" s="39">
        <f>IF(OR(K69="已关闭",H69=""),"否",IF(H69&lt;项目驾驶舱!$B$3,"是","否"))</f>
        <v/>
      </c>
      <c r="N69" s="40" t="n"/>
    </row>
    <row r="70" ht="17" customHeight="1" s="1">
      <c r="A70" s="37" t="n"/>
      <c r="B70" s="39" t="n"/>
      <c r="C70" s="39" t="n"/>
      <c r="D70" s="39" t="n"/>
      <c r="E70" s="39" t="n"/>
      <c r="F70" s="39" t="n"/>
      <c r="G70" s="39" t="n"/>
      <c r="H70" s="108" t="n"/>
      <c r="I70" s="108" t="n"/>
      <c r="J70" s="39" t="n"/>
      <c r="K70" s="39" t="n"/>
      <c r="L70" s="39">
        <f>IF(H70="","",H70-项目驾驶舱!$B$3)</f>
        <v/>
      </c>
      <c r="M70" s="39">
        <f>IF(OR(K70="已关闭",H70=""),"否",IF(H70&lt;项目驾驶舱!$B$3,"是","否"))</f>
        <v/>
      </c>
      <c r="N70" s="40" t="n"/>
    </row>
    <row r="71" ht="17" customHeight="1" s="1">
      <c r="A71" s="37" t="n"/>
      <c r="B71" s="39" t="n"/>
      <c r="C71" s="39" t="n"/>
      <c r="D71" s="39" t="n"/>
      <c r="E71" s="39" t="n"/>
      <c r="F71" s="39" t="n"/>
      <c r="G71" s="39" t="n"/>
      <c r="H71" s="108" t="n"/>
      <c r="I71" s="108" t="n"/>
      <c r="J71" s="39" t="n"/>
      <c r="K71" s="39" t="n"/>
      <c r="L71" s="39">
        <f>IF(H71="","",H71-项目驾驶舱!$B$3)</f>
        <v/>
      </c>
      <c r="M71" s="39">
        <f>IF(OR(K71="已关闭",H71=""),"否",IF(H71&lt;项目驾驶舱!$B$3,"是","否"))</f>
        <v/>
      </c>
      <c r="N71" s="40" t="n"/>
    </row>
    <row r="72" ht="17" customHeight="1" s="1">
      <c r="A72" s="37" t="n"/>
      <c r="B72" s="39" t="n"/>
      <c r="C72" s="39" t="n"/>
      <c r="D72" s="39" t="n"/>
      <c r="E72" s="39" t="n"/>
      <c r="F72" s="39" t="n"/>
      <c r="G72" s="39" t="n"/>
      <c r="H72" s="108" t="n"/>
      <c r="I72" s="108" t="n"/>
      <c r="J72" s="39" t="n"/>
      <c r="K72" s="39" t="n"/>
      <c r="L72" s="39">
        <f>IF(H72="","",H72-项目驾驶舱!$B$3)</f>
        <v/>
      </c>
      <c r="M72" s="39">
        <f>IF(OR(K72="已关闭",H72=""),"否",IF(H72&lt;项目驾驶舱!$B$3,"是","否"))</f>
        <v/>
      </c>
      <c r="N72" s="40" t="n"/>
    </row>
    <row r="73" ht="17" customHeight="1" s="1">
      <c r="A73" s="37" t="n"/>
      <c r="B73" s="39" t="n"/>
      <c r="C73" s="39" t="n"/>
      <c r="D73" s="39" t="n"/>
      <c r="E73" s="39" t="n"/>
      <c r="F73" s="39" t="n"/>
      <c r="G73" s="39" t="n"/>
      <c r="H73" s="108" t="n"/>
      <c r="I73" s="108" t="n"/>
      <c r="J73" s="39" t="n"/>
      <c r="K73" s="39" t="n"/>
      <c r="L73" s="39">
        <f>IF(H73="","",H73-项目驾驶舱!$B$3)</f>
        <v/>
      </c>
      <c r="M73" s="39">
        <f>IF(OR(K73="已关闭",H73=""),"否",IF(H73&lt;项目驾驶舱!$B$3,"是","否"))</f>
        <v/>
      </c>
      <c r="N73" s="40" t="n"/>
    </row>
    <row r="74" ht="17" customHeight="1" s="1">
      <c r="A74" s="37" t="n"/>
      <c r="B74" s="39" t="n"/>
      <c r="C74" s="39" t="n"/>
      <c r="D74" s="39" t="n"/>
      <c r="E74" s="39" t="n"/>
      <c r="F74" s="39" t="n"/>
      <c r="G74" s="39" t="n"/>
      <c r="H74" s="108" t="n"/>
      <c r="I74" s="108" t="n"/>
      <c r="J74" s="39" t="n"/>
      <c r="K74" s="39" t="n"/>
      <c r="L74" s="39">
        <f>IF(H74="","",H74-项目驾驶舱!$B$3)</f>
        <v/>
      </c>
      <c r="M74" s="39">
        <f>IF(OR(K74="已关闭",H74=""),"否",IF(H74&lt;项目驾驶舱!$B$3,"是","否"))</f>
        <v/>
      </c>
      <c r="N74" s="40" t="n"/>
    </row>
    <row r="75" ht="17" customHeight="1" s="1">
      <c r="A75" s="37" t="n"/>
      <c r="B75" s="39" t="n"/>
      <c r="C75" s="39" t="n"/>
      <c r="D75" s="39" t="n"/>
      <c r="E75" s="39" t="n"/>
      <c r="F75" s="39" t="n"/>
      <c r="G75" s="39" t="n"/>
      <c r="H75" s="108" t="n"/>
      <c r="I75" s="108" t="n"/>
      <c r="J75" s="39" t="n"/>
      <c r="K75" s="39" t="n"/>
      <c r="L75" s="39">
        <f>IF(H75="","",H75-项目驾驶舱!$B$3)</f>
        <v/>
      </c>
      <c r="M75" s="39">
        <f>IF(OR(K75="已关闭",H75=""),"否",IF(H75&lt;项目驾驶舱!$B$3,"是","否"))</f>
        <v/>
      </c>
      <c r="N75" s="40" t="n"/>
    </row>
    <row r="76" ht="17" customHeight="1" s="1">
      <c r="A76" s="37" t="n"/>
      <c r="B76" s="39" t="n"/>
      <c r="C76" s="39" t="n"/>
      <c r="D76" s="39" t="n"/>
      <c r="E76" s="39" t="n"/>
      <c r="F76" s="39" t="n"/>
      <c r="G76" s="39" t="n"/>
      <c r="H76" s="108" t="n"/>
      <c r="I76" s="108" t="n"/>
      <c r="J76" s="39" t="n"/>
      <c r="K76" s="39" t="n"/>
      <c r="L76" s="39">
        <f>IF(H76="","",H76-项目驾驶舱!$B$3)</f>
        <v/>
      </c>
      <c r="M76" s="39">
        <f>IF(OR(K76="已关闭",H76=""),"否",IF(H76&lt;项目驾驶舱!$B$3,"是","否"))</f>
        <v/>
      </c>
      <c r="N76" s="40" t="n"/>
    </row>
    <row r="77" ht="17" customHeight="1" s="1">
      <c r="A77" s="37" t="n"/>
      <c r="B77" s="39" t="n"/>
      <c r="C77" s="39" t="n"/>
      <c r="D77" s="39" t="n"/>
      <c r="E77" s="39" t="n"/>
      <c r="F77" s="39" t="n"/>
      <c r="G77" s="39" t="n"/>
      <c r="H77" s="108" t="n"/>
      <c r="I77" s="108" t="n"/>
      <c r="J77" s="39" t="n"/>
      <c r="K77" s="39" t="n"/>
      <c r="L77" s="39">
        <f>IF(H77="","",H77-项目驾驶舱!$B$3)</f>
        <v/>
      </c>
      <c r="M77" s="39">
        <f>IF(OR(K77="已关闭",H77=""),"否",IF(H77&lt;项目驾驶舱!$B$3,"是","否"))</f>
        <v/>
      </c>
      <c r="N77" s="40" t="n"/>
    </row>
    <row r="78" ht="17" customHeight="1" s="1">
      <c r="A78" s="37" t="n"/>
      <c r="B78" s="39" t="n"/>
      <c r="C78" s="39" t="n"/>
      <c r="D78" s="39" t="n"/>
      <c r="E78" s="39" t="n"/>
      <c r="F78" s="39" t="n"/>
      <c r="G78" s="39" t="n"/>
      <c r="H78" s="108" t="n"/>
      <c r="I78" s="108" t="n"/>
      <c r="J78" s="39" t="n"/>
      <c r="K78" s="39" t="n"/>
      <c r="L78" s="39">
        <f>IF(H78="","",H78-项目驾驶舱!$B$3)</f>
        <v/>
      </c>
      <c r="M78" s="39">
        <f>IF(OR(K78="已关闭",H78=""),"否",IF(H78&lt;项目驾驶舱!$B$3,"是","否"))</f>
        <v/>
      </c>
      <c r="N78" s="40" t="n"/>
    </row>
    <row r="79" ht="17" customHeight="1" s="1">
      <c r="A79" s="37" t="n"/>
      <c r="B79" s="39" t="n"/>
      <c r="C79" s="39" t="n"/>
      <c r="D79" s="39" t="n"/>
      <c r="E79" s="39" t="n"/>
      <c r="F79" s="39" t="n"/>
      <c r="G79" s="39" t="n"/>
      <c r="H79" s="108" t="n"/>
      <c r="I79" s="108" t="n"/>
      <c r="J79" s="39" t="n"/>
      <c r="K79" s="39" t="n"/>
      <c r="L79" s="39">
        <f>IF(H79="","",H79-项目驾驶舱!$B$3)</f>
        <v/>
      </c>
      <c r="M79" s="39">
        <f>IF(OR(K79="已关闭",H79=""),"否",IF(H79&lt;项目驾驶舱!$B$3,"是","否"))</f>
        <v/>
      </c>
      <c r="N79" s="40" t="n"/>
    </row>
    <row r="80" ht="17" customHeight="1" s="1">
      <c r="A80" s="37" t="n"/>
      <c r="B80" s="39" t="n"/>
      <c r="C80" s="39" t="n"/>
      <c r="D80" s="39" t="n"/>
      <c r="E80" s="39" t="n"/>
      <c r="F80" s="39" t="n"/>
      <c r="G80" s="39" t="n"/>
      <c r="H80" s="108" t="n"/>
      <c r="I80" s="108" t="n"/>
      <c r="J80" s="39" t="n"/>
      <c r="K80" s="39" t="n"/>
      <c r="L80" s="39">
        <f>IF(H80="","",H80-项目驾驶舱!$B$3)</f>
        <v/>
      </c>
      <c r="M80" s="39">
        <f>IF(OR(K80="已关闭",H80=""),"否",IF(H80&lt;项目驾驶舱!$B$3,"是","否"))</f>
        <v/>
      </c>
      <c r="N80" s="40" t="n"/>
    </row>
    <row r="81" ht="17" customHeight="1" s="1">
      <c r="A81" s="37" t="n"/>
      <c r="B81" s="39" t="n"/>
      <c r="C81" s="39" t="n"/>
      <c r="D81" s="39" t="n"/>
      <c r="E81" s="39" t="n"/>
      <c r="F81" s="39" t="n"/>
      <c r="G81" s="39" t="n"/>
      <c r="H81" s="108" t="n"/>
      <c r="I81" s="108" t="n"/>
      <c r="J81" s="39" t="n"/>
      <c r="K81" s="39" t="n"/>
      <c r="L81" s="39">
        <f>IF(H81="","",H81-项目驾驶舱!$B$3)</f>
        <v/>
      </c>
      <c r="M81" s="39">
        <f>IF(OR(K81="已关闭",H81=""),"否",IF(H81&lt;项目驾驶舱!$B$3,"是","否"))</f>
        <v/>
      </c>
      <c r="N81" s="40" t="n"/>
    </row>
    <row r="82" ht="17" customHeight="1" s="1">
      <c r="A82" s="37" t="n"/>
      <c r="B82" s="39" t="n"/>
      <c r="C82" s="39" t="n"/>
      <c r="D82" s="39" t="n"/>
      <c r="E82" s="39" t="n"/>
      <c r="F82" s="39" t="n"/>
      <c r="G82" s="39" t="n"/>
      <c r="H82" s="108" t="n"/>
      <c r="I82" s="108" t="n"/>
      <c r="J82" s="39" t="n"/>
      <c r="K82" s="39" t="n"/>
      <c r="L82" s="39">
        <f>IF(H82="","",H82-项目驾驶舱!$B$3)</f>
        <v/>
      </c>
      <c r="M82" s="39">
        <f>IF(OR(K82="已关闭",H82=""),"否",IF(H82&lt;项目驾驶舱!$B$3,"是","否"))</f>
        <v/>
      </c>
      <c r="N82" s="40" t="n"/>
    </row>
    <row r="83" ht="17" customHeight="1" s="1">
      <c r="A83" s="37" t="n"/>
      <c r="B83" s="39" t="n"/>
      <c r="C83" s="39" t="n"/>
      <c r="D83" s="39" t="n"/>
      <c r="E83" s="39" t="n"/>
      <c r="F83" s="39" t="n"/>
      <c r="G83" s="39" t="n"/>
      <c r="H83" s="108" t="n"/>
      <c r="I83" s="108" t="n"/>
      <c r="J83" s="39" t="n"/>
      <c r="K83" s="39" t="n"/>
      <c r="L83" s="39">
        <f>IF(H83="","",H83-项目驾驶舱!$B$3)</f>
        <v/>
      </c>
      <c r="M83" s="39">
        <f>IF(OR(K83="已关闭",H83=""),"否",IF(H83&lt;项目驾驶舱!$B$3,"是","否"))</f>
        <v/>
      </c>
      <c r="N83" s="40" t="n"/>
    </row>
    <row r="84" ht="17" customHeight="1" s="1">
      <c r="A84" s="37" t="n"/>
      <c r="B84" s="39" t="n"/>
      <c r="C84" s="39" t="n"/>
      <c r="D84" s="39" t="n"/>
      <c r="E84" s="39" t="n"/>
      <c r="F84" s="39" t="n"/>
      <c r="G84" s="39" t="n"/>
      <c r="H84" s="108" t="n"/>
      <c r="I84" s="108" t="n"/>
      <c r="J84" s="39" t="n"/>
      <c r="K84" s="39" t="n"/>
      <c r="L84" s="39">
        <f>IF(H84="","",H84-项目驾驶舱!$B$3)</f>
        <v/>
      </c>
      <c r="M84" s="39">
        <f>IF(OR(K84="已关闭",H84=""),"否",IF(H84&lt;项目驾驶舱!$B$3,"是","否"))</f>
        <v/>
      </c>
      <c r="N84" s="40" t="n"/>
    </row>
    <row r="85" ht="17" customHeight="1" s="1">
      <c r="A85" s="37" t="n"/>
      <c r="B85" s="39" t="n"/>
      <c r="C85" s="39" t="n"/>
      <c r="D85" s="39" t="n"/>
      <c r="E85" s="39" t="n"/>
      <c r="F85" s="39" t="n"/>
      <c r="G85" s="39" t="n"/>
      <c r="H85" s="108" t="n"/>
      <c r="I85" s="108" t="n"/>
      <c r="J85" s="39" t="n"/>
      <c r="K85" s="39" t="n"/>
      <c r="L85" s="39">
        <f>IF(H85="","",H85-项目驾驶舱!$B$3)</f>
        <v/>
      </c>
      <c r="M85" s="39">
        <f>IF(OR(K85="已关闭",H85=""),"否",IF(H85&lt;项目驾驶舱!$B$3,"是","否"))</f>
        <v/>
      </c>
      <c r="N85" s="40" t="n"/>
    </row>
    <row r="86" ht="17" customHeight="1" s="1">
      <c r="A86" s="37" t="n"/>
      <c r="B86" s="39" t="n"/>
      <c r="C86" s="39" t="n"/>
      <c r="D86" s="39" t="n"/>
      <c r="E86" s="39" t="n"/>
      <c r="F86" s="39" t="n"/>
      <c r="G86" s="39" t="n"/>
      <c r="H86" s="108" t="n"/>
      <c r="I86" s="108" t="n"/>
      <c r="J86" s="39" t="n"/>
      <c r="K86" s="39" t="n"/>
      <c r="L86" s="39">
        <f>IF(H86="","",H86-项目驾驶舱!$B$3)</f>
        <v/>
      </c>
      <c r="M86" s="39">
        <f>IF(OR(K86="已关闭",H86=""),"否",IF(H86&lt;项目驾驶舱!$B$3,"是","否"))</f>
        <v/>
      </c>
      <c r="N86" s="40" t="n"/>
    </row>
    <row r="87" ht="17" customHeight="1" s="1">
      <c r="A87" s="37" t="n"/>
      <c r="B87" s="39" t="n"/>
      <c r="C87" s="39" t="n"/>
      <c r="D87" s="39" t="n"/>
      <c r="E87" s="39" t="n"/>
      <c r="F87" s="39" t="n"/>
      <c r="G87" s="39" t="n"/>
      <c r="H87" s="108" t="n"/>
      <c r="I87" s="108" t="n"/>
      <c r="J87" s="39" t="n"/>
      <c r="K87" s="39" t="n"/>
      <c r="L87" s="39">
        <f>IF(H87="","",H87-项目驾驶舱!$B$3)</f>
        <v/>
      </c>
      <c r="M87" s="39">
        <f>IF(OR(K87="已关闭",H87=""),"否",IF(H87&lt;项目驾驶舱!$B$3,"是","否"))</f>
        <v/>
      </c>
      <c r="N87" s="40" t="n"/>
    </row>
    <row r="88" ht="17" customHeight="1" s="1">
      <c r="A88" s="37" t="n"/>
      <c r="B88" s="39" t="n"/>
      <c r="C88" s="39" t="n"/>
      <c r="D88" s="39" t="n"/>
      <c r="E88" s="39" t="n"/>
      <c r="F88" s="39" t="n"/>
      <c r="G88" s="39" t="n"/>
      <c r="H88" s="108" t="n"/>
      <c r="I88" s="108" t="n"/>
      <c r="J88" s="39" t="n"/>
      <c r="K88" s="39" t="n"/>
      <c r="L88" s="39">
        <f>IF(H88="","",H88-项目驾驶舱!$B$3)</f>
        <v/>
      </c>
      <c r="M88" s="39">
        <f>IF(OR(K88="已关闭",H88=""),"否",IF(H88&lt;项目驾驶舱!$B$3,"是","否"))</f>
        <v/>
      </c>
      <c r="N88" s="40" t="n"/>
    </row>
    <row r="89" ht="17" customHeight="1" s="1">
      <c r="A89" s="37" t="n"/>
      <c r="B89" s="39" t="n"/>
      <c r="C89" s="39" t="n"/>
      <c r="D89" s="39" t="n"/>
      <c r="E89" s="39" t="n"/>
      <c r="F89" s="39" t="n"/>
      <c r="G89" s="39" t="n"/>
      <c r="H89" s="108" t="n"/>
      <c r="I89" s="108" t="n"/>
      <c r="J89" s="39" t="n"/>
      <c r="K89" s="39" t="n"/>
      <c r="L89" s="39">
        <f>IF(H89="","",H89-项目驾驶舱!$B$3)</f>
        <v/>
      </c>
      <c r="M89" s="39">
        <f>IF(OR(K89="已关闭",H89=""),"否",IF(H89&lt;项目驾驶舱!$B$3,"是","否"))</f>
        <v/>
      </c>
      <c r="N89" s="40" t="n"/>
    </row>
    <row r="90" ht="17" customHeight="1" s="1">
      <c r="A90" s="37" t="n"/>
      <c r="B90" s="39" t="n"/>
      <c r="C90" s="39" t="n"/>
      <c r="D90" s="39" t="n"/>
      <c r="E90" s="39" t="n"/>
      <c r="F90" s="39" t="n"/>
      <c r="G90" s="39" t="n"/>
      <c r="H90" s="108" t="n"/>
      <c r="I90" s="108" t="n"/>
      <c r="J90" s="39" t="n"/>
      <c r="K90" s="39" t="n"/>
      <c r="L90" s="39">
        <f>IF(H90="","",H90-项目驾驶舱!$B$3)</f>
        <v/>
      </c>
      <c r="M90" s="39">
        <f>IF(OR(K90="已关闭",H90=""),"否",IF(H90&lt;项目驾驶舱!$B$3,"是","否"))</f>
        <v/>
      </c>
      <c r="N90" s="40" t="n"/>
    </row>
    <row r="91" ht="17" customHeight="1" s="1">
      <c r="A91" s="37" t="n"/>
      <c r="B91" s="39" t="n"/>
      <c r="C91" s="39" t="n"/>
      <c r="D91" s="39" t="n"/>
      <c r="E91" s="39" t="n"/>
      <c r="F91" s="39" t="n"/>
      <c r="G91" s="39" t="n"/>
      <c r="H91" s="108" t="n"/>
      <c r="I91" s="108" t="n"/>
      <c r="J91" s="39" t="n"/>
      <c r="K91" s="39" t="n"/>
      <c r="L91" s="39">
        <f>IF(H91="","",H91-项目驾驶舱!$B$3)</f>
        <v/>
      </c>
      <c r="M91" s="39">
        <f>IF(OR(K91="已关闭",H91=""),"否",IF(H91&lt;项目驾驶舱!$B$3,"是","否"))</f>
        <v/>
      </c>
      <c r="N91" s="40" t="n"/>
    </row>
    <row r="92" ht="17" customHeight="1" s="1">
      <c r="A92" s="37" t="n"/>
      <c r="B92" s="39" t="n"/>
      <c r="C92" s="39" t="n"/>
      <c r="D92" s="39" t="n"/>
      <c r="E92" s="39" t="n"/>
      <c r="F92" s="39" t="n"/>
      <c r="G92" s="39" t="n"/>
      <c r="H92" s="108" t="n"/>
      <c r="I92" s="108" t="n"/>
      <c r="J92" s="39" t="n"/>
      <c r="K92" s="39" t="n"/>
      <c r="L92" s="39">
        <f>IF(H92="","",H92-项目驾驶舱!$B$3)</f>
        <v/>
      </c>
      <c r="M92" s="39">
        <f>IF(OR(K92="已关闭",H92=""),"否",IF(H92&lt;项目驾驶舱!$B$3,"是","否"))</f>
        <v/>
      </c>
      <c r="N92" s="40" t="n"/>
    </row>
    <row r="93" ht="17" customHeight="1" s="1">
      <c r="A93" s="37" t="n"/>
      <c r="B93" s="39" t="n"/>
      <c r="C93" s="39" t="n"/>
      <c r="D93" s="39" t="n"/>
      <c r="E93" s="39" t="n"/>
      <c r="F93" s="39" t="n"/>
      <c r="G93" s="39" t="n"/>
      <c r="H93" s="108" t="n"/>
      <c r="I93" s="108" t="n"/>
      <c r="J93" s="39" t="n"/>
      <c r="K93" s="39" t="n"/>
      <c r="L93" s="39">
        <f>IF(H93="","",H93-项目驾驶舱!$B$3)</f>
        <v/>
      </c>
      <c r="M93" s="39">
        <f>IF(OR(K93="已关闭",H93=""),"否",IF(H93&lt;项目驾驶舱!$B$3,"是","否"))</f>
        <v/>
      </c>
      <c r="N93" s="40" t="n"/>
    </row>
    <row r="94" ht="17" customHeight="1" s="1">
      <c r="A94" s="37" t="n"/>
      <c r="B94" s="39" t="n"/>
      <c r="C94" s="39" t="n"/>
      <c r="D94" s="39" t="n"/>
      <c r="E94" s="39" t="n"/>
      <c r="F94" s="39" t="n"/>
      <c r="G94" s="39" t="n"/>
      <c r="H94" s="108" t="n"/>
      <c r="I94" s="108" t="n"/>
      <c r="J94" s="39" t="n"/>
      <c r="K94" s="39" t="n"/>
      <c r="L94" s="39">
        <f>IF(H94="","",H94-项目驾驶舱!$B$3)</f>
        <v/>
      </c>
      <c r="M94" s="39">
        <f>IF(OR(K94="已关闭",H94=""),"否",IF(H94&lt;项目驾驶舱!$B$3,"是","否"))</f>
        <v/>
      </c>
      <c r="N94" s="40" t="n"/>
    </row>
    <row r="95" ht="17" customHeight="1" s="1">
      <c r="A95" s="37" t="n"/>
      <c r="B95" s="39" t="n"/>
      <c r="C95" s="39" t="n"/>
      <c r="D95" s="39" t="n"/>
      <c r="E95" s="39" t="n"/>
      <c r="F95" s="39" t="n"/>
      <c r="G95" s="39" t="n"/>
      <c r="H95" s="108" t="n"/>
      <c r="I95" s="108" t="n"/>
      <c r="J95" s="39" t="n"/>
      <c r="K95" s="39" t="n"/>
      <c r="L95" s="39">
        <f>IF(H95="","",H95-项目驾驶舱!$B$3)</f>
        <v/>
      </c>
      <c r="M95" s="39">
        <f>IF(OR(K95="已关闭",H95=""),"否",IF(H95&lt;项目驾驶舱!$B$3,"是","否"))</f>
        <v/>
      </c>
      <c r="N95" s="40" t="n"/>
    </row>
    <row r="96" ht="17" customHeight="1" s="1">
      <c r="A96" s="37" t="n"/>
      <c r="B96" s="39" t="n"/>
      <c r="C96" s="39" t="n"/>
      <c r="D96" s="39" t="n"/>
      <c r="E96" s="39" t="n"/>
      <c r="F96" s="39" t="n"/>
      <c r="G96" s="39" t="n"/>
      <c r="H96" s="108" t="n"/>
      <c r="I96" s="108" t="n"/>
      <c r="J96" s="39" t="n"/>
      <c r="K96" s="39" t="n"/>
      <c r="L96" s="39">
        <f>IF(H96="","",H96-项目驾驶舱!$B$3)</f>
        <v/>
      </c>
      <c r="M96" s="39">
        <f>IF(OR(K96="已关闭",H96=""),"否",IF(H96&lt;项目驾驶舱!$B$3,"是","否"))</f>
        <v/>
      </c>
      <c r="N96" s="40" t="n"/>
    </row>
    <row r="97" ht="17" customHeight="1" s="1">
      <c r="A97" s="37" t="n"/>
      <c r="B97" s="39" t="n"/>
      <c r="C97" s="39" t="n"/>
      <c r="D97" s="39" t="n"/>
      <c r="E97" s="39" t="n"/>
      <c r="F97" s="39" t="n"/>
      <c r="G97" s="39" t="n"/>
      <c r="H97" s="108" t="n"/>
      <c r="I97" s="108" t="n"/>
      <c r="J97" s="39" t="n"/>
      <c r="K97" s="39" t="n"/>
      <c r="L97" s="39">
        <f>IF(H97="","",H97-项目驾驶舱!$B$3)</f>
        <v/>
      </c>
      <c r="M97" s="39">
        <f>IF(OR(K97="已关闭",H97=""),"否",IF(H97&lt;项目驾驶舱!$B$3,"是","否"))</f>
        <v/>
      </c>
      <c r="N97" s="40" t="n"/>
    </row>
    <row r="98" ht="17" customHeight="1" s="1">
      <c r="A98" s="37" t="n"/>
      <c r="B98" s="39" t="n"/>
      <c r="C98" s="39" t="n"/>
      <c r="D98" s="39" t="n"/>
      <c r="E98" s="39" t="n"/>
      <c r="F98" s="39" t="n"/>
      <c r="G98" s="39" t="n"/>
      <c r="H98" s="108" t="n"/>
      <c r="I98" s="108" t="n"/>
      <c r="J98" s="39" t="n"/>
      <c r="K98" s="39" t="n"/>
      <c r="L98" s="39">
        <f>IF(H98="","",H98-项目驾驶舱!$B$3)</f>
        <v/>
      </c>
      <c r="M98" s="39">
        <f>IF(OR(K98="已关闭",H98=""),"否",IF(H98&lt;项目驾驶舱!$B$3,"是","否"))</f>
        <v/>
      </c>
      <c r="N98" s="40" t="n"/>
    </row>
    <row r="99" ht="17" customHeight="1" s="1">
      <c r="A99" s="37" t="n"/>
      <c r="B99" s="39" t="n"/>
      <c r="C99" s="39" t="n"/>
      <c r="D99" s="39" t="n"/>
      <c r="E99" s="39" t="n"/>
      <c r="F99" s="39" t="n"/>
      <c r="G99" s="39" t="n"/>
      <c r="H99" s="108" t="n"/>
      <c r="I99" s="108" t="n"/>
      <c r="J99" s="39" t="n"/>
      <c r="K99" s="39" t="n"/>
      <c r="L99" s="39">
        <f>IF(H99="","",H99-项目驾驶舱!$B$3)</f>
        <v/>
      </c>
      <c r="M99" s="39">
        <f>IF(OR(K99="已关闭",H99=""),"否",IF(H99&lt;项目驾驶舱!$B$3,"是","否"))</f>
        <v/>
      </c>
      <c r="N99" s="40" t="n"/>
    </row>
    <row r="100" ht="17" customHeight="1" s="1">
      <c r="A100" s="37" t="n"/>
      <c r="B100" s="39" t="n"/>
      <c r="C100" s="39" t="n"/>
      <c r="D100" s="39" t="n"/>
      <c r="E100" s="39" t="n"/>
      <c r="F100" s="39" t="n"/>
      <c r="G100" s="39" t="n"/>
      <c r="H100" s="108" t="n"/>
      <c r="I100" s="108" t="n"/>
      <c r="J100" s="39" t="n"/>
      <c r="K100" s="39" t="n"/>
      <c r="L100" s="39">
        <f>IF(H100="","",H100-项目驾驶舱!$B$3)</f>
        <v/>
      </c>
      <c r="M100" s="39">
        <f>IF(OR(K100="已关闭",H100=""),"否",IF(H100&lt;项目驾驶舱!$B$3,"是","否"))</f>
        <v/>
      </c>
      <c r="N100" s="40" t="n"/>
    </row>
    <row r="101" ht="17" customHeight="1" s="1">
      <c r="A101" s="37" t="n"/>
      <c r="B101" s="39" t="n"/>
      <c r="C101" s="39" t="n"/>
      <c r="D101" s="39" t="n"/>
      <c r="E101" s="39" t="n"/>
      <c r="F101" s="39" t="n"/>
      <c r="G101" s="39" t="n"/>
      <c r="H101" s="108" t="n"/>
      <c r="I101" s="108" t="n"/>
      <c r="J101" s="39" t="n"/>
      <c r="K101" s="39" t="n"/>
      <c r="L101" s="39">
        <f>IF(H101="","",H101-项目驾驶舱!$B$3)</f>
        <v/>
      </c>
      <c r="M101" s="39">
        <f>IF(OR(K101="已关闭",H101=""),"否",IF(H101&lt;项目驾驶舱!$B$3,"是","否"))</f>
        <v/>
      </c>
      <c r="N101" s="40" t="n"/>
    </row>
    <row r="102" ht="17" customHeight="1" s="1">
      <c r="A102" s="37" t="n"/>
      <c r="B102" s="39" t="n"/>
      <c r="C102" s="39" t="n"/>
      <c r="D102" s="39" t="n"/>
      <c r="E102" s="39" t="n"/>
      <c r="F102" s="39" t="n"/>
      <c r="G102" s="39" t="n"/>
      <c r="H102" s="108" t="n"/>
      <c r="I102" s="108" t="n"/>
      <c r="J102" s="39" t="n"/>
      <c r="K102" s="39" t="n"/>
      <c r="L102" s="39">
        <f>IF(H102="","",H102-项目驾驶舱!$B$3)</f>
        <v/>
      </c>
      <c r="M102" s="39">
        <f>IF(OR(K102="已关闭",H102=""),"否",IF(H102&lt;项目驾驶舱!$B$3,"是","否"))</f>
        <v/>
      </c>
      <c r="N102" s="40" t="n"/>
    </row>
    <row r="103" ht="17" customHeight="1" s="1">
      <c r="A103" s="41" t="n"/>
      <c r="B103" s="43" t="n"/>
      <c r="C103" s="43" t="n"/>
      <c r="D103" s="43" t="n"/>
      <c r="E103" s="43" t="n"/>
      <c r="F103" s="43" t="n"/>
      <c r="G103" s="43" t="n"/>
      <c r="H103" s="109" t="n"/>
      <c r="I103" s="109" t="n"/>
      <c r="J103" s="43" t="n"/>
      <c r="K103" s="43" t="n"/>
      <c r="L103" s="43">
        <f>IF(H103="","",H103-项目驾驶舱!$B$3)</f>
        <v/>
      </c>
      <c r="M103" s="43">
        <f>IF(OR(K103="已关闭",H103=""),"否",IF(H103&lt;项目驾驶舱!$B$3,"是","否"))</f>
        <v/>
      </c>
      <c r="N103" s="44" t="n"/>
    </row>
  </sheetData>
  <mergeCells count="1">
    <mergeCell ref="A1:N1"/>
  </mergeCells>
  <conditionalFormatting sqref="D4:D103">
    <cfRule type="containsText" priority="1" operator="between" dxfId="4" text="高">
      <formula>NOT(ISERROR(SEARCH("高",D4)))</formula>
    </cfRule>
  </conditionalFormatting>
  <conditionalFormatting sqref="M4:M103">
    <cfRule type="containsText" priority="2" operator="between" dxfId="4" text="是">
      <formula>NOT(ISERROR(SEARCH("是",M4)))</formula>
    </cfRule>
  </conditionalFormatting>
  <dataValidations count="3">
    <dataValidation sqref="B4:B103" showDropDown="0" showInputMessage="0" showErrorMessage="0" allowBlank="0" type="list">
      <formula1>"风险,问题"</formula1>
    </dataValidation>
    <dataValidation sqref="D4:D103" showDropDown="0" showInputMessage="0" showErrorMessage="0" allowBlank="0" type="list">
      <formula1>"低,中,高"</formula1>
    </dataValidation>
    <dataValidation sqref="K4:K103" showDropDown="0" showInputMessage="0" showErrorMessage="0" allowBlank="0" type="list">
      <formula1>"待处理,处理中,已关闭,已接受"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3"/>
  <sheetViews>
    <sheetView showGridLines="0" workbookViewId="0">
      <selection activeCell="A1" sqref="A1:N1"/>
    </sheetView>
  </sheetViews>
  <sheetFormatPr baseColWidth="8" defaultColWidth="9" defaultRowHeight="16.8"/>
  <cols>
    <col width="13" customWidth="1" style="1" min="1" max="3"/>
    <col width="38" customWidth="1" style="1" min="4" max="4"/>
    <col width="28" customWidth="1" style="1" min="5" max="5"/>
    <col width="10" customWidth="1" style="1" min="6" max="6"/>
    <col width="12" customWidth="1" style="1" min="7" max="7"/>
    <col width="32" customWidth="1" style="1" min="8" max="8"/>
    <col width="13" customWidth="1" style="1" min="9" max="9"/>
    <col width="15" customWidth="1" style="1" min="10" max="10"/>
    <col width="13" customWidth="1" style="1" min="11" max="13"/>
    <col width="30" customWidth="1" style="1" min="14" max="14"/>
  </cols>
  <sheetData>
    <row r="1" ht="34" customHeight="1" s="1">
      <c r="A1" s="29" t="inlineStr">
        <is>
          <t>项目变更台账</t>
        </is>
      </c>
    </row>
    <row r="3" ht="30" customHeight="1" s="1">
      <c r="A3" s="32" t="inlineStr">
        <is>
          <t>变更编号</t>
        </is>
      </c>
      <c r="B3" s="32" t="inlineStr">
        <is>
          <t>提出日期</t>
        </is>
      </c>
      <c r="C3" s="32" t="inlineStr">
        <is>
          <t>提出人</t>
        </is>
      </c>
      <c r="D3" s="32" t="inlineStr">
        <is>
          <t>变更内容</t>
        </is>
      </c>
      <c r="E3" s="32" t="inlineStr">
        <is>
          <t>变更原因</t>
        </is>
      </c>
      <c r="F3" s="32" t="inlineStr">
        <is>
          <t>优先级</t>
        </is>
      </c>
      <c r="G3" s="32" t="inlineStr">
        <is>
          <t>审批状态</t>
        </is>
      </c>
      <c r="H3" s="32" t="inlineStr">
        <is>
          <t>范围影响</t>
        </is>
      </c>
      <c r="I3" s="32" t="inlineStr">
        <is>
          <t>工期影响(天)</t>
        </is>
      </c>
      <c r="J3" s="32" t="inlineStr">
        <is>
          <t>成本影响</t>
        </is>
      </c>
      <c r="K3" s="32" t="inlineStr">
        <is>
          <t>评估人</t>
        </is>
      </c>
      <c r="L3" s="32" t="inlineStr">
        <is>
          <t>批准人</t>
        </is>
      </c>
      <c r="M3" s="32" t="inlineStr">
        <is>
          <t>实施日期</t>
        </is>
      </c>
      <c r="N3" s="32" t="inlineStr">
        <is>
          <t>关闭说明</t>
        </is>
      </c>
    </row>
    <row r="4">
      <c r="A4" s="33" t="n"/>
      <c r="B4" s="107" t="n"/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107" t="n"/>
      <c r="N4" s="36" t="n"/>
    </row>
    <row r="5">
      <c r="A5" s="37" t="n"/>
      <c r="B5" s="108" t="n"/>
      <c r="C5" s="39" t="n"/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108" t="n"/>
      <c r="N5" s="40" t="n"/>
    </row>
    <row r="6">
      <c r="A6" s="37" t="n"/>
      <c r="B6" s="108" t="n"/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108" t="n"/>
      <c r="N6" s="40" t="n"/>
    </row>
    <row r="7">
      <c r="A7" s="37" t="n"/>
      <c r="B7" s="108" t="n"/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  <c r="M7" s="108" t="n"/>
      <c r="N7" s="40" t="n"/>
    </row>
    <row r="8">
      <c r="A8" s="37" t="n"/>
      <c r="B8" s="108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108" t="n"/>
      <c r="N8" s="40" t="n"/>
    </row>
    <row r="9">
      <c r="A9" s="37" t="n"/>
      <c r="B9" s="108" t="n"/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108" t="n"/>
      <c r="N9" s="40" t="n"/>
    </row>
    <row r="10">
      <c r="A10" s="37" t="n"/>
      <c r="B10" s="108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108" t="n"/>
      <c r="N10" s="40" t="n"/>
    </row>
    <row r="11">
      <c r="A11" s="37" t="n"/>
      <c r="B11" s="108" t="n"/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108" t="n"/>
      <c r="N11" s="40" t="n"/>
    </row>
    <row r="12">
      <c r="A12" s="37" t="n"/>
      <c r="B12" s="108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108" t="n"/>
      <c r="N12" s="40" t="n"/>
    </row>
    <row r="13">
      <c r="A13" s="37" t="n"/>
      <c r="B13" s="108" t="n"/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108" t="n"/>
      <c r="N13" s="40" t="n"/>
    </row>
    <row r="14">
      <c r="A14" s="37" t="n"/>
      <c r="B14" s="108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108" t="n"/>
      <c r="N14" s="40" t="n"/>
    </row>
    <row r="15">
      <c r="A15" s="37" t="n"/>
      <c r="B15" s="108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108" t="n"/>
      <c r="N15" s="40" t="n"/>
    </row>
    <row r="16">
      <c r="A16" s="37" t="n"/>
      <c r="B16" s="108" t="n"/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108" t="n"/>
      <c r="N16" s="40" t="n"/>
    </row>
    <row r="17">
      <c r="A17" s="37" t="n"/>
      <c r="B17" s="108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108" t="n"/>
      <c r="N17" s="40" t="n"/>
    </row>
    <row r="18">
      <c r="A18" s="37" t="n"/>
      <c r="B18" s="108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108" t="n"/>
      <c r="N18" s="40" t="n"/>
    </row>
    <row r="19">
      <c r="A19" s="37" t="n"/>
      <c r="B19" s="108" t="n"/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108" t="n"/>
      <c r="N19" s="40" t="n"/>
    </row>
    <row r="20">
      <c r="A20" s="37" t="n"/>
      <c r="B20" s="108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108" t="n"/>
      <c r="N20" s="40" t="n"/>
    </row>
    <row r="21">
      <c r="A21" s="37" t="n"/>
      <c r="B21" s="108" t="n"/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108" t="n"/>
      <c r="N21" s="40" t="n"/>
    </row>
    <row r="22">
      <c r="A22" s="37" t="n"/>
      <c r="B22" s="108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108" t="n"/>
      <c r="N22" s="40" t="n"/>
    </row>
    <row r="23">
      <c r="A23" s="37" t="n"/>
      <c r="B23" s="108" t="n"/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108" t="n"/>
      <c r="N23" s="40" t="n"/>
    </row>
    <row r="24">
      <c r="A24" s="37" t="n"/>
      <c r="B24" s="108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108" t="n"/>
      <c r="N24" s="40" t="n"/>
    </row>
    <row r="25">
      <c r="A25" s="37" t="n"/>
      <c r="B25" s="108" t="n"/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108" t="n"/>
      <c r="N25" s="40" t="n"/>
    </row>
    <row r="26">
      <c r="A26" s="37" t="n"/>
      <c r="B26" s="108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108" t="n"/>
      <c r="N26" s="40" t="n"/>
    </row>
    <row r="27">
      <c r="A27" s="37" t="n"/>
      <c r="B27" s="108" t="n"/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108" t="n"/>
      <c r="N27" s="40" t="n"/>
    </row>
    <row r="28">
      <c r="A28" s="37" t="n"/>
      <c r="B28" s="108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108" t="n"/>
      <c r="N28" s="40" t="n"/>
    </row>
    <row r="29">
      <c r="A29" s="37" t="n"/>
      <c r="B29" s="108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108" t="n"/>
      <c r="N29" s="40" t="n"/>
    </row>
    <row r="30">
      <c r="A30" s="37" t="n"/>
      <c r="B30" s="108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108" t="n"/>
      <c r="N30" s="40" t="n"/>
    </row>
    <row r="31">
      <c r="A31" s="37" t="n"/>
      <c r="B31" s="108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108" t="n"/>
      <c r="N31" s="40" t="n"/>
    </row>
    <row r="32">
      <c r="A32" s="37" t="n"/>
      <c r="B32" s="108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108" t="n"/>
      <c r="N32" s="40" t="n"/>
    </row>
    <row r="33">
      <c r="A33" s="37" t="n"/>
      <c r="B33" s="108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108" t="n"/>
      <c r="N33" s="40" t="n"/>
    </row>
    <row r="34">
      <c r="A34" s="37" t="n"/>
      <c r="B34" s="108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108" t="n"/>
      <c r="N34" s="40" t="n"/>
    </row>
    <row r="35">
      <c r="A35" s="37" t="n"/>
      <c r="B35" s="108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108" t="n"/>
      <c r="N35" s="40" t="n"/>
    </row>
    <row r="36">
      <c r="A36" s="37" t="n"/>
      <c r="B36" s="108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108" t="n"/>
      <c r="N36" s="40" t="n"/>
    </row>
    <row r="37">
      <c r="A37" s="37" t="n"/>
      <c r="B37" s="108" t="n"/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108" t="n"/>
      <c r="N37" s="40" t="n"/>
    </row>
    <row r="38">
      <c r="A38" s="37" t="n"/>
      <c r="B38" s="108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108" t="n"/>
      <c r="N38" s="40" t="n"/>
    </row>
    <row r="39">
      <c r="A39" s="37" t="n"/>
      <c r="B39" s="108" t="n"/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108" t="n"/>
      <c r="N39" s="40" t="n"/>
    </row>
    <row r="40">
      <c r="A40" s="37" t="n"/>
      <c r="B40" s="108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108" t="n"/>
      <c r="N40" s="40" t="n"/>
    </row>
    <row r="41">
      <c r="A41" s="37" t="n"/>
      <c r="B41" s="108" t="n"/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108" t="n"/>
      <c r="N41" s="40" t="n"/>
    </row>
    <row r="42">
      <c r="A42" s="37" t="n"/>
      <c r="B42" s="108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108" t="n"/>
      <c r="N42" s="40" t="n"/>
    </row>
    <row r="43">
      <c r="A43" s="37" t="n"/>
      <c r="B43" s="108" t="n"/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108" t="n"/>
      <c r="N43" s="40" t="n"/>
    </row>
    <row r="44">
      <c r="A44" s="37" t="n"/>
      <c r="B44" s="108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108" t="n"/>
      <c r="N44" s="40" t="n"/>
    </row>
    <row r="45">
      <c r="A45" s="37" t="n"/>
      <c r="B45" s="108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108" t="n"/>
      <c r="N45" s="40" t="n"/>
    </row>
    <row r="46">
      <c r="A46" s="37" t="n"/>
      <c r="B46" s="108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108" t="n"/>
      <c r="N46" s="40" t="n"/>
    </row>
    <row r="47">
      <c r="A47" s="37" t="n"/>
      <c r="B47" s="108" t="n"/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108" t="n"/>
      <c r="N47" s="40" t="n"/>
    </row>
    <row r="48">
      <c r="A48" s="37" t="n"/>
      <c r="B48" s="108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108" t="n"/>
      <c r="N48" s="40" t="n"/>
    </row>
    <row r="49">
      <c r="A49" s="37" t="n"/>
      <c r="B49" s="108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108" t="n"/>
      <c r="N49" s="40" t="n"/>
    </row>
    <row r="50">
      <c r="A50" s="37" t="n"/>
      <c r="B50" s="108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108" t="n"/>
      <c r="N50" s="40" t="n"/>
    </row>
    <row r="51">
      <c r="A51" s="37" t="n"/>
      <c r="B51" s="108" t="n"/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108" t="n"/>
      <c r="N51" s="40" t="n"/>
    </row>
    <row r="52">
      <c r="A52" s="37" t="n"/>
      <c r="B52" s="108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108" t="n"/>
      <c r="N52" s="40" t="n"/>
    </row>
    <row r="53">
      <c r="A53" s="41" t="n"/>
      <c r="B53" s="109" t="n"/>
      <c r="C53" s="43" t="n"/>
      <c r="D53" s="43" t="n"/>
      <c r="E53" s="43" t="n"/>
      <c r="F53" s="43" t="n"/>
      <c r="G53" s="43" t="n"/>
      <c r="H53" s="43" t="n"/>
      <c r="I53" s="43" t="n"/>
      <c r="J53" s="43" t="n"/>
      <c r="K53" s="43" t="n"/>
      <c r="L53" s="43" t="n"/>
      <c r="M53" s="109" t="n"/>
      <c r="N53" s="44" t="n"/>
    </row>
  </sheetData>
  <mergeCells count="1">
    <mergeCell ref="A1:N1"/>
  </mergeCells>
  <dataValidations count="2">
    <dataValidation sqref="F4:F53" showDropDown="0" showInputMessage="0" showErrorMessage="0" allowBlank="0" type="list">
      <formula1>"低,中,高,紧急"</formula1>
    </dataValidation>
    <dataValidation sqref="G4:G53" showDropDown="0" showInputMessage="0" showErrorMessage="0" allowBlank="0" type="list">
      <formula1>"评估中,待审批,已批准,已拒绝,已实施,已关闭"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selection activeCell="A1" sqref="A1:K1"/>
    </sheetView>
  </sheetViews>
  <sheetFormatPr baseColWidth="8" defaultColWidth="9" defaultRowHeight="16.8"/>
  <cols>
    <col width="12" customWidth="1" style="1" min="1" max="1"/>
    <col width="30" customWidth="1" style="1" min="2" max="2"/>
    <col width="12" customWidth="1" style="1" min="3" max="3"/>
    <col width="15" customWidth="1" style="1" min="4" max="4"/>
    <col width="13" customWidth="1" style="1" min="5" max="6"/>
    <col width="12" customWidth="1" style="1" min="7" max="7"/>
    <col width="15" customWidth="1" style="1" min="8" max="8"/>
    <col width="14" customWidth="1" style="1" min="9" max="9"/>
    <col width="32" customWidth="1" style="1" min="10" max="10"/>
    <col width="28" customWidth="1" style="1" min="11" max="11"/>
  </cols>
  <sheetData>
    <row r="1" ht="34" customHeight="1" s="1">
      <c r="A1" s="29" t="inlineStr">
        <is>
          <t>项目交付物与质量门禁</t>
        </is>
      </c>
    </row>
    <row r="3" ht="30" customHeight="1" s="1">
      <c r="A3" s="32" t="inlineStr">
        <is>
          <t>交付物ID</t>
        </is>
      </c>
      <c r="B3" s="32" t="inlineStr">
        <is>
          <t>交付物名称</t>
        </is>
      </c>
      <c r="C3" s="32" t="inlineStr">
        <is>
          <t>类别</t>
        </is>
      </c>
      <c r="D3" s="32" t="inlineStr">
        <is>
          <t>责任人</t>
        </is>
      </c>
      <c r="E3" s="32" t="inlineStr">
        <is>
          <t>计划完成</t>
        </is>
      </c>
      <c r="F3" s="32" t="inlineStr">
        <is>
          <t>实际完成</t>
        </is>
      </c>
      <c r="G3" s="32" t="inlineStr">
        <is>
          <t>状态</t>
        </is>
      </c>
      <c r="H3" s="32" t="inlineStr">
        <is>
          <t>评审人</t>
        </is>
      </c>
      <c r="I3" s="32" t="inlineStr">
        <is>
          <t>评审结论</t>
        </is>
      </c>
      <c r="J3" s="32" t="inlineStr">
        <is>
          <t>版本/存放位置</t>
        </is>
      </c>
      <c r="K3" s="32" t="inlineStr">
        <is>
          <t>备注</t>
        </is>
      </c>
    </row>
    <row r="4" ht="17" customHeight="1" s="1">
      <c r="A4" s="33" t="inlineStr">
        <is>
          <t>D-001</t>
        </is>
      </c>
      <c r="B4" s="35" t="inlineStr">
        <is>
          <t>项目管理计划</t>
        </is>
      </c>
      <c r="C4" s="35" t="inlineStr">
        <is>
          <t>管理</t>
        </is>
      </c>
      <c r="D4" s="35" t="inlineStr">
        <is>
          <t>项目经理</t>
        </is>
      </c>
      <c r="E4" s="107" t="n">
        <v>46192</v>
      </c>
      <c r="F4" s="107" t="n"/>
      <c r="G4" s="35" t="inlineStr">
        <is>
          <t>进行中</t>
        </is>
      </c>
      <c r="H4" s="35" t="inlineStr">
        <is>
          <t>项目负责人</t>
        </is>
      </c>
      <c r="I4" s="35" t="inlineStr">
        <is>
          <t>待评审</t>
        </is>
      </c>
      <c r="J4" s="35" t="inlineStr"/>
      <c r="K4" s="36" t="inlineStr"/>
    </row>
    <row r="5" ht="17" customHeight="1" s="1">
      <c r="A5" s="37" t="inlineStr">
        <is>
          <t>D-002</t>
        </is>
      </c>
      <c r="B5" s="39" t="inlineStr">
        <is>
          <t>业务需求规格说明书</t>
        </is>
      </c>
      <c r="C5" s="39" t="inlineStr">
        <is>
          <t>需求</t>
        </is>
      </c>
      <c r="D5" s="39" t="inlineStr">
        <is>
          <t>郑士旺</t>
        </is>
      </c>
      <c r="E5" s="108" t="n">
        <v>46241</v>
      </c>
      <c r="F5" s="108" t="n"/>
      <c r="G5" s="39" t="inlineStr">
        <is>
          <t>进行中</t>
        </is>
      </c>
      <c r="H5" s="39" t="inlineStr">
        <is>
          <t>业务负责人</t>
        </is>
      </c>
      <c r="I5" s="39" t="inlineStr">
        <is>
          <t>待评审</t>
        </is>
      </c>
      <c r="J5" s="39" t="inlineStr"/>
      <c r="K5" s="40" t="inlineStr"/>
    </row>
    <row r="6" ht="17" customHeight="1" s="1">
      <c r="A6" s="37" t="inlineStr">
        <is>
          <t>D-003</t>
        </is>
      </c>
      <c r="B6" s="39" t="inlineStr">
        <is>
          <t>系统总体设计说明书</t>
        </is>
      </c>
      <c r="C6" s="39" t="inlineStr">
        <is>
          <t>设计</t>
        </is>
      </c>
      <c r="D6" s="39" t="inlineStr">
        <is>
          <t>技术负责人</t>
        </is>
      </c>
      <c r="E6" s="108" t="n">
        <v>46248</v>
      </c>
      <c r="F6" s="108" t="n"/>
      <c r="G6" s="39" t="inlineStr">
        <is>
          <t>进行中</t>
        </is>
      </c>
      <c r="H6" s="39" t="inlineStr">
        <is>
          <t>架构负责人</t>
        </is>
      </c>
      <c r="I6" s="39" t="inlineStr">
        <is>
          <t>待评审</t>
        </is>
      </c>
      <c r="J6" s="39" t="inlineStr"/>
      <c r="K6" s="40" t="inlineStr"/>
    </row>
    <row r="7" ht="17" customHeight="1" s="1">
      <c r="A7" s="37" t="inlineStr">
        <is>
          <t>D-004</t>
        </is>
      </c>
      <c r="B7" s="39" t="inlineStr">
        <is>
          <t>接口清单及接口设计说明</t>
        </is>
      </c>
      <c r="C7" s="39" t="inlineStr">
        <is>
          <t>集成</t>
        </is>
      </c>
      <c r="D7" s="39" t="inlineStr">
        <is>
          <t>集成负责人</t>
        </is>
      </c>
      <c r="E7" s="108" t="n">
        <v>46283</v>
      </c>
      <c r="F7" s="108" t="n"/>
      <c r="G7" s="39" t="inlineStr">
        <is>
          <t>进行中</t>
        </is>
      </c>
      <c r="H7" s="39" t="inlineStr">
        <is>
          <t>技术负责人</t>
        </is>
      </c>
      <c r="I7" s="39" t="inlineStr">
        <is>
          <t>待评审</t>
        </is>
      </c>
      <c r="J7" s="39" t="inlineStr"/>
      <c r="K7" s="40" t="inlineStr"/>
    </row>
    <row r="8" ht="17" customHeight="1" s="1">
      <c r="A8" s="37" t="inlineStr">
        <is>
          <t>D-005</t>
        </is>
      </c>
      <c r="B8" s="39" t="inlineStr">
        <is>
          <t>第一批次测试报告</t>
        </is>
      </c>
      <c r="C8" s="39" t="inlineStr">
        <is>
          <t>测试</t>
        </is>
      </c>
      <c r="D8" s="39" t="inlineStr">
        <is>
          <t>袁丽荣</t>
        </is>
      </c>
      <c r="E8" s="108" t="n">
        <v>46318</v>
      </c>
      <c r="F8" s="108" t="n"/>
      <c r="G8" s="39" t="inlineStr">
        <is>
          <t>进行中</t>
        </is>
      </c>
      <c r="H8" s="39" t="inlineStr">
        <is>
          <t>项目经理</t>
        </is>
      </c>
      <c r="I8" s="39" t="inlineStr">
        <is>
          <t>待评审</t>
        </is>
      </c>
      <c r="J8" s="39" t="inlineStr"/>
      <c r="K8" s="40" t="inlineStr"/>
    </row>
    <row r="9" ht="17" customHeight="1" s="1">
      <c r="A9" s="37" t="inlineStr">
        <is>
          <t>D-006</t>
        </is>
      </c>
      <c r="B9" s="39" t="inlineStr">
        <is>
          <t>第二批次测试报告</t>
        </is>
      </c>
      <c r="C9" s="39" t="inlineStr">
        <is>
          <t>测试</t>
        </is>
      </c>
      <c r="D9" s="39" t="inlineStr">
        <is>
          <t>袁丽荣</t>
        </is>
      </c>
      <c r="E9" s="108" t="n">
        <v>46353</v>
      </c>
      <c r="F9" s="108" t="n"/>
      <c r="G9" s="39" t="inlineStr">
        <is>
          <t>未开始</t>
        </is>
      </c>
      <c r="H9" s="39" t="inlineStr">
        <is>
          <t>项目经理</t>
        </is>
      </c>
      <c r="I9" s="39" t="inlineStr">
        <is>
          <t>待评审</t>
        </is>
      </c>
      <c r="J9" s="39" t="inlineStr"/>
      <c r="K9" s="40" t="inlineStr"/>
    </row>
    <row r="10" ht="17" customHeight="1" s="1">
      <c r="A10" s="37" t="inlineStr">
        <is>
          <t>D-007</t>
        </is>
      </c>
      <c r="B10" s="39" t="inlineStr">
        <is>
          <t>上线方案及回退方案</t>
        </is>
      </c>
      <c r="C10" s="39" t="inlineStr">
        <is>
          <t>上线</t>
        </is>
      </c>
      <c r="D10" s="39" t="inlineStr">
        <is>
          <t>运维负责人</t>
        </is>
      </c>
      <c r="E10" s="108" t="n">
        <v>46346</v>
      </c>
      <c r="F10" s="108" t="n"/>
      <c r="G10" s="39" t="inlineStr">
        <is>
          <t>未开始</t>
        </is>
      </c>
      <c r="H10" s="39" t="inlineStr">
        <is>
          <t>项目经理</t>
        </is>
      </c>
      <c r="I10" s="39" t="inlineStr">
        <is>
          <t>待评审</t>
        </is>
      </c>
      <c r="J10" s="39" t="inlineStr"/>
      <c r="K10" s="40" t="inlineStr"/>
    </row>
    <row r="11" ht="17" customHeight="1" s="1">
      <c r="A11" s="37" t="inlineStr">
        <is>
          <t>D-008</t>
        </is>
      </c>
      <c r="B11" s="39" t="inlineStr">
        <is>
          <t>用户操作手册</t>
        </is>
      </c>
      <c r="C11" s="39" t="inlineStr">
        <is>
          <t>培训</t>
        </is>
      </c>
      <c r="D11" s="39" t="inlineStr">
        <is>
          <t>实施负责人</t>
        </is>
      </c>
      <c r="E11" s="108" t="n">
        <v>46349</v>
      </c>
      <c r="F11" s="108" t="n"/>
      <c r="G11" s="39" t="inlineStr">
        <is>
          <t>未开始</t>
        </is>
      </c>
      <c r="H11" s="39" t="inlineStr">
        <is>
          <t>业务负责人</t>
        </is>
      </c>
      <c r="I11" s="39" t="inlineStr">
        <is>
          <t>待评审</t>
        </is>
      </c>
      <c r="J11" s="39" t="inlineStr"/>
      <c r="K11" s="40" t="inlineStr"/>
    </row>
    <row r="12" ht="17" customHeight="1" s="1">
      <c r="A12" s="37" t="inlineStr">
        <is>
          <t>D-009</t>
        </is>
      </c>
      <c r="B12" s="39" t="inlineStr">
        <is>
          <t>用户验收报告</t>
        </is>
      </c>
      <c r="C12" s="39" t="inlineStr">
        <is>
          <t>验收</t>
        </is>
      </c>
      <c r="D12" s="39" t="inlineStr">
        <is>
          <t>项目经理</t>
        </is>
      </c>
      <c r="E12" s="108" t="n">
        <v>46356</v>
      </c>
      <c r="F12" s="108" t="n"/>
      <c r="G12" s="39" t="inlineStr">
        <is>
          <t>未开始</t>
        </is>
      </c>
      <c r="H12" s="39" t="inlineStr">
        <is>
          <t>项目负责人</t>
        </is>
      </c>
      <c r="I12" s="39" t="inlineStr">
        <is>
          <t>待评审</t>
        </is>
      </c>
      <c r="J12" s="39" t="inlineStr"/>
      <c r="K12" s="40" t="inlineStr"/>
    </row>
    <row r="13" ht="17" customHeight="1" s="1">
      <c r="A13" s="37" t="inlineStr">
        <is>
          <t>D-010</t>
        </is>
      </c>
      <c r="B13" s="39" t="inlineStr">
        <is>
          <t>项目总结与移交清单</t>
        </is>
      </c>
      <c r="C13" s="39" t="inlineStr">
        <is>
          <t>收尾</t>
        </is>
      </c>
      <c r="D13" s="39" t="inlineStr">
        <is>
          <t>项目经理</t>
        </is>
      </c>
      <c r="E13" s="108" t="n">
        <v>46360</v>
      </c>
      <c r="F13" s="108" t="n"/>
      <c r="G13" s="39" t="inlineStr">
        <is>
          <t>未开始</t>
        </is>
      </c>
      <c r="H13" s="39" t="inlineStr">
        <is>
          <t>项目负责人</t>
        </is>
      </c>
      <c r="I13" s="39" t="inlineStr">
        <is>
          <t>待评审</t>
        </is>
      </c>
      <c r="J13" s="39" t="inlineStr"/>
      <c r="K13" s="40" t="inlineStr"/>
    </row>
    <row r="14">
      <c r="A14" s="37" t="n"/>
      <c r="B14" s="39" t="n"/>
      <c r="C14" s="39" t="n"/>
      <c r="D14" s="39" t="n"/>
      <c r="E14" s="108" t="n"/>
      <c r="F14" s="108" t="n"/>
      <c r="G14" s="39" t="n"/>
      <c r="H14" s="39" t="n"/>
      <c r="I14" s="39" t="n"/>
      <c r="J14" s="39" t="n"/>
      <c r="K14" s="40" t="n"/>
    </row>
    <row r="15">
      <c r="A15" s="37" t="n"/>
      <c r="B15" s="39" t="n"/>
      <c r="C15" s="39" t="n"/>
      <c r="D15" s="39" t="n"/>
      <c r="E15" s="108" t="n"/>
      <c r="F15" s="108" t="n"/>
      <c r="G15" s="39" t="n"/>
      <c r="H15" s="39" t="n"/>
      <c r="I15" s="39" t="n"/>
      <c r="J15" s="39" t="n"/>
      <c r="K15" s="40" t="n"/>
    </row>
    <row r="16">
      <c r="A16" s="37" t="n"/>
      <c r="B16" s="39" t="n"/>
      <c r="C16" s="39" t="n"/>
      <c r="D16" s="39" t="n"/>
      <c r="E16" s="108" t="n"/>
      <c r="F16" s="108" t="n"/>
      <c r="G16" s="39" t="n"/>
      <c r="H16" s="39" t="n"/>
      <c r="I16" s="39" t="n"/>
      <c r="J16" s="39" t="n"/>
      <c r="K16" s="40" t="n"/>
    </row>
    <row r="17">
      <c r="A17" s="37" t="n"/>
      <c r="B17" s="39" t="n"/>
      <c r="C17" s="39" t="n"/>
      <c r="D17" s="39" t="n"/>
      <c r="E17" s="108" t="n"/>
      <c r="F17" s="108" t="n"/>
      <c r="G17" s="39" t="n"/>
      <c r="H17" s="39" t="n"/>
      <c r="I17" s="39" t="n"/>
      <c r="J17" s="39" t="n"/>
      <c r="K17" s="40" t="n"/>
    </row>
    <row r="18">
      <c r="A18" s="37" t="n"/>
      <c r="B18" s="39" t="n"/>
      <c r="C18" s="39" t="n"/>
      <c r="D18" s="39" t="n"/>
      <c r="E18" s="108" t="n"/>
      <c r="F18" s="108" t="n"/>
      <c r="G18" s="39" t="n"/>
      <c r="H18" s="39" t="n"/>
      <c r="I18" s="39" t="n"/>
      <c r="J18" s="39" t="n"/>
      <c r="K18" s="40" t="n"/>
    </row>
    <row r="19">
      <c r="A19" s="37" t="n"/>
      <c r="B19" s="39" t="n"/>
      <c r="C19" s="39" t="n"/>
      <c r="D19" s="39" t="n"/>
      <c r="E19" s="108" t="n"/>
      <c r="F19" s="108" t="n"/>
      <c r="G19" s="39" t="n"/>
      <c r="H19" s="39" t="n"/>
      <c r="I19" s="39" t="n"/>
      <c r="J19" s="39" t="n"/>
      <c r="K19" s="40" t="n"/>
    </row>
    <row r="20">
      <c r="A20" s="37" t="n"/>
      <c r="B20" s="39" t="n"/>
      <c r="C20" s="39" t="n"/>
      <c r="D20" s="39" t="n"/>
      <c r="E20" s="108" t="n"/>
      <c r="F20" s="108" t="n"/>
      <c r="G20" s="39" t="n"/>
      <c r="H20" s="39" t="n"/>
      <c r="I20" s="39" t="n"/>
      <c r="J20" s="39" t="n"/>
      <c r="K20" s="40" t="n"/>
    </row>
    <row r="21">
      <c r="A21" s="37" t="n"/>
      <c r="B21" s="39" t="n"/>
      <c r="C21" s="39" t="n"/>
      <c r="D21" s="39" t="n"/>
      <c r="E21" s="108" t="n"/>
      <c r="F21" s="108" t="n"/>
      <c r="G21" s="39" t="n"/>
      <c r="H21" s="39" t="n"/>
      <c r="I21" s="39" t="n"/>
      <c r="J21" s="39" t="n"/>
      <c r="K21" s="40" t="n"/>
    </row>
    <row r="22">
      <c r="A22" s="37" t="n"/>
      <c r="B22" s="39" t="n"/>
      <c r="C22" s="39" t="n"/>
      <c r="D22" s="39" t="n"/>
      <c r="E22" s="108" t="n"/>
      <c r="F22" s="108" t="n"/>
      <c r="G22" s="39" t="n"/>
      <c r="H22" s="39" t="n"/>
      <c r="I22" s="39" t="n"/>
      <c r="J22" s="39" t="n"/>
      <c r="K22" s="40" t="n"/>
    </row>
    <row r="23">
      <c r="A23" s="37" t="n"/>
      <c r="B23" s="39" t="n"/>
      <c r="C23" s="39" t="n"/>
      <c r="D23" s="39" t="n"/>
      <c r="E23" s="108" t="n"/>
      <c r="F23" s="108" t="n"/>
      <c r="G23" s="39" t="n"/>
      <c r="H23" s="39" t="n"/>
      <c r="I23" s="39" t="n"/>
      <c r="J23" s="39" t="n"/>
      <c r="K23" s="40" t="n"/>
    </row>
    <row r="24">
      <c r="A24" s="37" t="n"/>
      <c r="B24" s="39" t="n"/>
      <c r="C24" s="39" t="n"/>
      <c r="D24" s="39" t="n"/>
      <c r="E24" s="108" t="n"/>
      <c r="F24" s="108" t="n"/>
      <c r="G24" s="39" t="n"/>
      <c r="H24" s="39" t="n"/>
      <c r="I24" s="39" t="n"/>
      <c r="J24" s="39" t="n"/>
      <c r="K24" s="40" t="n"/>
    </row>
    <row r="25">
      <c r="A25" s="37" t="n"/>
      <c r="B25" s="39" t="n"/>
      <c r="C25" s="39" t="n"/>
      <c r="D25" s="39" t="n"/>
      <c r="E25" s="108" t="n"/>
      <c r="F25" s="108" t="n"/>
      <c r="G25" s="39" t="n"/>
      <c r="H25" s="39" t="n"/>
      <c r="I25" s="39" t="n"/>
      <c r="J25" s="39" t="n"/>
      <c r="K25" s="40" t="n"/>
    </row>
    <row r="26">
      <c r="A26" s="37" t="n"/>
      <c r="B26" s="39" t="n"/>
      <c r="C26" s="39" t="n"/>
      <c r="D26" s="39" t="n"/>
      <c r="E26" s="108" t="n"/>
      <c r="F26" s="108" t="n"/>
      <c r="G26" s="39" t="n"/>
      <c r="H26" s="39" t="n"/>
      <c r="I26" s="39" t="n"/>
      <c r="J26" s="39" t="n"/>
      <c r="K26" s="40" t="n"/>
    </row>
    <row r="27">
      <c r="A27" s="37" t="n"/>
      <c r="B27" s="39" t="n"/>
      <c r="C27" s="39" t="n"/>
      <c r="D27" s="39" t="n"/>
      <c r="E27" s="108" t="n"/>
      <c r="F27" s="108" t="n"/>
      <c r="G27" s="39" t="n"/>
      <c r="H27" s="39" t="n"/>
      <c r="I27" s="39" t="n"/>
      <c r="J27" s="39" t="n"/>
      <c r="K27" s="40" t="n"/>
    </row>
    <row r="28">
      <c r="A28" s="37" t="n"/>
      <c r="B28" s="39" t="n"/>
      <c r="C28" s="39" t="n"/>
      <c r="D28" s="39" t="n"/>
      <c r="E28" s="108" t="n"/>
      <c r="F28" s="108" t="n"/>
      <c r="G28" s="39" t="n"/>
      <c r="H28" s="39" t="n"/>
      <c r="I28" s="39" t="n"/>
      <c r="J28" s="39" t="n"/>
      <c r="K28" s="40" t="n"/>
    </row>
    <row r="29">
      <c r="A29" s="37" t="n"/>
      <c r="B29" s="39" t="n"/>
      <c r="C29" s="39" t="n"/>
      <c r="D29" s="39" t="n"/>
      <c r="E29" s="108" t="n"/>
      <c r="F29" s="108" t="n"/>
      <c r="G29" s="39" t="n"/>
      <c r="H29" s="39" t="n"/>
      <c r="I29" s="39" t="n"/>
      <c r="J29" s="39" t="n"/>
      <c r="K29" s="40" t="n"/>
    </row>
    <row r="30">
      <c r="A30" s="37" t="n"/>
      <c r="B30" s="39" t="n"/>
      <c r="C30" s="39" t="n"/>
      <c r="D30" s="39" t="n"/>
      <c r="E30" s="108" t="n"/>
      <c r="F30" s="108" t="n"/>
      <c r="G30" s="39" t="n"/>
      <c r="H30" s="39" t="n"/>
      <c r="I30" s="39" t="n"/>
      <c r="J30" s="39" t="n"/>
      <c r="K30" s="40" t="n"/>
    </row>
    <row r="31">
      <c r="A31" s="37" t="n"/>
      <c r="B31" s="39" t="n"/>
      <c r="C31" s="39" t="n"/>
      <c r="D31" s="39" t="n"/>
      <c r="E31" s="108" t="n"/>
      <c r="F31" s="108" t="n"/>
      <c r="G31" s="39" t="n"/>
      <c r="H31" s="39" t="n"/>
      <c r="I31" s="39" t="n"/>
      <c r="J31" s="39" t="n"/>
      <c r="K31" s="40" t="n"/>
    </row>
    <row r="32">
      <c r="A32" s="37" t="n"/>
      <c r="B32" s="39" t="n"/>
      <c r="C32" s="39" t="n"/>
      <c r="D32" s="39" t="n"/>
      <c r="E32" s="108" t="n"/>
      <c r="F32" s="108" t="n"/>
      <c r="G32" s="39" t="n"/>
      <c r="H32" s="39" t="n"/>
      <c r="I32" s="39" t="n"/>
      <c r="J32" s="39" t="n"/>
      <c r="K32" s="40" t="n"/>
    </row>
    <row r="33">
      <c r="A33" s="37" t="n"/>
      <c r="B33" s="39" t="n"/>
      <c r="C33" s="39" t="n"/>
      <c r="D33" s="39" t="n"/>
      <c r="E33" s="108" t="n"/>
      <c r="F33" s="108" t="n"/>
      <c r="G33" s="39" t="n"/>
      <c r="H33" s="39" t="n"/>
      <c r="I33" s="39" t="n"/>
      <c r="J33" s="39" t="n"/>
      <c r="K33" s="40" t="n"/>
    </row>
    <row r="34">
      <c r="A34" s="37" t="n"/>
      <c r="B34" s="39" t="n"/>
      <c r="C34" s="39" t="n"/>
      <c r="D34" s="39" t="n"/>
      <c r="E34" s="108" t="n"/>
      <c r="F34" s="108" t="n"/>
      <c r="G34" s="39" t="n"/>
      <c r="H34" s="39" t="n"/>
      <c r="I34" s="39" t="n"/>
      <c r="J34" s="39" t="n"/>
      <c r="K34" s="40" t="n"/>
    </row>
    <row r="35">
      <c r="A35" s="37" t="n"/>
      <c r="B35" s="39" t="n"/>
      <c r="C35" s="39" t="n"/>
      <c r="D35" s="39" t="n"/>
      <c r="E35" s="108" t="n"/>
      <c r="F35" s="108" t="n"/>
      <c r="G35" s="39" t="n"/>
      <c r="H35" s="39" t="n"/>
      <c r="I35" s="39" t="n"/>
      <c r="J35" s="39" t="n"/>
      <c r="K35" s="40" t="n"/>
    </row>
    <row r="36">
      <c r="A36" s="37" t="n"/>
      <c r="B36" s="39" t="n"/>
      <c r="C36" s="39" t="n"/>
      <c r="D36" s="39" t="n"/>
      <c r="E36" s="108" t="n"/>
      <c r="F36" s="108" t="n"/>
      <c r="G36" s="39" t="n"/>
      <c r="H36" s="39" t="n"/>
      <c r="I36" s="39" t="n"/>
      <c r="J36" s="39" t="n"/>
      <c r="K36" s="40" t="n"/>
    </row>
    <row r="37">
      <c r="A37" s="37" t="n"/>
      <c r="B37" s="39" t="n"/>
      <c r="C37" s="39" t="n"/>
      <c r="D37" s="39" t="n"/>
      <c r="E37" s="108" t="n"/>
      <c r="F37" s="108" t="n"/>
      <c r="G37" s="39" t="n"/>
      <c r="H37" s="39" t="n"/>
      <c r="I37" s="39" t="n"/>
      <c r="J37" s="39" t="n"/>
      <c r="K37" s="40" t="n"/>
    </row>
    <row r="38">
      <c r="A38" s="37" t="n"/>
      <c r="B38" s="39" t="n"/>
      <c r="C38" s="39" t="n"/>
      <c r="D38" s="39" t="n"/>
      <c r="E38" s="108" t="n"/>
      <c r="F38" s="108" t="n"/>
      <c r="G38" s="39" t="n"/>
      <c r="H38" s="39" t="n"/>
      <c r="I38" s="39" t="n"/>
      <c r="J38" s="39" t="n"/>
      <c r="K38" s="40" t="n"/>
    </row>
    <row r="39">
      <c r="A39" s="37" t="n"/>
      <c r="B39" s="39" t="n"/>
      <c r="C39" s="39" t="n"/>
      <c r="D39" s="39" t="n"/>
      <c r="E39" s="108" t="n"/>
      <c r="F39" s="108" t="n"/>
      <c r="G39" s="39" t="n"/>
      <c r="H39" s="39" t="n"/>
      <c r="I39" s="39" t="n"/>
      <c r="J39" s="39" t="n"/>
      <c r="K39" s="40" t="n"/>
    </row>
    <row r="40">
      <c r="A40" s="37" t="n"/>
      <c r="B40" s="39" t="n"/>
      <c r="C40" s="39" t="n"/>
      <c r="D40" s="39" t="n"/>
      <c r="E40" s="108" t="n"/>
      <c r="F40" s="108" t="n"/>
      <c r="G40" s="39" t="n"/>
      <c r="H40" s="39" t="n"/>
      <c r="I40" s="39" t="n"/>
      <c r="J40" s="39" t="n"/>
      <c r="K40" s="40" t="n"/>
    </row>
    <row r="41">
      <c r="A41" s="37" t="n"/>
      <c r="B41" s="39" t="n"/>
      <c r="C41" s="39" t="n"/>
      <c r="D41" s="39" t="n"/>
      <c r="E41" s="108" t="n"/>
      <c r="F41" s="108" t="n"/>
      <c r="G41" s="39" t="n"/>
      <c r="H41" s="39" t="n"/>
      <c r="I41" s="39" t="n"/>
      <c r="J41" s="39" t="n"/>
      <c r="K41" s="40" t="n"/>
    </row>
    <row r="42">
      <c r="A42" s="37" t="n"/>
      <c r="B42" s="39" t="n"/>
      <c r="C42" s="39" t="n"/>
      <c r="D42" s="39" t="n"/>
      <c r="E42" s="108" t="n"/>
      <c r="F42" s="108" t="n"/>
      <c r="G42" s="39" t="n"/>
      <c r="H42" s="39" t="n"/>
      <c r="I42" s="39" t="n"/>
      <c r="J42" s="39" t="n"/>
      <c r="K42" s="40" t="n"/>
    </row>
    <row r="43">
      <c r="A43" s="37" t="n"/>
      <c r="B43" s="39" t="n"/>
      <c r="C43" s="39" t="n"/>
      <c r="D43" s="39" t="n"/>
      <c r="E43" s="108" t="n"/>
      <c r="F43" s="108" t="n"/>
      <c r="G43" s="39" t="n"/>
      <c r="H43" s="39" t="n"/>
      <c r="I43" s="39" t="n"/>
      <c r="J43" s="39" t="n"/>
      <c r="K43" s="40" t="n"/>
    </row>
    <row r="44">
      <c r="A44" s="37" t="n"/>
      <c r="B44" s="39" t="n"/>
      <c r="C44" s="39" t="n"/>
      <c r="D44" s="39" t="n"/>
      <c r="E44" s="108" t="n"/>
      <c r="F44" s="108" t="n"/>
      <c r="G44" s="39" t="n"/>
      <c r="H44" s="39" t="n"/>
      <c r="I44" s="39" t="n"/>
      <c r="J44" s="39" t="n"/>
      <c r="K44" s="40" t="n"/>
    </row>
    <row r="45">
      <c r="A45" s="37" t="n"/>
      <c r="B45" s="39" t="n"/>
      <c r="C45" s="39" t="n"/>
      <c r="D45" s="39" t="n"/>
      <c r="E45" s="108" t="n"/>
      <c r="F45" s="108" t="n"/>
      <c r="G45" s="39" t="n"/>
      <c r="H45" s="39" t="n"/>
      <c r="I45" s="39" t="n"/>
      <c r="J45" s="39" t="n"/>
      <c r="K45" s="40" t="n"/>
    </row>
    <row r="46">
      <c r="A46" s="37" t="n"/>
      <c r="B46" s="39" t="n"/>
      <c r="C46" s="39" t="n"/>
      <c r="D46" s="39" t="n"/>
      <c r="E46" s="108" t="n"/>
      <c r="F46" s="108" t="n"/>
      <c r="G46" s="39" t="n"/>
      <c r="H46" s="39" t="n"/>
      <c r="I46" s="39" t="n"/>
      <c r="J46" s="39" t="n"/>
      <c r="K46" s="40" t="n"/>
    </row>
    <row r="47">
      <c r="A47" s="37" t="n"/>
      <c r="B47" s="39" t="n"/>
      <c r="C47" s="39" t="n"/>
      <c r="D47" s="39" t="n"/>
      <c r="E47" s="108" t="n"/>
      <c r="F47" s="108" t="n"/>
      <c r="G47" s="39" t="n"/>
      <c r="H47" s="39" t="n"/>
      <c r="I47" s="39" t="n"/>
      <c r="J47" s="39" t="n"/>
      <c r="K47" s="40" t="n"/>
    </row>
    <row r="48">
      <c r="A48" s="37" t="n"/>
      <c r="B48" s="39" t="n"/>
      <c r="C48" s="39" t="n"/>
      <c r="D48" s="39" t="n"/>
      <c r="E48" s="108" t="n"/>
      <c r="F48" s="108" t="n"/>
      <c r="G48" s="39" t="n"/>
      <c r="H48" s="39" t="n"/>
      <c r="I48" s="39" t="n"/>
      <c r="J48" s="39" t="n"/>
      <c r="K48" s="40" t="n"/>
    </row>
    <row r="49">
      <c r="A49" s="37" t="n"/>
      <c r="B49" s="39" t="n"/>
      <c r="C49" s="39" t="n"/>
      <c r="D49" s="39" t="n"/>
      <c r="E49" s="108" t="n"/>
      <c r="F49" s="108" t="n"/>
      <c r="G49" s="39" t="n"/>
      <c r="H49" s="39" t="n"/>
      <c r="I49" s="39" t="n"/>
      <c r="J49" s="39" t="n"/>
      <c r="K49" s="40" t="n"/>
    </row>
    <row r="50">
      <c r="A50" s="37" t="n"/>
      <c r="B50" s="39" t="n"/>
      <c r="C50" s="39" t="n"/>
      <c r="D50" s="39" t="n"/>
      <c r="E50" s="108" t="n"/>
      <c r="F50" s="108" t="n"/>
      <c r="G50" s="39" t="n"/>
      <c r="H50" s="39" t="n"/>
      <c r="I50" s="39" t="n"/>
      <c r="J50" s="39" t="n"/>
      <c r="K50" s="40" t="n"/>
    </row>
    <row r="51">
      <c r="A51" s="37" t="n"/>
      <c r="B51" s="39" t="n"/>
      <c r="C51" s="39" t="n"/>
      <c r="D51" s="39" t="n"/>
      <c r="E51" s="108" t="n"/>
      <c r="F51" s="108" t="n"/>
      <c r="G51" s="39" t="n"/>
      <c r="H51" s="39" t="n"/>
      <c r="I51" s="39" t="n"/>
      <c r="J51" s="39" t="n"/>
      <c r="K51" s="40" t="n"/>
    </row>
    <row r="52">
      <c r="A52" s="37" t="n"/>
      <c r="B52" s="39" t="n"/>
      <c r="C52" s="39" t="n"/>
      <c r="D52" s="39" t="n"/>
      <c r="E52" s="108" t="n"/>
      <c r="F52" s="108" t="n"/>
      <c r="G52" s="39" t="n"/>
      <c r="H52" s="39" t="n"/>
      <c r="I52" s="39" t="n"/>
      <c r="J52" s="39" t="n"/>
      <c r="K52" s="40" t="n"/>
    </row>
    <row r="53">
      <c r="A53" s="41" t="n"/>
      <c r="B53" s="43" t="n"/>
      <c r="C53" s="43" t="n"/>
      <c r="D53" s="43" t="n"/>
      <c r="E53" s="109" t="n"/>
      <c r="F53" s="109" t="n"/>
      <c r="G53" s="43" t="n"/>
      <c r="H53" s="43" t="n"/>
      <c r="I53" s="43" t="n"/>
      <c r="J53" s="43" t="n"/>
      <c r="K53" s="44" t="n"/>
    </row>
  </sheetData>
  <mergeCells count="1">
    <mergeCell ref="A1:K1"/>
  </mergeCells>
  <conditionalFormatting sqref="G4:G53">
    <cfRule type="containsText" priority="1" operator="between" dxfId="0" text="已完成">
      <formula>NOT(ISERROR(SEARCH("已完成",G4)))</formula>
    </cfRule>
    <cfRule type="containsText" priority="2" operator="between" dxfId="1" text="进行中">
      <formula>NOT(ISERROR(SEARCH("进行中",G4)))</formula>
    </cfRule>
    <cfRule type="containsText" priority="3" operator="between" dxfId="2" text="未开始">
      <formula>NOT(ISERROR(SEARCH("未开始",G4)))</formula>
    </cfRule>
    <cfRule type="containsText" priority="4" operator="between" dxfId="3" text="暂停">
      <formula>NOT(ISERROR(SEARCH("暂停",G4)))</formula>
    </cfRule>
  </conditionalFormatting>
  <dataValidations count="1">
    <dataValidation sqref="G4:G53" showDropDown="0" showInputMessage="0" showErrorMessage="0" allowBlank="0" type="list">
      <formula1>"未开始,进行中,已完成,退回修改"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3"/>
  <sheetViews>
    <sheetView showGridLines="0" workbookViewId="0">
      <selection activeCell="A1" sqref="A1:L1"/>
    </sheetView>
  </sheetViews>
  <sheetFormatPr baseColWidth="8" defaultColWidth="9" defaultRowHeight="16.8"/>
  <cols>
    <col width="13" customWidth="1" style="1" min="1" max="2"/>
    <col width="24" customWidth="1" style="1" min="3" max="3"/>
    <col width="42" customWidth="1" style="1" min="4" max="4"/>
    <col width="14" customWidth="1" style="1" min="5" max="6"/>
    <col width="13" customWidth="1" style="1" min="7" max="7"/>
    <col width="11" customWidth="1" style="1" min="8" max="8"/>
    <col width="13" customWidth="1" style="1" min="9" max="9"/>
    <col width="11" customWidth="1" style="1" min="10" max="10"/>
    <col width="10" customWidth="1" style="1" min="11" max="11"/>
    <col width="32" customWidth="1" style="1" min="12" max="12"/>
  </cols>
  <sheetData>
    <row r="1" ht="34" customHeight="1" s="1">
      <c r="A1" s="29" t="inlineStr">
        <is>
          <t>会议纪要与行动项跟踪</t>
        </is>
      </c>
    </row>
    <row r="3" ht="30" customHeight="1" s="1">
      <c r="A3" s="32" t="inlineStr">
        <is>
          <t>行动项ID</t>
        </is>
      </c>
      <c r="B3" s="32" t="inlineStr">
        <is>
          <t>会议日期</t>
        </is>
      </c>
      <c r="C3" s="32" t="inlineStr">
        <is>
          <t>会议主题</t>
        </is>
      </c>
      <c r="D3" s="32" t="inlineStr">
        <is>
          <t>决策/行动事项</t>
        </is>
      </c>
      <c r="E3" s="32" t="inlineStr">
        <is>
          <t>责任人</t>
        </is>
      </c>
      <c r="F3" s="32" t="inlineStr">
        <is>
          <t>协同人</t>
        </is>
      </c>
      <c r="G3" s="32" t="inlineStr">
        <is>
          <t>截止日期</t>
        </is>
      </c>
      <c r="H3" s="32" t="inlineStr">
        <is>
          <t>状态</t>
        </is>
      </c>
      <c r="I3" s="32" t="inlineStr">
        <is>
          <t>完成日期</t>
        </is>
      </c>
      <c r="J3" s="32" t="inlineStr">
        <is>
          <t>逾期天数</t>
        </is>
      </c>
      <c r="K3" s="32" t="inlineStr">
        <is>
          <t>优先级</t>
        </is>
      </c>
      <c r="L3" s="32" t="inlineStr">
        <is>
          <t>结果说明</t>
        </is>
      </c>
    </row>
    <row r="4">
      <c r="A4" s="33" t="n"/>
      <c r="B4" s="107" t="n"/>
      <c r="C4" s="35" t="n"/>
      <c r="D4" s="35" t="n"/>
      <c r="E4" s="35" t="n"/>
      <c r="F4" s="35" t="n"/>
      <c r="G4" s="107" t="n"/>
      <c r="H4" s="35" t="n"/>
      <c r="I4" s="107" t="n"/>
      <c r="J4" s="35">
        <f>IF(OR(G4="",H4="已完成"),0,MAX(0,项目驾驶舱!$B$3-G4))</f>
        <v/>
      </c>
      <c r="K4" s="35" t="n"/>
      <c r="L4" s="36" t="n"/>
    </row>
    <row r="5">
      <c r="A5" s="37" t="n"/>
      <c r="B5" s="108" t="n"/>
      <c r="C5" s="39" t="n"/>
      <c r="D5" s="39" t="n"/>
      <c r="E5" s="39" t="n"/>
      <c r="F5" s="39" t="n"/>
      <c r="G5" s="108" t="n"/>
      <c r="H5" s="39" t="n"/>
      <c r="I5" s="108" t="n"/>
      <c r="J5" s="39">
        <f>IF(OR(G5="",H5="已完成"),0,MAX(0,项目驾驶舱!$B$3-G5))</f>
        <v/>
      </c>
      <c r="K5" s="39" t="n"/>
      <c r="L5" s="40" t="n"/>
    </row>
    <row r="6">
      <c r="A6" s="37" t="n"/>
      <c r="B6" s="108" t="n"/>
      <c r="C6" s="39" t="n"/>
      <c r="D6" s="39" t="n"/>
      <c r="E6" s="39" t="n"/>
      <c r="F6" s="39" t="n"/>
      <c r="G6" s="108" t="n"/>
      <c r="H6" s="39" t="n"/>
      <c r="I6" s="108" t="n"/>
      <c r="J6" s="39">
        <f>IF(OR(G6="",H6="已完成"),0,MAX(0,项目驾驶舱!$B$3-G6))</f>
        <v/>
      </c>
      <c r="K6" s="39" t="n"/>
      <c r="L6" s="40" t="n"/>
    </row>
    <row r="7">
      <c r="A7" s="37" t="n"/>
      <c r="B7" s="108" t="n"/>
      <c r="C7" s="39" t="n"/>
      <c r="D7" s="39" t="n"/>
      <c r="E7" s="39" t="n"/>
      <c r="F7" s="39" t="n"/>
      <c r="G7" s="108" t="n"/>
      <c r="H7" s="39" t="n"/>
      <c r="I7" s="108" t="n"/>
      <c r="J7" s="39">
        <f>IF(OR(G7="",H7="已完成"),0,MAX(0,项目驾驶舱!$B$3-G7))</f>
        <v/>
      </c>
      <c r="K7" s="39" t="n"/>
      <c r="L7" s="40" t="n"/>
    </row>
    <row r="8">
      <c r="A8" s="37" t="n"/>
      <c r="B8" s="108" t="n"/>
      <c r="C8" s="39" t="n"/>
      <c r="D8" s="39" t="n"/>
      <c r="E8" s="39" t="n"/>
      <c r="F8" s="39" t="n"/>
      <c r="G8" s="108" t="n"/>
      <c r="H8" s="39" t="n"/>
      <c r="I8" s="108" t="n"/>
      <c r="J8" s="39">
        <f>IF(OR(G8="",H8="已完成"),0,MAX(0,项目驾驶舱!$B$3-G8))</f>
        <v/>
      </c>
      <c r="K8" s="39" t="n"/>
      <c r="L8" s="40" t="n"/>
    </row>
    <row r="9">
      <c r="A9" s="37" t="n"/>
      <c r="B9" s="108" t="n"/>
      <c r="C9" s="39" t="n"/>
      <c r="D9" s="39" t="n"/>
      <c r="E9" s="39" t="n"/>
      <c r="F9" s="39" t="n"/>
      <c r="G9" s="108" t="n"/>
      <c r="H9" s="39" t="n"/>
      <c r="I9" s="108" t="n"/>
      <c r="J9" s="39">
        <f>IF(OR(G9="",H9="已完成"),0,MAX(0,项目驾驶舱!$B$3-G9))</f>
        <v/>
      </c>
      <c r="K9" s="39" t="n"/>
      <c r="L9" s="40" t="n"/>
    </row>
    <row r="10">
      <c r="A10" s="37" t="n"/>
      <c r="B10" s="108" t="n"/>
      <c r="C10" s="39" t="n"/>
      <c r="D10" s="39" t="n"/>
      <c r="E10" s="39" t="n"/>
      <c r="F10" s="39" t="n"/>
      <c r="G10" s="108" t="n"/>
      <c r="H10" s="39" t="n"/>
      <c r="I10" s="108" t="n"/>
      <c r="J10" s="39">
        <f>IF(OR(G10="",H10="已完成"),0,MAX(0,项目驾驶舱!$B$3-G10))</f>
        <v/>
      </c>
      <c r="K10" s="39" t="n"/>
      <c r="L10" s="40" t="n"/>
    </row>
    <row r="11">
      <c r="A11" s="37" t="n"/>
      <c r="B11" s="108" t="n"/>
      <c r="C11" s="39" t="n"/>
      <c r="D11" s="39" t="n"/>
      <c r="E11" s="39" t="n"/>
      <c r="F11" s="39" t="n"/>
      <c r="G11" s="108" t="n"/>
      <c r="H11" s="39" t="n"/>
      <c r="I11" s="108" t="n"/>
      <c r="J11" s="39">
        <f>IF(OR(G11="",H11="已完成"),0,MAX(0,项目驾驶舱!$B$3-G11))</f>
        <v/>
      </c>
      <c r="K11" s="39" t="n"/>
      <c r="L11" s="40" t="n"/>
    </row>
    <row r="12">
      <c r="A12" s="37" t="n"/>
      <c r="B12" s="108" t="n"/>
      <c r="C12" s="39" t="n"/>
      <c r="D12" s="39" t="n"/>
      <c r="E12" s="39" t="n"/>
      <c r="F12" s="39" t="n"/>
      <c r="G12" s="108" t="n"/>
      <c r="H12" s="39" t="n"/>
      <c r="I12" s="108" t="n"/>
      <c r="J12" s="39">
        <f>IF(OR(G12="",H12="已完成"),0,MAX(0,项目驾驶舱!$B$3-G12))</f>
        <v/>
      </c>
      <c r="K12" s="39" t="n"/>
      <c r="L12" s="40" t="n"/>
    </row>
    <row r="13">
      <c r="A13" s="37" t="n"/>
      <c r="B13" s="108" t="n"/>
      <c r="C13" s="39" t="n"/>
      <c r="D13" s="39" t="n"/>
      <c r="E13" s="39" t="n"/>
      <c r="F13" s="39" t="n"/>
      <c r="G13" s="108" t="n"/>
      <c r="H13" s="39" t="n"/>
      <c r="I13" s="108" t="n"/>
      <c r="J13" s="39">
        <f>IF(OR(G13="",H13="已完成"),0,MAX(0,项目驾驶舱!$B$3-G13))</f>
        <v/>
      </c>
      <c r="K13" s="39" t="n"/>
      <c r="L13" s="40" t="n"/>
    </row>
    <row r="14">
      <c r="A14" s="37" t="n"/>
      <c r="B14" s="108" t="n"/>
      <c r="C14" s="39" t="n"/>
      <c r="D14" s="39" t="n"/>
      <c r="E14" s="39" t="n"/>
      <c r="F14" s="39" t="n"/>
      <c r="G14" s="108" t="n"/>
      <c r="H14" s="39" t="n"/>
      <c r="I14" s="108" t="n"/>
      <c r="J14" s="39">
        <f>IF(OR(G14="",H14="已完成"),0,MAX(0,项目驾驶舱!$B$3-G14))</f>
        <v/>
      </c>
      <c r="K14" s="39" t="n"/>
      <c r="L14" s="40" t="n"/>
    </row>
    <row r="15">
      <c r="A15" s="37" t="n"/>
      <c r="B15" s="108" t="n"/>
      <c r="C15" s="39" t="n"/>
      <c r="D15" s="39" t="n"/>
      <c r="E15" s="39" t="n"/>
      <c r="F15" s="39" t="n"/>
      <c r="G15" s="108" t="n"/>
      <c r="H15" s="39" t="n"/>
      <c r="I15" s="108" t="n"/>
      <c r="J15" s="39">
        <f>IF(OR(G15="",H15="已完成"),0,MAX(0,项目驾驶舱!$B$3-G15))</f>
        <v/>
      </c>
      <c r="K15" s="39" t="n"/>
      <c r="L15" s="40" t="n"/>
    </row>
    <row r="16">
      <c r="A16" s="37" t="n"/>
      <c r="B16" s="108" t="n"/>
      <c r="C16" s="39" t="n"/>
      <c r="D16" s="39" t="n"/>
      <c r="E16" s="39" t="n"/>
      <c r="F16" s="39" t="n"/>
      <c r="G16" s="108" t="n"/>
      <c r="H16" s="39" t="n"/>
      <c r="I16" s="108" t="n"/>
      <c r="J16" s="39">
        <f>IF(OR(G16="",H16="已完成"),0,MAX(0,项目驾驶舱!$B$3-G16))</f>
        <v/>
      </c>
      <c r="K16" s="39" t="n"/>
      <c r="L16" s="40" t="n"/>
    </row>
    <row r="17">
      <c r="A17" s="37" t="n"/>
      <c r="B17" s="108" t="n"/>
      <c r="C17" s="39" t="n"/>
      <c r="D17" s="39" t="n"/>
      <c r="E17" s="39" t="n"/>
      <c r="F17" s="39" t="n"/>
      <c r="G17" s="108" t="n"/>
      <c r="H17" s="39" t="n"/>
      <c r="I17" s="108" t="n"/>
      <c r="J17" s="39">
        <f>IF(OR(G17="",H17="已完成"),0,MAX(0,项目驾驶舱!$B$3-G17))</f>
        <v/>
      </c>
      <c r="K17" s="39" t="n"/>
      <c r="L17" s="40" t="n"/>
    </row>
    <row r="18">
      <c r="A18" s="37" t="n"/>
      <c r="B18" s="108" t="n"/>
      <c r="C18" s="39" t="n"/>
      <c r="D18" s="39" t="n"/>
      <c r="E18" s="39" t="n"/>
      <c r="F18" s="39" t="n"/>
      <c r="G18" s="108" t="n"/>
      <c r="H18" s="39" t="n"/>
      <c r="I18" s="108" t="n"/>
      <c r="J18" s="39">
        <f>IF(OR(G18="",H18="已完成"),0,MAX(0,项目驾驶舱!$B$3-G18))</f>
        <v/>
      </c>
      <c r="K18" s="39" t="n"/>
      <c r="L18" s="40" t="n"/>
    </row>
    <row r="19">
      <c r="A19" s="37" t="n"/>
      <c r="B19" s="108" t="n"/>
      <c r="C19" s="39" t="n"/>
      <c r="D19" s="39" t="n"/>
      <c r="E19" s="39" t="n"/>
      <c r="F19" s="39" t="n"/>
      <c r="G19" s="108" t="n"/>
      <c r="H19" s="39" t="n"/>
      <c r="I19" s="108" t="n"/>
      <c r="J19" s="39">
        <f>IF(OR(G19="",H19="已完成"),0,MAX(0,项目驾驶舱!$B$3-G19))</f>
        <v/>
      </c>
      <c r="K19" s="39" t="n"/>
      <c r="L19" s="40" t="n"/>
    </row>
    <row r="20">
      <c r="A20" s="37" t="n"/>
      <c r="B20" s="108" t="n"/>
      <c r="C20" s="39" t="n"/>
      <c r="D20" s="39" t="n"/>
      <c r="E20" s="39" t="n"/>
      <c r="F20" s="39" t="n"/>
      <c r="G20" s="108" t="n"/>
      <c r="H20" s="39" t="n"/>
      <c r="I20" s="108" t="n"/>
      <c r="J20" s="39">
        <f>IF(OR(G20="",H20="已完成"),0,MAX(0,项目驾驶舱!$B$3-G20))</f>
        <v/>
      </c>
      <c r="K20" s="39" t="n"/>
      <c r="L20" s="40" t="n"/>
    </row>
    <row r="21">
      <c r="A21" s="37" t="n"/>
      <c r="B21" s="108" t="n"/>
      <c r="C21" s="39" t="n"/>
      <c r="D21" s="39" t="n"/>
      <c r="E21" s="39" t="n"/>
      <c r="F21" s="39" t="n"/>
      <c r="G21" s="108" t="n"/>
      <c r="H21" s="39" t="n"/>
      <c r="I21" s="108" t="n"/>
      <c r="J21" s="39">
        <f>IF(OR(G21="",H21="已完成"),0,MAX(0,项目驾驶舱!$B$3-G21))</f>
        <v/>
      </c>
      <c r="K21" s="39" t="n"/>
      <c r="L21" s="40" t="n"/>
    </row>
    <row r="22">
      <c r="A22" s="37" t="n"/>
      <c r="B22" s="108" t="n"/>
      <c r="C22" s="39" t="n"/>
      <c r="D22" s="39" t="n"/>
      <c r="E22" s="39" t="n"/>
      <c r="F22" s="39" t="n"/>
      <c r="G22" s="108" t="n"/>
      <c r="H22" s="39" t="n"/>
      <c r="I22" s="108" t="n"/>
      <c r="J22" s="39">
        <f>IF(OR(G22="",H22="已完成"),0,MAX(0,项目驾驶舱!$B$3-G22))</f>
        <v/>
      </c>
      <c r="K22" s="39" t="n"/>
      <c r="L22" s="40" t="n"/>
    </row>
    <row r="23">
      <c r="A23" s="37" t="n"/>
      <c r="B23" s="108" t="n"/>
      <c r="C23" s="39" t="n"/>
      <c r="D23" s="39" t="n"/>
      <c r="E23" s="39" t="n"/>
      <c r="F23" s="39" t="n"/>
      <c r="G23" s="108" t="n"/>
      <c r="H23" s="39" t="n"/>
      <c r="I23" s="108" t="n"/>
      <c r="J23" s="39">
        <f>IF(OR(G23="",H23="已完成"),0,MAX(0,项目驾驶舱!$B$3-G23))</f>
        <v/>
      </c>
      <c r="K23" s="39" t="n"/>
      <c r="L23" s="40" t="n"/>
    </row>
    <row r="24">
      <c r="A24" s="37" t="n"/>
      <c r="B24" s="108" t="n"/>
      <c r="C24" s="39" t="n"/>
      <c r="D24" s="39" t="n"/>
      <c r="E24" s="39" t="n"/>
      <c r="F24" s="39" t="n"/>
      <c r="G24" s="108" t="n"/>
      <c r="H24" s="39" t="n"/>
      <c r="I24" s="108" t="n"/>
      <c r="J24" s="39">
        <f>IF(OR(G24="",H24="已完成"),0,MAX(0,项目驾驶舱!$B$3-G24))</f>
        <v/>
      </c>
      <c r="K24" s="39" t="n"/>
      <c r="L24" s="40" t="n"/>
    </row>
    <row r="25">
      <c r="A25" s="37" t="n"/>
      <c r="B25" s="108" t="n"/>
      <c r="C25" s="39" t="n"/>
      <c r="D25" s="39" t="n"/>
      <c r="E25" s="39" t="n"/>
      <c r="F25" s="39" t="n"/>
      <c r="G25" s="108" t="n"/>
      <c r="H25" s="39" t="n"/>
      <c r="I25" s="108" t="n"/>
      <c r="J25" s="39">
        <f>IF(OR(G25="",H25="已完成"),0,MAX(0,项目驾驶舱!$B$3-G25))</f>
        <v/>
      </c>
      <c r="K25" s="39" t="n"/>
      <c r="L25" s="40" t="n"/>
    </row>
    <row r="26">
      <c r="A26" s="37" t="n"/>
      <c r="B26" s="108" t="n"/>
      <c r="C26" s="39" t="n"/>
      <c r="D26" s="39" t="n"/>
      <c r="E26" s="39" t="n"/>
      <c r="F26" s="39" t="n"/>
      <c r="G26" s="108" t="n"/>
      <c r="H26" s="39" t="n"/>
      <c r="I26" s="108" t="n"/>
      <c r="J26" s="39">
        <f>IF(OR(G26="",H26="已完成"),0,MAX(0,项目驾驶舱!$B$3-G26))</f>
        <v/>
      </c>
      <c r="K26" s="39" t="n"/>
      <c r="L26" s="40" t="n"/>
    </row>
    <row r="27">
      <c r="A27" s="37" t="n"/>
      <c r="B27" s="108" t="n"/>
      <c r="C27" s="39" t="n"/>
      <c r="D27" s="39" t="n"/>
      <c r="E27" s="39" t="n"/>
      <c r="F27" s="39" t="n"/>
      <c r="G27" s="108" t="n"/>
      <c r="H27" s="39" t="n"/>
      <c r="I27" s="108" t="n"/>
      <c r="J27" s="39">
        <f>IF(OR(G27="",H27="已完成"),0,MAX(0,项目驾驶舱!$B$3-G27))</f>
        <v/>
      </c>
      <c r="K27" s="39" t="n"/>
      <c r="L27" s="40" t="n"/>
    </row>
    <row r="28">
      <c r="A28" s="37" t="n"/>
      <c r="B28" s="108" t="n"/>
      <c r="C28" s="39" t="n"/>
      <c r="D28" s="39" t="n"/>
      <c r="E28" s="39" t="n"/>
      <c r="F28" s="39" t="n"/>
      <c r="G28" s="108" t="n"/>
      <c r="H28" s="39" t="n"/>
      <c r="I28" s="108" t="n"/>
      <c r="J28" s="39">
        <f>IF(OR(G28="",H28="已完成"),0,MAX(0,项目驾驶舱!$B$3-G28))</f>
        <v/>
      </c>
      <c r="K28" s="39" t="n"/>
      <c r="L28" s="40" t="n"/>
    </row>
    <row r="29">
      <c r="A29" s="37" t="n"/>
      <c r="B29" s="108" t="n"/>
      <c r="C29" s="39" t="n"/>
      <c r="D29" s="39" t="n"/>
      <c r="E29" s="39" t="n"/>
      <c r="F29" s="39" t="n"/>
      <c r="G29" s="108" t="n"/>
      <c r="H29" s="39" t="n"/>
      <c r="I29" s="108" t="n"/>
      <c r="J29" s="39">
        <f>IF(OR(G29="",H29="已完成"),0,MAX(0,项目驾驶舱!$B$3-G29))</f>
        <v/>
      </c>
      <c r="K29" s="39" t="n"/>
      <c r="L29" s="40" t="n"/>
    </row>
    <row r="30">
      <c r="A30" s="37" t="n"/>
      <c r="B30" s="108" t="n"/>
      <c r="C30" s="39" t="n"/>
      <c r="D30" s="39" t="n"/>
      <c r="E30" s="39" t="n"/>
      <c r="F30" s="39" t="n"/>
      <c r="G30" s="108" t="n"/>
      <c r="H30" s="39" t="n"/>
      <c r="I30" s="108" t="n"/>
      <c r="J30" s="39">
        <f>IF(OR(G30="",H30="已完成"),0,MAX(0,项目驾驶舱!$B$3-G30))</f>
        <v/>
      </c>
      <c r="K30" s="39" t="n"/>
      <c r="L30" s="40" t="n"/>
    </row>
    <row r="31">
      <c r="A31" s="37" t="n"/>
      <c r="B31" s="108" t="n"/>
      <c r="C31" s="39" t="n"/>
      <c r="D31" s="39" t="n"/>
      <c r="E31" s="39" t="n"/>
      <c r="F31" s="39" t="n"/>
      <c r="G31" s="108" t="n"/>
      <c r="H31" s="39" t="n"/>
      <c r="I31" s="108" t="n"/>
      <c r="J31" s="39">
        <f>IF(OR(G31="",H31="已完成"),0,MAX(0,项目驾驶舱!$B$3-G31))</f>
        <v/>
      </c>
      <c r="K31" s="39" t="n"/>
      <c r="L31" s="40" t="n"/>
    </row>
    <row r="32">
      <c r="A32" s="37" t="n"/>
      <c r="B32" s="108" t="n"/>
      <c r="C32" s="39" t="n"/>
      <c r="D32" s="39" t="n"/>
      <c r="E32" s="39" t="n"/>
      <c r="F32" s="39" t="n"/>
      <c r="G32" s="108" t="n"/>
      <c r="H32" s="39" t="n"/>
      <c r="I32" s="108" t="n"/>
      <c r="J32" s="39">
        <f>IF(OR(G32="",H32="已完成"),0,MAX(0,项目驾驶舱!$B$3-G32))</f>
        <v/>
      </c>
      <c r="K32" s="39" t="n"/>
      <c r="L32" s="40" t="n"/>
    </row>
    <row r="33">
      <c r="A33" s="37" t="n"/>
      <c r="B33" s="108" t="n"/>
      <c r="C33" s="39" t="n"/>
      <c r="D33" s="39" t="n"/>
      <c r="E33" s="39" t="n"/>
      <c r="F33" s="39" t="n"/>
      <c r="G33" s="108" t="n"/>
      <c r="H33" s="39" t="n"/>
      <c r="I33" s="108" t="n"/>
      <c r="J33" s="39">
        <f>IF(OR(G33="",H33="已完成"),0,MAX(0,项目驾驶舱!$B$3-G33))</f>
        <v/>
      </c>
      <c r="K33" s="39" t="n"/>
      <c r="L33" s="40" t="n"/>
    </row>
    <row r="34">
      <c r="A34" s="37" t="n"/>
      <c r="B34" s="108" t="n"/>
      <c r="C34" s="39" t="n"/>
      <c r="D34" s="39" t="n"/>
      <c r="E34" s="39" t="n"/>
      <c r="F34" s="39" t="n"/>
      <c r="G34" s="108" t="n"/>
      <c r="H34" s="39" t="n"/>
      <c r="I34" s="108" t="n"/>
      <c r="J34" s="39">
        <f>IF(OR(G34="",H34="已完成"),0,MAX(0,项目驾驶舱!$B$3-G34))</f>
        <v/>
      </c>
      <c r="K34" s="39" t="n"/>
      <c r="L34" s="40" t="n"/>
    </row>
    <row r="35">
      <c r="A35" s="37" t="n"/>
      <c r="B35" s="108" t="n"/>
      <c r="C35" s="39" t="n"/>
      <c r="D35" s="39" t="n"/>
      <c r="E35" s="39" t="n"/>
      <c r="F35" s="39" t="n"/>
      <c r="G35" s="108" t="n"/>
      <c r="H35" s="39" t="n"/>
      <c r="I35" s="108" t="n"/>
      <c r="J35" s="39">
        <f>IF(OR(G35="",H35="已完成"),0,MAX(0,项目驾驶舱!$B$3-G35))</f>
        <v/>
      </c>
      <c r="K35" s="39" t="n"/>
      <c r="L35" s="40" t="n"/>
    </row>
    <row r="36">
      <c r="A36" s="37" t="n"/>
      <c r="B36" s="108" t="n"/>
      <c r="C36" s="39" t="n"/>
      <c r="D36" s="39" t="n"/>
      <c r="E36" s="39" t="n"/>
      <c r="F36" s="39" t="n"/>
      <c r="G36" s="108" t="n"/>
      <c r="H36" s="39" t="n"/>
      <c r="I36" s="108" t="n"/>
      <c r="J36" s="39">
        <f>IF(OR(G36="",H36="已完成"),0,MAX(0,项目驾驶舱!$B$3-G36))</f>
        <v/>
      </c>
      <c r="K36" s="39" t="n"/>
      <c r="L36" s="40" t="n"/>
    </row>
    <row r="37">
      <c r="A37" s="37" t="n"/>
      <c r="B37" s="108" t="n"/>
      <c r="C37" s="39" t="n"/>
      <c r="D37" s="39" t="n"/>
      <c r="E37" s="39" t="n"/>
      <c r="F37" s="39" t="n"/>
      <c r="G37" s="108" t="n"/>
      <c r="H37" s="39" t="n"/>
      <c r="I37" s="108" t="n"/>
      <c r="J37" s="39">
        <f>IF(OR(G37="",H37="已完成"),0,MAX(0,项目驾驶舱!$B$3-G37))</f>
        <v/>
      </c>
      <c r="K37" s="39" t="n"/>
      <c r="L37" s="40" t="n"/>
    </row>
    <row r="38">
      <c r="A38" s="37" t="n"/>
      <c r="B38" s="108" t="n"/>
      <c r="C38" s="39" t="n"/>
      <c r="D38" s="39" t="n"/>
      <c r="E38" s="39" t="n"/>
      <c r="F38" s="39" t="n"/>
      <c r="G38" s="108" t="n"/>
      <c r="H38" s="39" t="n"/>
      <c r="I38" s="108" t="n"/>
      <c r="J38" s="39">
        <f>IF(OR(G38="",H38="已完成"),0,MAX(0,项目驾驶舱!$B$3-G38))</f>
        <v/>
      </c>
      <c r="K38" s="39" t="n"/>
      <c r="L38" s="40" t="n"/>
    </row>
    <row r="39">
      <c r="A39" s="37" t="n"/>
      <c r="B39" s="108" t="n"/>
      <c r="C39" s="39" t="n"/>
      <c r="D39" s="39" t="n"/>
      <c r="E39" s="39" t="n"/>
      <c r="F39" s="39" t="n"/>
      <c r="G39" s="108" t="n"/>
      <c r="H39" s="39" t="n"/>
      <c r="I39" s="108" t="n"/>
      <c r="J39" s="39">
        <f>IF(OR(G39="",H39="已完成"),0,MAX(0,项目驾驶舱!$B$3-G39))</f>
        <v/>
      </c>
      <c r="K39" s="39" t="n"/>
      <c r="L39" s="40" t="n"/>
    </row>
    <row r="40">
      <c r="A40" s="37" t="n"/>
      <c r="B40" s="108" t="n"/>
      <c r="C40" s="39" t="n"/>
      <c r="D40" s="39" t="n"/>
      <c r="E40" s="39" t="n"/>
      <c r="F40" s="39" t="n"/>
      <c r="G40" s="108" t="n"/>
      <c r="H40" s="39" t="n"/>
      <c r="I40" s="108" t="n"/>
      <c r="J40" s="39">
        <f>IF(OR(G40="",H40="已完成"),0,MAX(0,项目驾驶舱!$B$3-G40))</f>
        <v/>
      </c>
      <c r="K40" s="39" t="n"/>
      <c r="L40" s="40" t="n"/>
    </row>
    <row r="41">
      <c r="A41" s="37" t="n"/>
      <c r="B41" s="108" t="n"/>
      <c r="C41" s="39" t="n"/>
      <c r="D41" s="39" t="n"/>
      <c r="E41" s="39" t="n"/>
      <c r="F41" s="39" t="n"/>
      <c r="G41" s="108" t="n"/>
      <c r="H41" s="39" t="n"/>
      <c r="I41" s="108" t="n"/>
      <c r="J41" s="39">
        <f>IF(OR(G41="",H41="已完成"),0,MAX(0,项目驾驶舱!$B$3-G41))</f>
        <v/>
      </c>
      <c r="K41" s="39" t="n"/>
      <c r="L41" s="40" t="n"/>
    </row>
    <row r="42">
      <c r="A42" s="37" t="n"/>
      <c r="B42" s="108" t="n"/>
      <c r="C42" s="39" t="n"/>
      <c r="D42" s="39" t="n"/>
      <c r="E42" s="39" t="n"/>
      <c r="F42" s="39" t="n"/>
      <c r="G42" s="108" t="n"/>
      <c r="H42" s="39" t="n"/>
      <c r="I42" s="108" t="n"/>
      <c r="J42" s="39">
        <f>IF(OR(G42="",H42="已完成"),0,MAX(0,项目驾驶舱!$B$3-G42))</f>
        <v/>
      </c>
      <c r="K42" s="39" t="n"/>
      <c r="L42" s="40" t="n"/>
    </row>
    <row r="43">
      <c r="A43" s="37" t="n"/>
      <c r="B43" s="108" t="n"/>
      <c r="C43" s="39" t="n"/>
      <c r="D43" s="39" t="n"/>
      <c r="E43" s="39" t="n"/>
      <c r="F43" s="39" t="n"/>
      <c r="G43" s="108" t="n"/>
      <c r="H43" s="39" t="n"/>
      <c r="I43" s="108" t="n"/>
      <c r="J43" s="39">
        <f>IF(OR(G43="",H43="已完成"),0,MAX(0,项目驾驶舱!$B$3-G43))</f>
        <v/>
      </c>
      <c r="K43" s="39" t="n"/>
      <c r="L43" s="40" t="n"/>
    </row>
    <row r="44">
      <c r="A44" s="37" t="n"/>
      <c r="B44" s="108" t="n"/>
      <c r="C44" s="39" t="n"/>
      <c r="D44" s="39" t="n"/>
      <c r="E44" s="39" t="n"/>
      <c r="F44" s="39" t="n"/>
      <c r="G44" s="108" t="n"/>
      <c r="H44" s="39" t="n"/>
      <c r="I44" s="108" t="n"/>
      <c r="J44" s="39">
        <f>IF(OR(G44="",H44="已完成"),0,MAX(0,项目驾驶舱!$B$3-G44))</f>
        <v/>
      </c>
      <c r="K44" s="39" t="n"/>
      <c r="L44" s="40" t="n"/>
    </row>
    <row r="45">
      <c r="A45" s="37" t="n"/>
      <c r="B45" s="108" t="n"/>
      <c r="C45" s="39" t="n"/>
      <c r="D45" s="39" t="n"/>
      <c r="E45" s="39" t="n"/>
      <c r="F45" s="39" t="n"/>
      <c r="G45" s="108" t="n"/>
      <c r="H45" s="39" t="n"/>
      <c r="I45" s="108" t="n"/>
      <c r="J45" s="39">
        <f>IF(OR(G45="",H45="已完成"),0,MAX(0,项目驾驶舱!$B$3-G45))</f>
        <v/>
      </c>
      <c r="K45" s="39" t="n"/>
      <c r="L45" s="40" t="n"/>
    </row>
    <row r="46">
      <c r="A46" s="37" t="n"/>
      <c r="B46" s="108" t="n"/>
      <c r="C46" s="39" t="n"/>
      <c r="D46" s="39" t="n"/>
      <c r="E46" s="39" t="n"/>
      <c r="F46" s="39" t="n"/>
      <c r="G46" s="108" t="n"/>
      <c r="H46" s="39" t="n"/>
      <c r="I46" s="108" t="n"/>
      <c r="J46" s="39">
        <f>IF(OR(G46="",H46="已完成"),0,MAX(0,项目驾驶舱!$B$3-G46))</f>
        <v/>
      </c>
      <c r="K46" s="39" t="n"/>
      <c r="L46" s="40" t="n"/>
    </row>
    <row r="47">
      <c r="A47" s="37" t="n"/>
      <c r="B47" s="108" t="n"/>
      <c r="C47" s="39" t="n"/>
      <c r="D47" s="39" t="n"/>
      <c r="E47" s="39" t="n"/>
      <c r="F47" s="39" t="n"/>
      <c r="G47" s="108" t="n"/>
      <c r="H47" s="39" t="n"/>
      <c r="I47" s="108" t="n"/>
      <c r="J47" s="39">
        <f>IF(OR(G47="",H47="已完成"),0,MAX(0,项目驾驶舱!$B$3-G47))</f>
        <v/>
      </c>
      <c r="K47" s="39" t="n"/>
      <c r="L47" s="40" t="n"/>
    </row>
    <row r="48">
      <c r="A48" s="37" t="n"/>
      <c r="B48" s="108" t="n"/>
      <c r="C48" s="39" t="n"/>
      <c r="D48" s="39" t="n"/>
      <c r="E48" s="39" t="n"/>
      <c r="F48" s="39" t="n"/>
      <c r="G48" s="108" t="n"/>
      <c r="H48" s="39" t="n"/>
      <c r="I48" s="108" t="n"/>
      <c r="J48" s="39">
        <f>IF(OR(G48="",H48="已完成"),0,MAX(0,项目驾驶舱!$B$3-G48))</f>
        <v/>
      </c>
      <c r="K48" s="39" t="n"/>
      <c r="L48" s="40" t="n"/>
    </row>
    <row r="49">
      <c r="A49" s="37" t="n"/>
      <c r="B49" s="108" t="n"/>
      <c r="C49" s="39" t="n"/>
      <c r="D49" s="39" t="n"/>
      <c r="E49" s="39" t="n"/>
      <c r="F49" s="39" t="n"/>
      <c r="G49" s="108" t="n"/>
      <c r="H49" s="39" t="n"/>
      <c r="I49" s="108" t="n"/>
      <c r="J49" s="39">
        <f>IF(OR(G49="",H49="已完成"),0,MAX(0,项目驾驶舱!$B$3-G49))</f>
        <v/>
      </c>
      <c r="K49" s="39" t="n"/>
      <c r="L49" s="40" t="n"/>
    </row>
    <row r="50">
      <c r="A50" s="37" t="n"/>
      <c r="B50" s="108" t="n"/>
      <c r="C50" s="39" t="n"/>
      <c r="D50" s="39" t="n"/>
      <c r="E50" s="39" t="n"/>
      <c r="F50" s="39" t="n"/>
      <c r="G50" s="108" t="n"/>
      <c r="H50" s="39" t="n"/>
      <c r="I50" s="108" t="n"/>
      <c r="J50" s="39">
        <f>IF(OR(G50="",H50="已完成"),0,MAX(0,项目驾驶舱!$B$3-G50))</f>
        <v/>
      </c>
      <c r="K50" s="39" t="n"/>
      <c r="L50" s="40" t="n"/>
    </row>
    <row r="51">
      <c r="A51" s="37" t="n"/>
      <c r="B51" s="108" t="n"/>
      <c r="C51" s="39" t="n"/>
      <c r="D51" s="39" t="n"/>
      <c r="E51" s="39" t="n"/>
      <c r="F51" s="39" t="n"/>
      <c r="G51" s="108" t="n"/>
      <c r="H51" s="39" t="n"/>
      <c r="I51" s="108" t="n"/>
      <c r="J51" s="39">
        <f>IF(OR(G51="",H51="已完成"),0,MAX(0,项目驾驶舱!$B$3-G51))</f>
        <v/>
      </c>
      <c r="K51" s="39" t="n"/>
      <c r="L51" s="40" t="n"/>
    </row>
    <row r="52">
      <c r="A52" s="37" t="n"/>
      <c r="B52" s="108" t="n"/>
      <c r="C52" s="39" t="n"/>
      <c r="D52" s="39" t="n"/>
      <c r="E52" s="39" t="n"/>
      <c r="F52" s="39" t="n"/>
      <c r="G52" s="108" t="n"/>
      <c r="H52" s="39" t="n"/>
      <c r="I52" s="108" t="n"/>
      <c r="J52" s="39">
        <f>IF(OR(G52="",H52="已完成"),0,MAX(0,项目驾驶舱!$B$3-G52))</f>
        <v/>
      </c>
      <c r="K52" s="39" t="n"/>
      <c r="L52" s="40" t="n"/>
    </row>
    <row r="53">
      <c r="A53" s="37" t="n"/>
      <c r="B53" s="108" t="n"/>
      <c r="C53" s="39" t="n"/>
      <c r="D53" s="39" t="n"/>
      <c r="E53" s="39" t="n"/>
      <c r="F53" s="39" t="n"/>
      <c r="G53" s="108" t="n"/>
      <c r="H53" s="39" t="n"/>
      <c r="I53" s="108" t="n"/>
      <c r="J53" s="39">
        <f>IF(OR(G53="",H53="已完成"),0,MAX(0,项目驾驶舱!$B$3-G53))</f>
        <v/>
      </c>
      <c r="K53" s="39" t="n"/>
      <c r="L53" s="40" t="n"/>
    </row>
    <row r="54">
      <c r="A54" s="37" t="n"/>
      <c r="B54" s="108" t="n"/>
      <c r="C54" s="39" t="n"/>
      <c r="D54" s="39" t="n"/>
      <c r="E54" s="39" t="n"/>
      <c r="F54" s="39" t="n"/>
      <c r="G54" s="108" t="n"/>
      <c r="H54" s="39" t="n"/>
      <c r="I54" s="108" t="n"/>
      <c r="J54" s="39">
        <f>IF(OR(G54="",H54="已完成"),0,MAX(0,项目驾驶舱!$B$3-G54))</f>
        <v/>
      </c>
      <c r="K54" s="39" t="n"/>
      <c r="L54" s="40" t="n"/>
    </row>
    <row r="55">
      <c r="A55" s="37" t="n"/>
      <c r="B55" s="108" t="n"/>
      <c r="C55" s="39" t="n"/>
      <c r="D55" s="39" t="n"/>
      <c r="E55" s="39" t="n"/>
      <c r="F55" s="39" t="n"/>
      <c r="G55" s="108" t="n"/>
      <c r="H55" s="39" t="n"/>
      <c r="I55" s="108" t="n"/>
      <c r="J55" s="39">
        <f>IF(OR(G55="",H55="已完成"),0,MAX(0,项目驾驶舱!$B$3-G55))</f>
        <v/>
      </c>
      <c r="K55" s="39" t="n"/>
      <c r="L55" s="40" t="n"/>
    </row>
    <row r="56">
      <c r="A56" s="37" t="n"/>
      <c r="B56" s="108" t="n"/>
      <c r="C56" s="39" t="n"/>
      <c r="D56" s="39" t="n"/>
      <c r="E56" s="39" t="n"/>
      <c r="F56" s="39" t="n"/>
      <c r="G56" s="108" t="n"/>
      <c r="H56" s="39" t="n"/>
      <c r="I56" s="108" t="n"/>
      <c r="J56" s="39">
        <f>IF(OR(G56="",H56="已完成"),0,MAX(0,项目驾驶舱!$B$3-G56))</f>
        <v/>
      </c>
      <c r="K56" s="39" t="n"/>
      <c r="L56" s="40" t="n"/>
    </row>
    <row r="57">
      <c r="A57" s="37" t="n"/>
      <c r="B57" s="108" t="n"/>
      <c r="C57" s="39" t="n"/>
      <c r="D57" s="39" t="n"/>
      <c r="E57" s="39" t="n"/>
      <c r="F57" s="39" t="n"/>
      <c r="G57" s="108" t="n"/>
      <c r="H57" s="39" t="n"/>
      <c r="I57" s="108" t="n"/>
      <c r="J57" s="39">
        <f>IF(OR(G57="",H57="已完成"),0,MAX(0,项目驾驶舱!$B$3-G57))</f>
        <v/>
      </c>
      <c r="K57" s="39" t="n"/>
      <c r="L57" s="40" t="n"/>
    </row>
    <row r="58">
      <c r="A58" s="37" t="n"/>
      <c r="B58" s="108" t="n"/>
      <c r="C58" s="39" t="n"/>
      <c r="D58" s="39" t="n"/>
      <c r="E58" s="39" t="n"/>
      <c r="F58" s="39" t="n"/>
      <c r="G58" s="108" t="n"/>
      <c r="H58" s="39" t="n"/>
      <c r="I58" s="108" t="n"/>
      <c r="J58" s="39">
        <f>IF(OR(G58="",H58="已完成"),0,MAX(0,项目驾驶舱!$B$3-G58))</f>
        <v/>
      </c>
      <c r="K58" s="39" t="n"/>
      <c r="L58" s="40" t="n"/>
    </row>
    <row r="59">
      <c r="A59" s="37" t="n"/>
      <c r="B59" s="108" t="n"/>
      <c r="C59" s="39" t="n"/>
      <c r="D59" s="39" t="n"/>
      <c r="E59" s="39" t="n"/>
      <c r="F59" s="39" t="n"/>
      <c r="G59" s="108" t="n"/>
      <c r="H59" s="39" t="n"/>
      <c r="I59" s="108" t="n"/>
      <c r="J59" s="39">
        <f>IF(OR(G59="",H59="已完成"),0,MAX(0,项目驾驶舱!$B$3-G59))</f>
        <v/>
      </c>
      <c r="K59" s="39" t="n"/>
      <c r="L59" s="40" t="n"/>
    </row>
    <row r="60">
      <c r="A60" s="37" t="n"/>
      <c r="B60" s="108" t="n"/>
      <c r="C60" s="39" t="n"/>
      <c r="D60" s="39" t="n"/>
      <c r="E60" s="39" t="n"/>
      <c r="F60" s="39" t="n"/>
      <c r="G60" s="108" t="n"/>
      <c r="H60" s="39" t="n"/>
      <c r="I60" s="108" t="n"/>
      <c r="J60" s="39">
        <f>IF(OR(G60="",H60="已完成"),0,MAX(0,项目驾驶舱!$B$3-G60))</f>
        <v/>
      </c>
      <c r="K60" s="39" t="n"/>
      <c r="L60" s="40" t="n"/>
    </row>
    <row r="61">
      <c r="A61" s="37" t="n"/>
      <c r="B61" s="108" t="n"/>
      <c r="C61" s="39" t="n"/>
      <c r="D61" s="39" t="n"/>
      <c r="E61" s="39" t="n"/>
      <c r="F61" s="39" t="n"/>
      <c r="G61" s="108" t="n"/>
      <c r="H61" s="39" t="n"/>
      <c r="I61" s="108" t="n"/>
      <c r="J61" s="39">
        <f>IF(OR(G61="",H61="已完成"),0,MAX(0,项目驾驶舱!$B$3-G61))</f>
        <v/>
      </c>
      <c r="K61" s="39" t="n"/>
      <c r="L61" s="40" t="n"/>
    </row>
    <row r="62">
      <c r="A62" s="37" t="n"/>
      <c r="B62" s="108" t="n"/>
      <c r="C62" s="39" t="n"/>
      <c r="D62" s="39" t="n"/>
      <c r="E62" s="39" t="n"/>
      <c r="F62" s="39" t="n"/>
      <c r="G62" s="108" t="n"/>
      <c r="H62" s="39" t="n"/>
      <c r="I62" s="108" t="n"/>
      <c r="J62" s="39">
        <f>IF(OR(G62="",H62="已完成"),0,MAX(0,项目驾驶舱!$B$3-G62))</f>
        <v/>
      </c>
      <c r="K62" s="39" t="n"/>
      <c r="L62" s="40" t="n"/>
    </row>
    <row r="63">
      <c r="A63" s="37" t="n"/>
      <c r="B63" s="108" t="n"/>
      <c r="C63" s="39" t="n"/>
      <c r="D63" s="39" t="n"/>
      <c r="E63" s="39" t="n"/>
      <c r="F63" s="39" t="n"/>
      <c r="G63" s="108" t="n"/>
      <c r="H63" s="39" t="n"/>
      <c r="I63" s="108" t="n"/>
      <c r="J63" s="39">
        <f>IF(OR(G63="",H63="已完成"),0,MAX(0,项目驾驶舱!$B$3-G63))</f>
        <v/>
      </c>
      <c r="K63" s="39" t="n"/>
      <c r="L63" s="40" t="n"/>
    </row>
    <row r="64">
      <c r="A64" s="37" t="n"/>
      <c r="B64" s="108" t="n"/>
      <c r="C64" s="39" t="n"/>
      <c r="D64" s="39" t="n"/>
      <c r="E64" s="39" t="n"/>
      <c r="F64" s="39" t="n"/>
      <c r="G64" s="108" t="n"/>
      <c r="H64" s="39" t="n"/>
      <c r="I64" s="108" t="n"/>
      <c r="J64" s="39">
        <f>IF(OR(G64="",H64="已完成"),0,MAX(0,项目驾驶舱!$B$3-G64))</f>
        <v/>
      </c>
      <c r="K64" s="39" t="n"/>
      <c r="L64" s="40" t="n"/>
    </row>
    <row r="65">
      <c r="A65" s="37" t="n"/>
      <c r="B65" s="108" t="n"/>
      <c r="C65" s="39" t="n"/>
      <c r="D65" s="39" t="n"/>
      <c r="E65" s="39" t="n"/>
      <c r="F65" s="39" t="n"/>
      <c r="G65" s="108" t="n"/>
      <c r="H65" s="39" t="n"/>
      <c r="I65" s="108" t="n"/>
      <c r="J65" s="39">
        <f>IF(OR(G65="",H65="已完成"),0,MAX(0,项目驾驶舱!$B$3-G65))</f>
        <v/>
      </c>
      <c r="K65" s="39" t="n"/>
      <c r="L65" s="40" t="n"/>
    </row>
    <row r="66">
      <c r="A66" s="37" t="n"/>
      <c r="B66" s="108" t="n"/>
      <c r="C66" s="39" t="n"/>
      <c r="D66" s="39" t="n"/>
      <c r="E66" s="39" t="n"/>
      <c r="F66" s="39" t="n"/>
      <c r="G66" s="108" t="n"/>
      <c r="H66" s="39" t="n"/>
      <c r="I66" s="108" t="n"/>
      <c r="J66" s="39">
        <f>IF(OR(G66="",H66="已完成"),0,MAX(0,项目驾驶舱!$B$3-G66))</f>
        <v/>
      </c>
      <c r="K66" s="39" t="n"/>
      <c r="L66" s="40" t="n"/>
    </row>
    <row r="67">
      <c r="A67" s="37" t="n"/>
      <c r="B67" s="108" t="n"/>
      <c r="C67" s="39" t="n"/>
      <c r="D67" s="39" t="n"/>
      <c r="E67" s="39" t="n"/>
      <c r="F67" s="39" t="n"/>
      <c r="G67" s="108" t="n"/>
      <c r="H67" s="39" t="n"/>
      <c r="I67" s="108" t="n"/>
      <c r="J67" s="39">
        <f>IF(OR(G67="",H67="已完成"),0,MAX(0,项目驾驶舱!$B$3-G67))</f>
        <v/>
      </c>
      <c r="K67" s="39" t="n"/>
      <c r="L67" s="40" t="n"/>
    </row>
    <row r="68">
      <c r="A68" s="37" t="n"/>
      <c r="B68" s="108" t="n"/>
      <c r="C68" s="39" t="n"/>
      <c r="D68" s="39" t="n"/>
      <c r="E68" s="39" t="n"/>
      <c r="F68" s="39" t="n"/>
      <c r="G68" s="108" t="n"/>
      <c r="H68" s="39" t="n"/>
      <c r="I68" s="108" t="n"/>
      <c r="J68" s="39">
        <f>IF(OR(G68="",H68="已完成"),0,MAX(0,项目驾驶舱!$B$3-G68))</f>
        <v/>
      </c>
      <c r="K68" s="39" t="n"/>
      <c r="L68" s="40" t="n"/>
    </row>
    <row r="69">
      <c r="A69" s="37" t="n"/>
      <c r="B69" s="108" t="n"/>
      <c r="C69" s="39" t="n"/>
      <c r="D69" s="39" t="n"/>
      <c r="E69" s="39" t="n"/>
      <c r="F69" s="39" t="n"/>
      <c r="G69" s="108" t="n"/>
      <c r="H69" s="39" t="n"/>
      <c r="I69" s="108" t="n"/>
      <c r="J69" s="39">
        <f>IF(OR(G69="",H69="已完成"),0,MAX(0,项目驾驶舱!$B$3-G69))</f>
        <v/>
      </c>
      <c r="K69" s="39" t="n"/>
      <c r="L69" s="40" t="n"/>
    </row>
    <row r="70">
      <c r="A70" s="37" t="n"/>
      <c r="B70" s="108" t="n"/>
      <c r="C70" s="39" t="n"/>
      <c r="D70" s="39" t="n"/>
      <c r="E70" s="39" t="n"/>
      <c r="F70" s="39" t="n"/>
      <c r="G70" s="108" t="n"/>
      <c r="H70" s="39" t="n"/>
      <c r="I70" s="108" t="n"/>
      <c r="J70" s="39">
        <f>IF(OR(G70="",H70="已完成"),0,MAX(0,项目驾驶舱!$B$3-G70))</f>
        <v/>
      </c>
      <c r="K70" s="39" t="n"/>
      <c r="L70" s="40" t="n"/>
    </row>
    <row r="71">
      <c r="A71" s="37" t="n"/>
      <c r="B71" s="108" t="n"/>
      <c r="C71" s="39" t="n"/>
      <c r="D71" s="39" t="n"/>
      <c r="E71" s="39" t="n"/>
      <c r="F71" s="39" t="n"/>
      <c r="G71" s="108" t="n"/>
      <c r="H71" s="39" t="n"/>
      <c r="I71" s="108" t="n"/>
      <c r="J71" s="39">
        <f>IF(OR(G71="",H71="已完成"),0,MAX(0,项目驾驶舱!$B$3-G71))</f>
        <v/>
      </c>
      <c r="K71" s="39" t="n"/>
      <c r="L71" s="40" t="n"/>
    </row>
    <row r="72">
      <c r="A72" s="37" t="n"/>
      <c r="B72" s="108" t="n"/>
      <c r="C72" s="39" t="n"/>
      <c r="D72" s="39" t="n"/>
      <c r="E72" s="39" t="n"/>
      <c r="F72" s="39" t="n"/>
      <c r="G72" s="108" t="n"/>
      <c r="H72" s="39" t="n"/>
      <c r="I72" s="108" t="n"/>
      <c r="J72" s="39">
        <f>IF(OR(G72="",H72="已完成"),0,MAX(0,项目驾驶舱!$B$3-G72))</f>
        <v/>
      </c>
      <c r="K72" s="39" t="n"/>
      <c r="L72" s="40" t="n"/>
    </row>
    <row r="73">
      <c r="A73" s="37" t="n"/>
      <c r="B73" s="108" t="n"/>
      <c r="C73" s="39" t="n"/>
      <c r="D73" s="39" t="n"/>
      <c r="E73" s="39" t="n"/>
      <c r="F73" s="39" t="n"/>
      <c r="G73" s="108" t="n"/>
      <c r="H73" s="39" t="n"/>
      <c r="I73" s="108" t="n"/>
      <c r="J73" s="39">
        <f>IF(OR(G73="",H73="已完成"),0,MAX(0,项目驾驶舱!$B$3-G73))</f>
        <v/>
      </c>
      <c r="K73" s="39" t="n"/>
      <c r="L73" s="40" t="n"/>
    </row>
    <row r="74">
      <c r="A74" s="37" t="n"/>
      <c r="B74" s="108" t="n"/>
      <c r="C74" s="39" t="n"/>
      <c r="D74" s="39" t="n"/>
      <c r="E74" s="39" t="n"/>
      <c r="F74" s="39" t="n"/>
      <c r="G74" s="108" t="n"/>
      <c r="H74" s="39" t="n"/>
      <c r="I74" s="108" t="n"/>
      <c r="J74" s="39">
        <f>IF(OR(G74="",H74="已完成"),0,MAX(0,项目驾驶舱!$B$3-G74))</f>
        <v/>
      </c>
      <c r="K74" s="39" t="n"/>
      <c r="L74" s="40" t="n"/>
    </row>
    <row r="75">
      <c r="A75" s="37" t="n"/>
      <c r="B75" s="108" t="n"/>
      <c r="C75" s="39" t="n"/>
      <c r="D75" s="39" t="n"/>
      <c r="E75" s="39" t="n"/>
      <c r="F75" s="39" t="n"/>
      <c r="G75" s="108" t="n"/>
      <c r="H75" s="39" t="n"/>
      <c r="I75" s="108" t="n"/>
      <c r="J75" s="39">
        <f>IF(OR(G75="",H75="已完成"),0,MAX(0,项目驾驶舱!$B$3-G75))</f>
        <v/>
      </c>
      <c r="K75" s="39" t="n"/>
      <c r="L75" s="40" t="n"/>
    </row>
    <row r="76">
      <c r="A76" s="37" t="n"/>
      <c r="B76" s="108" t="n"/>
      <c r="C76" s="39" t="n"/>
      <c r="D76" s="39" t="n"/>
      <c r="E76" s="39" t="n"/>
      <c r="F76" s="39" t="n"/>
      <c r="G76" s="108" t="n"/>
      <c r="H76" s="39" t="n"/>
      <c r="I76" s="108" t="n"/>
      <c r="J76" s="39">
        <f>IF(OR(G76="",H76="已完成"),0,MAX(0,项目驾驶舱!$B$3-G76))</f>
        <v/>
      </c>
      <c r="K76" s="39" t="n"/>
      <c r="L76" s="40" t="n"/>
    </row>
    <row r="77">
      <c r="A77" s="37" t="n"/>
      <c r="B77" s="108" t="n"/>
      <c r="C77" s="39" t="n"/>
      <c r="D77" s="39" t="n"/>
      <c r="E77" s="39" t="n"/>
      <c r="F77" s="39" t="n"/>
      <c r="G77" s="108" t="n"/>
      <c r="H77" s="39" t="n"/>
      <c r="I77" s="108" t="n"/>
      <c r="J77" s="39">
        <f>IF(OR(G77="",H77="已完成"),0,MAX(0,项目驾驶舱!$B$3-G77))</f>
        <v/>
      </c>
      <c r="K77" s="39" t="n"/>
      <c r="L77" s="40" t="n"/>
    </row>
    <row r="78">
      <c r="A78" s="37" t="n"/>
      <c r="B78" s="108" t="n"/>
      <c r="C78" s="39" t="n"/>
      <c r="D78" s="39" t="n"/>
      <c r="E78" s="39" t="n"/>
      <c r="F78" s="39" t="n"/>
      <c r="G78" s="108" t="n"/>
      <c r="H78" s="39" t="n"/>
      <c r="I78" s="108" t="n"/>
      <c r="J78" s="39">
        <f>IF(OR(G78="",H78="已完成"),0,MAX(0,项目驾驶舱!$B$3-G78))</f>
        <v/>
      </c>
      <c r="K78" s="39" t="n"/>
      <c r="L78" s="40" t="n"/>
    </row>
    <row r="79">
      <c r="A79" s="37" t="n"/>
      <c r="B79" s="108" t="n"/>
      <c r="C79" s="39" t="n"/>
      <c r="D79" s="39" t="n"/>
      <c r="E79" s="39" t="n"/>
      <c r="F79" s="39" t="n"/>
      <c r="G79" s="108" t="n"/>
      <c r="H79" s="39" t="n"/>
      <c r="I79" s="108" t="n"/>
      <c r="J79" s="39">
        <f>IF(OR(G79="",H79="已完成"),0,MAX(0,项目驾驶舱!$B$3-G79))</f>
        <v/>
      </c>
      <c r="K79" s="39" t="n"/>
      <c r="L79" s="40" t="n"/>
    </row>
    <row r="80">
      <c r="A80" s="37" t="n"/>
      <c r="B80" s="108" t="n"/>
      <c r="C80" s="39" t="n"/>
      <c r="D80" s="39" t="n"/>
      <c r="E80" s="39" t="n"/>
      <c r="F80" s="39" t="n"/>
      <c r="G80" s="108" t="n"/>
      <c r="H80" s="39" t="n"/>
      <c r="I80" s="108" t="n"/>
      <c r="J80" s="39">
        <f>IF(OR(G80="",H80="已完成"),0,MAX(0,项目驾驶舱!$B$3-G80))</f>
        <v/>
      </c>
      <c r="K80" s="39" t="n"/>
      <c r="L80" s="40" t="n"/>
    </row>
    <row r="81">
      <c r="A81" s="37" t="n"/>
      <c r="B81" s="108" t="n"/>
      <c r="C81" s="39" t="n"/>
      <c r="D81" s="39" t="n"/>
      <c r="E81" s="39" t="n"/>
      <c r="F81" s="39" t="n"/>
      <c r="G81" s="108" t="n"/>
      <c r="H81" s="39" t="n"/>
      <c r="I81" s="108" t="n"/>
      <c r="J81" s="39">
        <f>IF(OR(G81="",H81="已完成"),0,MAX(0,项目驾驶舱!$B$3-G81))</f>
        <v/>
      </c>
      <c r="K81" s="39" t="n"/>
      <c r="L81" s="40" t="n"/>
    </row>
    <row r="82">
      <c r="A82" s="37" t="n"/>
      <c r="B82" s="108" t="n"/>
      <c r="C82" s="39" t="n"/>
      <c r="D82" s="39" t="n"/>
      <c r="E82" s="39" t="n"/>
      <c r="F82" s="39" t="n"/>
      <c r="G82" s="108" t="n"/>
      <c r="H82" s="39" t="n"/>
      <c r="I82" s="108" t="n"/>
      <c r="J82" s="39">
        <f>IF(OR(G82="",H82="已完成"),0,MAX(0,项目驾驶舱!$B$3-G82))</f>
        <v/>
      </c>
      <c r="K82" s="39" t="n"/>
      <c r="L82" s="40" t="n"/>
    </row>
    <row r="83">
      <c r="A83" s="37" t="n"/>
      <c r="B83" s="108" t="n"/>
      <c r="C83" s="39" t="n"/>
      <c r="D83" s="39" t="n"/>
      <c r="E83" s="39" t="n"/>
      <c r="F83" s="39" t="n"/>
      <c r="G83" s="108" t="n"/>
      <c r="H83" s="39" t="n"/>
      <c r="I83" s="108" t="n"/>
      <c r="J83" s="39">
        <f>IF(OR(G83="",H83="已完成"),0,MAX(0,项目驾驶舱!$B$3-G83))</f>
        <v/>
      </c>
      <c r="K83" s="39" t="n"/>
      <c r="L83" s="40" t="n"/>
    </row>
    <row r="84">
      <c r="A84" s="37" t="n"/>
      <c r="B84" s="108" t="n"/>
      <c r="C84" s="39" t="n"/>
      <c r="D84" s="39" t="n"/>
      <c r="E84" s="39" t="n"/>
      <c r="F84" s="39" t="n"/>
      <c r="G84" s="108" t="n"/>
      <c r="H84" s="39" t="n"/>
      <c r="I84" s="108" t="n"/>
      <c r="J84" s="39">
        <f>IF(OR(G84="",H84="已完成"),0,MAX(0,项目驾驶舱!$B$3-G84))</f>
        <v/>
      </c>
      <c r="K84" s="39" t="n"/>
      <c r="L84" s="40" t="n"/>
    </row>
    <row r="85">
      <c r="A85" s="37" t="n"/>
      <c r="B85" s="108" t="n"/>
      <c r="C85" s="39" t="n"/>
      <c r="D85" s="39" t="n"/>
      <c r="E85" s="39" t="n"/>
      <c r="F85" s="39" t="n"/>
      <c r="G85" s="108" t="n"/>
      <c r="H85" s="39" t="n"/>
      <c r="I85" s="108" t="n"/>
      <c r="J85" s="39">
        <f>IF(OR(G85="",H85="已完成"),0,MAX(0,项目驾驶舱!$B$3-G85))</f>
        <v/>
      </c>
      <c r="K85" s="39" t="n"/>
      <c r="L85" s="40" t="n"/>
    </row>
    <row r="86">
      <c r="A86" s="37" t="n"/>
      <c r="B86" s="108" t="n"/>
      <c r="C86" s="39" t="n"/>
      <c r="D86" s="39" t="n"/>
      <c r="E86" s="39" t="n"/>
      <c r="F86" s="39" t="n"/>
      <c r="G86" s="108" t="n"/>
      <c r="H86" s="39" t="n"/>
      <c r="I86" s="108" t="n"/>
      <c r="J86" s="39">
        <f>IF(OR(G86="",H86="已完成"),0,MAX(0,项目驾驶舱!$B$3-G86))</f>
        <v/>
      </c>
      <c r="K86" s="39" t="n"/>
      <c r="L86" s="40" t="n"/>
    </row>
    <row r="87">
      <c r="A87" s="37" t="n"/>
      <c r="B87" s="108" t="n"/>
      <c r="C87" s="39" t="n"/>
      <c r="D87" s="39" t="n"/>
      <c r="E87" s="39" t="n"/>
      <c r="F87" s="39" t="n"/>
      <c r="G87" s="108" t="n"/>
      <c r="H87" s="39" t="n"/>
      <c r="I87" s="108" t="n"/>
      <c r="J87" s="39">
        <f>IF(OR(G87="",H87="已完成"),0,MAX(0,项目驾驶舱!$B$3-G87))</f>
        <v/>
      </c>
      <c r="K87" s="39" t="n"/>
      <c r="L87" s="40" t="n"/>
    </row>
    <row r="88">
      <c r="A88" s="37" t="n"/>
      <c r="B88" s="108" t="n"/>
      <c r="C88" s="39" t="n"/>
      <c r="D88" s="39" t="n"/>
      <c r="E88" s="39" t="n"/>
      <c r="F88" s="39" t="n"/>
      <c r="G88" s="108" t="n"/>
      <c r="H88" s="39" t="n"/>
      <c r="I88" s="108" t="n"/>
      <c r="J88" s="39">
        <f>IF(OR(G88="",H88="已完成"),0,MAX(0,项目驾驶舱!$B$3-G88))</f>
        <v/>
      </c>
      <c r="K88" s="39" t="n"/>
      <c r="L88" s="40" t="n"/>
    </row>
    <row r="89">
      <c r="A89" s="37" t="n"/>
      <c r="B89" s="108" t="n"/>
      <c r="C89" s="39" t="n"/>
      <c r="D89" s="39" t="n"/>
      <c r="E89" s="39" t="n"/>
      <c r="F89" s="39" t="n"/>
      <c r="G89" s="108" t="n"/>
      <c r="H89" s="39" t="n"/>
      <c r="I89" s="108" t="n"/>
      <c r="J89" s="39">
        <f>IF(OR(G89="",H89="已完成"),0,MAX(0,项目驾驶舱!$B$3-G89))</f>
        <v/>
      </c>
      <c r="K89" s="39" t="n"/>
      <c r="L89" s="40" t="n"/>
    </row>
    <row r="90">
      <c r="A90" s="37" t="n"/>
      <c r="B90" s="108" t="n"/>
      <c r="C90" s="39" t="n"/>
      <c r="D90" s="39" t="n"/>
      <c r="E90" s="39" t="n"/>
      <c r="F90" s="39" t="n"/>
      <c r="G90" s="108" t="n"/>
      <c r="H90" s="39" t="n"/>
      <c r="I90" s="108" t="n"/>
      <c r="J90" s="39">
        <f>IF(OR(G90="",H90="已完成"),0,MAX(0,项目驾驶舱!$B$3-G90))</f>
        <v/>
      </c>
      <c r="K90" s="39" t="n"/>
      <c r="L90" s="40" t="n"/>
    </row>
    <row r="91">
      <c r="A91" s="37" t="n"/>
      <c r="B91" s="108" t="n"/>
      <c r="C91" s="39" t="n"/>
      <c r="D91" s="39" t="n"/>
      <c r="E91" s="39" t="n"/>
      <c r="F91" s="39" t="n"/>
      <c r="G91" s="108" t="n"/>
      <c r="H91" s="39" t="n"/>
      <c r="I91" s="108" t="n"/>
      <c r="J91" s="39">
        <f>IF(OR(G91="",H91="已完成"),0,MAX(0,项目驾驶舱!$B$3-G91))</f>
        <v/>
      </c>
      <c r="K91" s="39" t="n"/>
      <c r="L91" s="40" t="n"/>
    </row>
    <row r="92">
      <c r="A92" s="37" t="n"/>
      <c r="B92" s="108" t="n"/>
      <c r="C92" s="39" t="n"/>
      <c r="D92" s="39" t="n"/>
      <c r="E92" s="39" t="n"/>
      <c r="F92" s="39" t="n"/>
      <c r="G92" s="108" t="n"/>
      <c r="H92" s="39" t="n"/>
      <c r="I92" s="108" t="n"/>
      <c r="J92" s="39">
        <f>IF(OR(G92="",H92="已完成"),0,MAX(0,项目驾驶舱!$B$3-G92))</f>
        <v/>
      </c>
      <c r="K92" s="39" t="n"/>
      <c r="L92" s="40" t="n"/>
    </row>
    <row r="93">
      <c r="A93" s="37" t="n"/>
      <c r="B93" s="108" t="n"/>
      <c r="C93" s="39" t="n"/>
      <c r="D93" s="39" t="n"/>
      <c r="E93" s="39" t="n"/>
      <c r="F93" s="39" t="n"/>
      <c r="G93" s="108" t="n"/>
      <c r="H93" s="39" t="n"/>
      <c r="I93" s="108" t="n"/>
      <c r="J93" s="39">
        <f>IF(OR(G93="",H93="已完成"),0,MAX(0,项目驾驶舱!$B$3-G93))</f>
        <v/>
      </c>
      <c r="K93" s="39" t="n"/>
      <c r="L93" s="40" t="n"/>
    </row>
    <row r="94">
      <c r="A94" s="37" t="n"/>
      <c r="B94" s="108" t="n"/>
      <c r="C94" s="39" t="n"/>
      <c r="D94" s="39" t="n"/>
      <c r="E94" s="39" t="n"/>
      <c r="F94" s="39" t="n"/>
      <c r="G94" s="108" t="n"/>
      <c r="H94" s="39" t="n"/>
      <c r="I94" s="108" t="n"/>
      <c r="J94" s="39">
        <f>IF(OR(G94="",H94="已完成"),0,MAX(0,项目驾驶舱!$B$3-G94))</f>
        <v/>
      </c>
      <c r="K94" s="39" t="n"/>
      <c r="L94" s="40" t="n"/>
    </row>
    <row r="95">
      <c r="A95" s="37" t="n"/>
      <c r="B95" s="108" t="n"/>
      <c r="C95" s="39" t="n"/>
      <c r="D95" s="39" t="n"/>
      <c r="E95" s="39" t="n"/>
      <c r="F95" s="39" t="n"/>
      <c r="G95" s="108" t="n"/>
      <c r="H95" s="39" t="n"/>
      <c r="I95" s="108" t="n"/>
      <c r="J95" s="39">
        <f>IF(OR(G95="",H95="已完成"),0,MAX(0,项目驾驶舱!$B$3-G95))</f>
        <v/>
      </c>
      <c r="K95" s="39" t="n"/>
      <c r="L95" s="40" t="n"/>
    </row>
    <row r="96">
      <c r="A96" s="37" t="n"/>
      <c r="B96" s="108" t="n"/>
      <c r="C96" s="39" t="n"/>
      <c r="D96" s="39" t="n"/>
      <c r="E96" s="39" t="n"/>
      <c r="F96" s="39" t="n"/>
      <c r="G96" s="108" t="n"/>
      <c r="H96" s="39" t="n"/>
      <c r="I96" s="108" t="n"/>
      <c r="J96" s="39">
        <f>IF(OR(G96="",H96="已完成"),0,MAX(0,项目驾驶舱!$B$3-G96))</f>
        <v/>
      </c>
      <c r="K96" s="39" t="n"/>
      <c r="L96" s="40" t="n"/>
    </row>
    <row r="97">
      <c r="A97" s="37" t="n"/>
      <c r="B97" s="108" t="n"/>
      <c r="C97" s="39" t="n"/>
      <c r="D97" s="39" t="n"/>
      <c r="E97" s="39" t="n"/>
      <c r="F97" s="39" t="n"/>
      <c r="G97" s="108" t="n"/>
      <c r="H97" s="39" t="n"/>
      <c r="I97" s="108" t="n"/>
      <c r="J97" s="39">
        <f>IF(OR(G97="",H97="已完成"),0,MAX(0,项目驾驶舱!$B$3-G97))</f>
        <v/>
      </c>
      <c r="K97" s="39" t="n"/>
      <c r="L97" s="40" t="n"/>
    </row>
    <row r="98">
      <c r="A98" s="37" t="n"/>
      <c r="B98" s="108" t="n"/>
      <c r="C98" s="39" t="n"/>
      <c r="D98" s="39" t="n"/>
      <c r="E98" s="39" t="n"/>
      <c r="F98" s="39" t="n"/>
      <c r="G98" s="108" t="n"/>
      <c r="H98" s="39" t="n"/>
      <c r="I98" s="108" t="n"/>
      <c r="J98" s="39">
        <f>IF(OR(G98="",H98="已完成"),0,MAX(0,项目驾驶舱!$B$3-G98))</f>
        <v/>
      </c>
      <c r="K98" s="39" t="n"/>
      <c r="L98" s="40" t="n"/>
    </row>
    <row r="99">
      <c r="A99" s="37" t="n"/>
      <c r="B99" s="108" t="n"/>
      <c r="C99" s="39" t="n"/>
      <c r="D99" s="39" t="n"/>
      <c r="E99" s="39" t="n"/>
      <c r="F99" s="39" t="n"/>
      <c r="G99" s="108" t="n"/>
      <c r="H99" s="39" t="n"/>
      <c r="I99" s="108" t="n"/>
      <c r="J99" s="39">
        <f>IF(OR(G99="",H99="已完成"),0,MAX(0,项目驾驶舱!$B$3-G99))</f>
        <v/>
      </c>
      <c r="K99" s="39" t="n"/>
      <c r="L99" s="40" t="n"/>
    </row>
    <row r="100">
      <c r="A100" s="37" t="n"/>
      <c r="B100" s="108" t="n"/>
      <c r="C100" s="39" t="n"/>
      <c r="D100" s="39" t="n"/>
      <c r="E100" s="39" t="n"/>
      <c r="F100" s="39" t="n"/>
      <c r="G100" s="108" t="n"/>
      <c r="H100" s="39" t="n"/>
      <c r="I100" s="108" t="n"/>
      <c r="J100" s="39">
        <f>IF(OR(G100="",H100="已完成"),0,MAX(0,项目驾驶舱!$B$3-G100))</f>
        <v/>
      </c>
      <c r="K100" s="39" t="n"/>
      <c r="L100" s="40" t="n"/>
    </row>
    <row r="101">
      <c r="A101" s="37" t="n"/>
      <c r="B101" s="108" t="n"/>
      <c r="C101" s="39" t="n"/>
      <c r="D101" s="39" t="n"/>
      <c r="E101" s="39" t="n"/>
      <c r="F101" s="39" t="n"/>
      <c r="G101" s="108" t="n"/>
      <c r="H101" s="39" t="n"/>
      <c r="I101" s="108" t="n"/>
      <c r="J101" s="39">
        <f>IF(OR(G101="",H101="已完成"),0,MAX(0,项目驾驶舱!$B$3-G101))</f>
        <v/>
      </c>
      <c r="K101" s="39" t="n"/>
      <c r="L101" s="40" t="n"/>
    </row>
    <row r="102">
      <c r="A102" s="37" t="n"/>
      <c r="B102" s="108" t="n"/>
      <c r="C102" s="39" t="n"/>
      <c r="D102" s="39" t="n"/>
      <c r="E102" s="39" t="n"/>
      <c r="F102" s="39" t="n"/>
      <c r="G102" s="108" t="n"/>
      <c r="H102" s="39" t="n"/>
      <c r="I102" s="108" t="n"/>
      <c r="J102" s="39">
        <f>IF(OR(G102="",H102="已完成"),0,MAX(0,项目驾驶舱!$B$3-G102))</f>
        <v/>
      </c>
      <c r="K102" s="39" t="n"/>
      <c r="L102" s="40" t="n"/>
    </row>
    <row r="103">
      <c r="A103" s="41" t="n"/>
      <c r="B103" s="109" t="n"/>
      <c r="C103" s="43" t="n"/>
      <c r="D103" s="43" t="n"/>
      <c r="E103" s="43" t="n"/>
      <c r="F103" s="43" t="n"/>
      <c r="G103" s="109" t="n"/>
      <c r="H103" s="43" t="n"/>
      <c r="I103" s="109" t="n"/>
      <c r="J103" s="43">
        <f>IF(OR(G103="",H103="已完成"),0,MAX(0,项目驾驶舱!$B$3-G103))</f>
        <v/>
      </c>
      <c r="K103" s="43" t="n"/>
      <c r="L103" s="44" t="n"/>
    </row>
  </sheetData>
  <mergeCells count="1">
    <mergeCell ref="A1:L1"/>
  </mergeCells>
  <conditionalFormatting sqref="H4:H103">
    <cfRule type="containsText" priority="1" operator="between" dxfId="0" text="已完成">
      <formula>NOT(ISERROR(SEARCH("已完成",H4)))</formula>
    </cfRule>
    <cfRule type="containsText" priority="2" operator="between" dxfId="1" text="进行中">
      <formula>NOT(ISERROR(SEARCH("进行中",H4)))</formula>
    </cfRule>
    <cfRule type="containsText" priority="3" operator="between" dxfId="2" text="未开始">
      <formula>NOT(ISERROR(SEARCH("未开始",H4)))</formula>
    </cfRule>
    <cfRule type="containsText" priority="4" operator="between" dxfId="3" text="暂停">
      <formula>NOT(ISERROR(SEARCH("暂停",H4)))</formula>
    </cfRule>
  </conditionalFormatting>
  <dataValidations count="2">
    <dataValidation sqref="H4:H103" showDropDown="0" showInputMessage="0" showErrorMessage="0" allowBlank="0" type="list">
      <formula1>"未开始,进行中,已完成,取消"</formula1>
    </dataValidation>
    <dataValidation sqref="K4:K103" showDropDown="0" showInputMessage="0" showErrorMessage="0" allowBlank="0" type="list">
      <formula1>"低,中,高"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topLeftCell="A9" workbookViewId="0">
      <selection activeCell="B10" sqref="B10"/>
    </sheetView>
  </sheetViews>
  <sheetFormatPr baseColWidth="8" defaultColWidth="9" defaultRowHeight="16.8"/>
  <cols>
    <col width="18" customWidth="1" style="1" min="1" max="1"/>
    <col width="100" customWidth="1" style="1" min="2" max="2"/>
  </cols>
  <sheetData>
    <row r="1" ht="34" customHeight="1" s="1">
      <c r="A1" s="29" t="inlineStr">
        <is>
          <t>项目管理工作簿使用说明</t>
        </is>
      </c>
    </row>
    <row r="3" ht="48" customHeight="1" s="1">
      <c r="A3" s="30" t="inlineStr">
        <is>
          <t>标准更新流程</t>
        </is>
      </c>
      <c r="B3" s="31" t="inlineStr">
        <is>
          <t>1. 将最新项目计划放入inputs目录；2. 发起“更新V2模板”；3. 系统按文件修改时间选择最新Excel；4. 核对总控、诊断、督办和资源计划。</t>
        </is>
      </c>
    </row>
    <row r="4" ht="48" customHeight="1" s="1">
      <c r="A4" s="30" t="inlineStr">
        <is>
          <t>输入目录</t>
        </is>
      </c>
      <c r="B4" s="31" t="inlineStr">
        <is>
          <t>固定从项目目录下的inputs文件夹读取；支持.xlsx和.xlsm，并自动忽略以~$开头的Excel临时文件。</t>
        </is>
      </c>
    </row>
    <row r="5" ht="48" customHeight="1" s="1">
      <c r="A5" s="30" t="inlineStr">
        <is>
          <t>本次数据来源</t>
        </is>
      </c>
      <c r="B5" s="31" t="inlineStr">
        <is>
          <t>华能交易中心-港口交易平台开发计划-20260903-V2.xlsx</t>
        </is>
      </c>
    </row>
    <row r="6" ht="48" customHeight="1" s="1">
      <c r="A6" s="30" t="inlineStr">
        <is>
          <t>任务范围</t>
        </is>
      </c>
      <c r="B6" s="31" t="inlineStr">
        <is>
          <t>根据最新开发计划动态识别任务行，本次共145条任务；任务增减时，总控及相关明细范围同步调整。</t>
        </is>
      </c>
    </row>
    <row r="7" ht="48" customHeight="1" s="1">
      <c r="A7" s="30" t="inlineStr">
        <is>
          <t>统计日期</t>
        </is>
      </c>
      <c r="B7" s="31" t="inlineStr">
        <is>
          <t>在“项目驾驶舱”B3修改统计日期，延期、剩余天数、临近到期和两周督办会同步变化。</t>
        </is>
      </c>
    </row>
    <row r="8" ht="48" customHeight="1" s="1">
      <c r="A8" s="30" t="inlineStr">
        <is>
          <t>挂起与暂停</t>
        </is>
      </c>
      <c r="B8" s="31" t="inlineStr">
        <is>
          <t>业务、后端、前端或测试任一环节为“挂起”或“暂停”时，总体状态自动显示“暂停”；延期状态同步显示“暂停”。</t>
        </is>
      </c>
    </row>
    <row r="9" ht="48" customHeight="1" s="1">
      <c r="A9" s="30" t="inlineStr">
        <is>
          <t>综合进度口径</t>
        </is>
      </c>
      <c r="B9" s="31" t="inlineStr">
        <is>
          <t>业务设计15%、后端开发35%、前端开发30%、测试20%；进行中按该阶段50%计，完成按100%计。</t>
        </is>
      </c>
    </row>
    <row r="10" ht="48" customHeight="1" s="1">
      <c r="A10" s="30" t="inlineStr">
        <is>
          <t>延期口径</t>
        </is>
      </c>
      <c r="B10" s="31" t="inlineStr">
        <is>
          <t>总体状态不是“已完成”或“暂停”，且计划完成日期早于统计日期，判定为“已延期”；7天内到期为“临近到期”。</t>
        </is>
      </c>
    </row>
    <row r="11" ht="48" customHeight="1" s="1">
      <c r="A11" s="30" t="inlineStr">
        <is>
          <t>资源计划</t>
        </is>
      </c>
      <c r="B11" s="31" t="inlineStr">
        <is>
          <t>资源明细按人员、角色、任务排序；人员和角色每12行重复分组合并，便于滚动查看。任务字段仍可按批次、状态和日期筛选。</t>
        </is>
      </c>
    </row>
    <row r="12" ht="48" customHeight="1" s="1">
      <c r="A12" s="30" t="inlineStr">
        <is>
          <t>资源录入</t>
        </is>
      </c>
      <c r="B12" s="31" t="inlineStr">
        <is>
          <t>任务资源明细的计划投入工时默认按每周40小时预填，并保留黄色可编辑格式；项目经理可按实际投入调整。周可用工时、资源调整说明和备注由项目经理维护。</t>
        </is>
      </c>
    </row>
    <row r="13" ht="48" customHeight="1" s="1">
      <c r="A13" s="30" t="inlineStr">
        <is>
          <t>成本口径</t>
        </is>
      </c>
      <c r="B13" s="31" t="inlineStr">
        <is>
          <t>统一人员单价为1200元/人天，按8小时/人天折算为150元/小时。驾驶舱计划人工成本根据资源明细的计划投入工时计算。</t>
        </is>
      </c>
    </row>
    <row r="14" ht="48" customHeight="1" s="1">
      <c r="A14" s="30" t="inlineStr">
        <is>
          <t>周迭代计划</t>
        </is>
      </c>
      <c r="B14" s="31" t="inlineStr">
        <is>
          <t>保留源文件周迭代内容，并计算本周完成率、保留复盘说明。</t>
        </is>
      </c>
    </row>
    <row r="15" ht="48" customHeight="1" s="1">
      <c r="A15" s="30" t="inlineStr">
        <is>
          <t>风险等级</t>
        </is>
      </c>
      <c r="B15" s="31" t="inlineStr">
        <is>
          <t>高：影响上线、关键业务闭环或外部关键依赖；中：可通过方案或资源调整控制；低：局部、短期、可快速恢复。</t>
        </is>
      </c>
    </row>
    <row r="16" ht="48" customHeight="1" s="1">
      <c r="A16" s="30" t="inlineStr">
        <is>
          <t>更新频率</t>
        </is>
      </c>
      <c r="B16" s="31" t="inlineStr">
        <is>
          <t>总控台账和行动项每周至少更新1次；风险问题发生变化即更新；变更提出后即登记；里程碑在阶段门前后更新。</t>
        </is>
      </c>
    </row>
    <row r="17" ht="48" customHeight="1" s="1">
      <c r="A17" s="30" t="inlineStr">
        <is>
          <t>注意事项</t>
        </is>
      </c>
      <c r="B17" s="31" t="inlineStr">
        <is>
          <t>源计划中的空白或“/”保持为空。刷新后重点核对新增任务、暂停任务、外部接口完成时间、上线窗口和实际完成日期。</t>
        </is>
      </c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18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style="1" min="1" max="1"/>
    <col width="12" customWidth="1" style="1" min="2" max="2"/>
    <col width="24" customWidth="1" style="1" min="3" max="3"/>
    <col width="26" customWidth="1" style="1" min="4" max="4"/>
    <col width="32" customWidth="1" style="1" min="5" max="5"/>
    <col width="16" customWidth="1" style="1" min="6" max="6"/>
    <col width="3" customWidth="1" style="1" min="7" max="7"/>
    <col width="14" customWidth="1" style="1" min="8" max="8"/>
    <col width="12" customWidth="1" style="1" min="9" max="9"/>
    <col width="12" customWidth="1" style="1" min="10" max="10"/>
    <col width="12" customWidth="1" style="1" min="11" max="11"/>
    <col width="12" customWidth="1" style="1" min="12" max="12"/>
  </cols>
  <sheetData>
    <row r="1" ht="28" customHeight="1" s="1">
      <c r="A1" s="114" t="inlineStr">
        <is>
          <t>AI项目诊断</t>
        </is>
      </c>
    </row>
    <row r="2" ht="22" customHeight="1" s="1">
      <c r="A2" s="115" t="inlineStr">
        <is>
          <t>数据日期引用“项目驾驶舱”B3；红黄绿由客观规则计算，管理判断由项目经理确认。</t>
        </is>
      </c>
    </row>
    <row r="3">
      <c r="A3" s="116" t="n"/>
      <c r="B3" s="116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</row>
    <row r="4">
      <c r="A4" t="inlineStr">
        <is>
          <t>数据日期</t>
        </is>
      </c>
      <c r="B4" s="117">
        <f>'项目驾驶舱'!B3</f>
        <v/>
      </c>
      <c r="D4" t="inlineStr">
        <is>
          <t>项目经理判断</t>
        </is>
      </c>
      <c r="E4" s="118" t="inlineStr">
        <is>
          <t>待确认</t>
        </is>
      </c>
      <c r="G4" t="inlineStr">
        <is>
          <t>判断说明</t>
        </is>
      </c>
      <c r="H4" s="118" t="inlineStr">
        <is>
          <t>根据诊断指标补充总体判断、最大失控点和需要的支持。</t>
        </is>
      </c>
    </row>
    <row r="6">
      <c r="A6" s="119" t="inlineStr">
        <is>
          <t>任务总数</t>
        </is>
      </c>
      <c r="D6" s="119" t="inlineStr">
        <is>
          <t>已完成任务</t>
        </is>
      </c>
      <c r="G6" s="119" t="inlineStr">
        <is>
          <t>逾期任务</t>
        </is>
      </c>
      <c r="J6" s="119" t="inlineStr">
        <is>
          <t>未来14天到期</t>
        </is>
      </c>
    </row>
    <row r="7">
      <c r="A7" s="120">
        <f>COUNTIF('项目总控台账'!$A$4:$A$148,"&lt;&gt;")</f>
        <v/>
      </c>
      <c r="D7" s="120">
        <f>COUNTIF('项目总控台账'!$G$4:$G$148,"已完成")</f>
        <v/>
      </c>
      <c r="G7" s="120">
        <f>COUNTIF('项目总控台账'!$AC$4:$AC$148,"已延期")+COUNTIF('项目总控台账'!$AC$4:$AC$148,"延期")</f>
        <v/>
      </c>
      <c r="J7" s="120">
        <f>COUNTIFS('项目总控台账'!$J$4:$J$148,"&gt;="&amp;'项目驾驶舱'!$B$3,'项目总控台账'!$J$4:$J$148,"&lt;="&amp;'项目驾驶舱'!$B$3+14,'项目总控台账'!$G$4:$G$148,"&lt;&gt;已完成")</f>
        <v/>
      </c>
    </row>
    <row r="9">
      <c r="A9" s="119" t="inlineStr">
        <is>
          <t>未关闭高风险</t>
        </is>
      </c>
      <c r="D9" s="119" t="inlineStr">
        <is>
          <t>逾期风险/问题</t>
        </is>
      </c>
      <c r="G9" s="119" t="inlineStr">
        <is>
          <t>逾期行动项</t>
        </is>
      </c>
      <c r="J9" s="119" t="inlineStr">
        <is>
          <t>数据质量问题</t>
        </is>
      </c>
    </row>
    <row r="10">
      <c r="A10" s="120">
        <f>COUNTIFS('风险问题台账'!$D$4:$D$102,"高",'风险问题台账'!$K$4:$K$102,"&lt;&gt;已关闭")</f>
        <v/>
      </c>
      <c r="D10" s="120">
        <f>COUNTIF('风险问题台账'!$M$4:$M$102,"是")</f>
        <v/>
      </c>
      <c r="G10" s="120">
        <f>COUNTIFS('会议行动项'!$J$4:$J$102,"&gt;0",'会议行动项'!$H$4:$H$102,"&lt;&gt;已完成")</f>
        <v/>
      </c>
      <c r="J10" s="120">
        <f>COUNTIF('数据质量检查'!$H$5:$H$149,"需整改")</f>
        <v/>
      </c>
    </row>
    <row r="13">
      <c r="A13" s="121" t="inlineStr">
        <is>
          <t>项目健康规则</t>
        </is>
      </c>
      <c r="H13" s="121" t="inlineStr">
        <is>
          <t>状态分布</t>
        </is>
      </c>
    </row>
    <row r="14" ht="28" customHeight="1" s="1">
      <c r="A14" s="122" t="inlineStr">
        <is>
          <t>维度</t>
        </is>
      </c>
      <c r="B14" s="122" t="inlineStr">
        <is>
          <t>状态</t>
        </is>
      </c>
      <c r="C14" s="122" t="inlineStr">
        <is>
          <t>客观判断</t>
        </is>
      </c>
      <c r="D14" s="122" t="inlineStr">
        <is>
          <t>触发规则</t>
        </is>
      </c>
      <c r="E14" s="122" t="inlineStr">
        <is>
          <t>建议动作</t>
        </is>
      </c>
      <c r="F14" s="122" t="inlineStr">
        <is>
          <t>责任角色</t>
        </is>
      </c>
      <c r="H14" s="123" t="inlineStr">
        <is>
          <t>状态</t>
        </is>
      </c>
      <c r="I14" s="123" t="inlineStr">
        <is>
          <t>数量</t>
        </is>
      </c>
    </row>
    <row r="15">
      <c r="A15" s="124" t="inlineStr">
        <is>
          <t>进度</t>
        </is>
      </c>
      <c r="B15" s="124">
        <f>IF(COUNTIF('项目总控台账'!$AC$4:$AC$148,"*延期*")&gt;=5,"红",IF(OR(COUNTIF('项目总控台账'!$AC$4:$AC$148,"*延期*")&gt;0,COUNTIF('项目总控台账'!$G$4:$G$148,"暂停")&gt;0),"黄","绿"))</f>
        <v/>
      </c>
      <c r="C15" s="124">
        <f>COUNTIF('项目总控台账'!$AC$4:$AC$148,"*延期*")&amp;"项任务延期；"&amp;COUNTIF('项目总控台账'!$G$4:$G$148,"暂停")&amp;"项任务暂停"</f>
        <v/>
      </c>
      <c r="D15" s="124" t="inlineStr">
        <is>
          <t>延期≥5红；有延期或暂停黄；否则绿</t>
        </is>
      </c>
      <c r="E15" s="124" t="inlineStr">
        <is>
          <t>确认关键路径、暂停原因和恢复条件</t>
        </is>
      </c>
      <c r="F15" s="124" t="inlineStr">
        <is>
          <t>项目经理</t>
        </is>
      </c>
      <c r="H15" t="inlineStr">
        <is>
          <t>绿</t>
        </is>
      </c>
      <c r="I15">
        <f>COUNTIF($B$15:$B$18,H15)</f>
        <v/>
      </c>
    </row>
    <row r="16">
      <c r="A16" s="124" t="inlineStr">
        <is>
          <t>风险</t>
        </is>
      </c>
      <c r="B16" s="124">
        <f>IF(COUNTIFS('风险问题台账'!$D$4:$D$102,"高",'风险问题台账'!$K$4:$K$102,"&lt;&gt;已关闭")&gt;=3,"红",IF(COUNTIFS('风险问题台账'!$D$4:$D$102,"高",'风险问题台账'!$K$4:$K$102,"&lt;&gt;已关闭")&gt;0,"黄","绿"))</f>
        <v/>
      </c>
      <c r="C16" s="124">
        <f>COUNTIFS('风险问题台账'!$D$4:$D$102,"高",'风险问题台账'!$K$4:$K$102,"&lt;&gt;已关闭")&amp;"项高风险未关闭"</f>
        <v/>
      </c>
      <c r="D16" s="124" t="inlineStr">
        <is>
          <t>高风险≥3红；1-2黄；0绿</t>
        </is>
      </c>
      <c r="E16" s="124" t="inlineStr">
        <is>
          <t>逐项落实责任人和关闭证据</t>
        </is>
      </c>
      <c r="F16" s="124" t="inlineStr">
        <is>
          <t>风险责任人</t>
        </is>
      </c>
      <c r="H16" t="inlineStr">
        <is>
          <t>黄</t>
        </is>
      </c>
      <c r="I16">
        <f>COUNTIF($B$15:$B$18,H16)</f>
        <v/>
      </c>
    </row>
    <row r="17">
      <c r="A17" s="124" t="inlineStr">
        <is>
          <t>行动</t>
        </is>
      </c>
      <c r="B17" s="124">
        <f>IF(COUNTIFS('会议行动项'!$J$4:$J$102,"&gt;7",'会议行动项'!$H$4:$H$102,"&lt;&gt;已完成")&gt;0,"红",IF(COUNTIFS('会议行动项'!$J$4:$J$102,"&gt;0",'会议行动项'!$H$4:$H$102,"&lt;&gt;已完成")&gt;0,"黄","绿"))</f>
        <v/>
      </c>
      <c r="C17" s="124">
        <f>COUNTIFS('会议行动项'!$J$4:$J$102,"&gt;0",'会议行动项'!$H$4:$H$102,"&lt;&gt;已完成")&amp;"项行动逾期"</f>
        <v/>
      </c>
      <c r="D17" s="124" t="inlineStr">
        <is>
          <t>逾期&gt;7天红；有逾期黄；无逾期绿</t>
        </is>
      </c>
      <c r="E17" s="124" t="inlineStr">
        <is>
          <t>升级逾期事项并确认新承诺</t>
        </is>
      </c>
      <c r="F17" s="124" t="inlineStr">
        <is>
          <t>PMO</t>
        </is>
      </c>
      <c r="H17" t="inlineStr">
        <is>
          <t>红</t>
        </is>
      </c>
      <c r="I17">
        <f>COUNTIF($B$15:$B$18,H17)</f>
        <v/>
      </c>
    </row>
    <row r="18">
      <c r="A18" s="124" t="inlineStr">
        <is>
          <t>数据</t>
        </is>
      </c>
      <c r="B18" s="124">
        <f>IF(COUNTIF('数据质量检查'!$H$5:$H$149,"需整改")&gt;=10,"红",IF(COUNTIF('数据质量检查'!$H$5:$H$149,"需整改")&gt;0,"黄","绿"))</f>
        <v/>
      </c>
      <c r="C18" s="124">
        <f>COUNTIF('数据质量检查'!$H$5:$H$149,"需整改")&amp;"条数据需整改"</f>
        <v/>
      </c>
      <c r="D18" s="124" t="inlineStr">
        <is>
          <t>缺陷≥10红；1-9黄；0绿</t>
        </is>
      </c>
      <c r="E18" s="124" t="inlineStr">
        <is>
          <t>补齐责任人、日期和状态</t>
        </is>
      </c>
      <c r="F18" s="124" t="inlineStr">
        <is>
          <t>台账维护人</t>
        </is>
      </c>
      <c r="H18" t="inlineStr">
        <is>
          <t>灰</t>
        </is>
      </c>
      <c r="I18">
        <f>COUNTIF($B$15:$B$18,H18)</f>
        <v/>
      </c>
    </row>
  </sheetData>
  <mergeCells count="19">
    <mergeCell ref="D10:E10"/>
    <mergeCell ref="J10:K10"/>
    <mergeCell ref="H4:L4"/>
    <mergeCell ref="A6:B6"/>
    <mergeCell ref="J9:K9"/>
    <mergeCell ref="D6:E6"/>
    <mergeCell ref="A2:L2"/>
    <mergeCell ref="A7:B7"/>
    <mergeCell ref="G7:H7"/>
    <mergeCell ref="J6:K6"/>
    <mergeCell ref="G10:H10"/>
    <mergeCell ref="G6:H6"/>
    <mergeCell ref="D7:E7"/>
    <mergeCell ref="J7:K7"/>
    <mergeCell ref="D9:E9"/>
    <mergeCell ref="A1:L1"/>
    <mergeCell ref="A10:B10"/>
    <mergeCell ref="A9:B9"/>
    <mergeCell ref="G9:H9"/>
  </mergeCells>
  <conditionalFormatting sqref="B15:B18">
    <cfRule type="expression" priority="1" dxfId="5">
      <formula>$B5="红"</formula>
    </cfRule>
    <cfRule type="expression" priority="2" dxfId="6">
      <formula>$B5="黄"</formula>
    </cfRule>
    <cfRule type="expression" priority="3" dxfId="7">
      <formula>$B5="绿"</formula>
    </cfRule>
    <cfRule type="expression" priority="4" dxfId="8">
      <formula>$B5="灰"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J149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1" min="1" max="1"/>
    <col width="12" customWidth="1" style="1" min="2" max="2"/>
    <col width="28" customWidth="1" style="1" min="3" max="3"/>
    <col width="16" customWidth="1" style="1" min="4" max="4"/>
    <col width="13" customWidth="1" style="1" min="5" max="5"/>
    <col width="13" customWidth="1" style="1" min="6" max="6"/>
    <col width="38" customWidth="1" style="1" min="7" max="7"/>
    <col width="12" customWidth="1" style="1" min="8" max="8"/>
    <col width="32" customWidth="1" style="1" min="9" max="9"/>
    <col width="10" customWidth="1" style="1" min="10" max="10"/>
  </cols>
  <sheetData>
    <row r="1" ht="28" customHeight="1" s="1">
      <c r="A1" s="114" t="inlineStr">
        <is>
          <t>数据质量检查</t>
        </is>
      </c>
    </row>
    <row r="2" ht="22" customHeight="1" s="1">
      <c r="A2" s="115" t="inlineStr">
        <is>
          <t>逐条检查项目总控台账中的关键管理字段。状态为“需整改”的记录应在源台账中修正。</t>
        </is>
      </c>
    </row>
    <row r="3">
      <c r="A3" s="116" t="n"/>
      <c r="B3" s="116" t="n"/>
      <c r="C3" s="116" t="n"/>
      <c r="D3" s="116" t="n"/>
      <c r="E3" s="116" t="n"/>
      <c r="F3" s="116" t="n"/>
      <c r="G3" s="116" t="n"/>
      <c r="H3" s="116" t="n"/>
      <c r="I3" s="116" t="n"/>
      <c r="J3" s="116" t="n"/>
    </row>
    <row r="4" ht="28" customHeight="1" s="1">
      <c r="A4" s="122" t="inlineStr">
        <is>
          <t>来源</t>
        </is>
      </c>
      <c r="B4" s="122" t="inlineStr">
        <is>
          <t>记录ID</t>
        </is>
      </c>
      <c r="C4" s="122" t="inlineStr">
        <is>
          <t>任务名称</t>
        </is>
      </c>
      <c r="D4" s="122" t="inlineStr">
        <is>
          <t>责任人</t>
        </is>
      </c>
      <c r="E4" s="122" t="inlineStr">
        <is>
          <t>计划开始</t>
        </is>
      </c>
      <c r="F4" s="122" t="inlineStr">
        <is>
          <t>计划完成</t>
        </is>
      </c>
      <c r="G4" s="122" t="inlineStr">
        <is>
          <t>发现的问题</t>
        </is>
      </c>
      <c r="H4" s="122" t="inlineStr">
        <is>
          <t>检查状态</t>
        </is>
      </c>
      <c r="I4" s="122" t="inlineStr">
        <is>
          <t>建议动作</t>
        </is>
      </c>
      <c r="J4" s="122" t="inlineStr">
        <is>
          <t>源行号</t>
        </is>
      </c>
    </row>
    <row r="5">
      <c r="A5" s="124" t="inlineStr">
        <is>
          <t>项目总控台账</t>
        </is>
      </c>
      <c r="B5" s="124">
        <f>'项目总控台账'!A4</f>
        <v/>
      </c>
      <c r="C5" s="124">
        <f>IF(AND('项目总控台账'!E4&lt;&gt;"",'项目总控台账'!E4&lt;&gt;"/"),'项目总控台账'!E4,IF(AND('项目总控台账'!D4&lt;&gt;"",'项目总控台账'!D4&lt;&gt;"/"),'项目总控台账'!D4,'项目总控台账'!C4))</f>
        <v/>
      </c>
      <c r="D5" s="124">
        <f>'项目总控台账'!H4</f>
        <v/>
      </c>
      <c r="E5" s="125">
        <f>'项目总控台账'!I4</f>
        <v/>
      </c>
      <c r="F5" s="125">
        <f>'项目总控台账'!J4</f>
        <v/>
      </c>
      <c r="G5" s="124">
        <f>IF(B5="","",IF(OR(C5="",C5="/"),"缺少任务名称；","")&amp;IF(OR(D5="",D5="/"),"缺少有效主责人；","")&amp;IF(OR(E5="",E5&lt;DATE(2000,1,1)),"缺少有效计划开始；","")&amp;IF(OR(F5="",F5&lt;DATE(2000,1,1)),"缺少有效计划完成；","")&amp;IF('项目总控台账'!G4="","缺少总体状态；","")&amp;IF(AND(ISNUMBER(E5),ISNUMBER(F5),E5&gt;=DATE(2000,1,1),F5&gt;=DATE(2000,1,1),E5&gt;F5),"开始晚于完成；","")&amp;IF(AND('项目总控台账'!G4="已完成",'项目总控台账'!AB4&lt;1),"已完成但进度不足100%；",""))</f>
        <v/>
      </c>
      <c r="H5" s="124">
        <f>IF(B5="","",IF(G5="","通过","需整改"))</f>
        <v/>
      </c>
      <c r="I5" s="124">
        <f>IF(H5="需整改","回到项目总控台账第"&amp;J5&amp;"行补齐或修正","无需处理")</f>
        <v/>
      </c>
      <c r="J5" s="124" t="n">
        <v>4</v>
      </c>
    </row>
    <row r="6">
      <c r="A6" s="124" t="inlineStr">
        <is>
          <t>项目总控台账</t>
        </is>
      </c>
      <c r="B6" s="124">
        <f>'项目总控台账'!A5</f>
        <v/>
      </c>
      <c r="C6" s="124">
        <f>IF(AND('项目总控台账'!E5&lt;&gt;"",'项目总控台账'!E5&lt;&gt;"/"),'项目总控台账'!E5,IF(AND('项目总控台账'!D5&lt;&gt;"",'项目总控台账'!D5&lt;&gt;"/"),'项目总控台账'!D5,'项目总控台账'!C5))</f>
        <v/>
      </c>
      <c r="D6" s="124">
        <f>'项目总控台账'!H5</f>
        <v/>
      </c>
      <c r="E6" s="125">
        <f>'项目总控台账'!I5</f>
        <v/>
      </c>
      <c r="F6" s="125">
        <f>'项目总控台账'!J5</f>
        <v/>
      </c>
      <c r="G6" s="124">
        <f>IF(B6="","",IF(OR(C6="",C6="/"),"缺少任务名称；","")&amp;IF(OR(D6="",D6="/"),"缺少有效主责人；","")&amp;IF(OR(E6="",E6&lt;DATE(2000,1,1)),"缺少有效计划开始；","")&amp;IF(OR(F6="",F6&lt;DATE(2000,1,1)),"缺少有效计划完成；","")&amp;IF('项目总控台账'!G5="","缺少总体状态；","")&amp;IF(AND(ISNUMBER(E6),ISNUMBER(F6),E6&gt;=DATE(2000,1,1),F6&gt;=DATE(2000,1,1),E6&gt;F6),"开始晚于完成；","")&amp;IF(AND('项目总控台账'!G5="已完成",'项目总控台账'!AB5&lt;1),"已完成但进度不足100%；",""))</f>
        <v/>
      </c>
      <c r="H6" s="124">
        <f>IF(B6="","",IF(G6="","通过","需整改"))</f>
        <v/>
      </c>
      <c r="I6" s="124">
        <f>IF(H6="需整改","回到项目总控台账第"&amp;J6&amp;"行补齐或修正","无需处理")</f>
        <v/>
      </c>
      <c r="J6" s="124" t="n">
        <v>5</v>
      </c>
    </row>
    <row r="7">
      <c r="A7" s="124" t="inlineStr">
        <is>
          <t>项目总控台账</t>
        </is>
      </c>
      <c r="B7" s="124">
        <f>'项目总控台账'!A6</f>
        <v/>
      </c>
      <c r="C7" s="124">
        <f>IF(AND('项目总控台账'!E6&lt;&gt;"",'项目总控台账'!E6&lt;&gt;"/"),'项目总控台账'!E6,IF(AND('项目总控台账'!D6&lt;&gt;"",'项目总控台账'!D6&lt;&gt;"/"),'项目总控台账'!D6,'项目总控台账'!C6))</f>
        <v/>
      </c>
      <c r="D7" s="124">
        <f>'项目总控台账'!H6</f>
        <v/>
      </c>
      <c r="E7" s="125">
        <f>'项目总控台账'!I6</f>
        <v/>
      </c>
      <c r="F7" s="125">
        <f>'项目总控台账'!J6</f>
        <v/>
      </c>
      <c r="G7" s="124">
        <f>IF(B7="","",IF(OR(C7="",C7="/"),"缺少任务名称；","")&amp;IF(OR(D7="",D7="/"),"缺少有效主责人；","")&amp;IF(OR(E7="",E7&lt;DATE(2000,1,1)),"缺少有效计划开始；","")&amp;IF(OR(F7="",F7&lt;DATE(2000,1,1)),"缺少有效计划完成；","")&amp;IF('项目总控台账'!G6="","缺少总体状态；","")&amp;IF(AND(ISNUMBER(E7),ISNUMBER(F7),E7&gt;=DATE(2000,1,1),F7&gt;=DATE(2000,1,1),E7&gt;F7),"开始晚于完成；","")&amp;IF(AND('项目总控台账'!G6="已完成",'项目总控台账'!AB6&lt;1),"已完成但进度不足100%；",""))</f>
        <v/>
      </c>
      <c r="H7" s="124">
        <f>IF(B7="","",IF(G7="","通过","需整改"))</f>
        <v/>
      </c>
      <c r="I7" s="124">
        <f>IF(H7="需整改","回到项目总控台账第"&amp;J7&amp;"行补齐或修正","无需处理")</f>
        <v/>
      </c>
      <c r="J7" s="124" t="n">
        <v>6</v>
      </c>
    </row>
    <row r="8">
      <c r="A8" s="124" t="inlineStr">
        <is>
          <t>项目总控台账</t>
        </is>
      </c>
      <c r="B8" s="124">
        <f>'项目总控台账'!A7</f>
        <v/>
      </c>
      <c r="C8" s="124">
        <f>IF(AND('项目总控台账'!E7&lt;&gt;"",'项目总控台账'!E7&lt;&gt;"/"),'项目总控台账'!E7,IF(AND('项目总控台账'!D7&lt;&gt;"",'项目总控台账'!D7&lt;&gt;"/"),'项目总控台账'!D7,'项目总控台账'!C7))</f>
        <v/>
      </c>
      <c r="D8" s="124">
        <f>'项目总控台账'!H7</f>
        <v/>
      </c>
      <c r="E8" s="125">
        <f>'项目总控台账'!I7</f>
        <v/>
      </c>
      <c r="F8" s="125">
        <f>'项目总控台账'!J7</f>
        <v/>
      </c>
      <c r="G8" s="124">
        <f>IF(B8="","",IF(OR(C8="",C8="/"),"缺少任务名称；","")&amp;IF(OR(D8="",D8="/"),"缺少有效主责人；","")&amp;IF(OR(E8="",E8&lt;DATE(2000,1,1)),"缺少有效计划开始；","")&amp;IF(OR(F8="",F8&lt;DATE(2000,1,1)),"缺少有效计划完成；","")&amp;IF('项目总控台账'!G7="","缺少总体状态；","")&amp;IF(AND(ISNUMBER(E8),ISNUMBER(F8),E8&gt;=DATE(2000,1,1),F8&gt;=DATE(2000,1,1),E8&gt;F8),"开始晚于完成；","")&amp;IF(AND('项目总控台账'!G7="已完成",'项目总控台账'!AB7&lt;1),"已完成但进度不足100%；",""))</f>
        <v/>
      </c>
      <c r="H8" s="124">
        <f>IF(B8="","",IF(G8="","通过","需整改"))</f>
        <v/>
      </c>
      <c r="I8" s="124">
        <f>IF(H8="需整改","回到项目总控台账第"&amp;J8&amp;"行补齐或修正","无需处理")</f>
        <v/>
      </c>
      <c r="J8" s="124" t="n">
        <v>7</v>
      </c>
    </row>
    <row r="9">
      <c r="A9" s="124" t="inlineStr">
        <is>
          <t>项目总控台账</t>
        </is>
      </c>
      <c r="B9" s="124">
        <f>'项目总控台账'!A8</f>
        <v/>
      </c>
      <c r="C9" s="124">
        <f>IF(AND('项目总控台账'!E8&lt;&gt;"",'项目总控台账'!E8&lt;&gt;"/"),'项目总控台账'!E8,IF(AND('项目总控台账'!D8&lt;&gt;"",'项目总控台账'!D8&lt;&gt;"/"),'项目总控台账'!D8,'项目总控台账'!C8))</f>
        <v/>
      </c>
      <c r="D9" s="124">
        <f>'项目总控台账'!H8</f>
        <v/>
      </c>
      <c r="E9" s="125">
        <f>'项目总控台账'!I8</f>
        <v/>
      </c>
      <c r="F9" s="125">
        <f>'项目总控台账'!J8</f>
        <v/>
      </c>
      <c r="G9" s="124">
        <f>IF(B9="","",IF(OR(C9="",C9="/"),"缺少任务名称；","")&amp;IF(OR(D9="",D9="/"),"缺少有效主责人；","")&amp;IF(OR(E9="",E9&lt;DATE(2000,1,1)),"缺少有效计划开始；","")&amp;IF(OR(F9="",F9&lt;DATE(2000,1,1)),"缺少有效计划完成；","")&amp;IF('项目总控台账'!G8="","缺少总体状态；","")&amp;IF(AND(ISNUMBER(E9),ISNUMBER(F9),E9&gt;=DATE(2000,1,1),F9&gt;=DATE(2000,1,1),E9&gt;F9),"开始晚于完成；","")&amp;IF(AND('项目总控台账'!G8="已完成",'项目总控台账'!AB8&lt;1),"已完成但进度不足100%；",""))</f>
        <v/>
      </c>
      <c r="H9" s="124">
        <f>IF(B9="","",IF(G9="","通过","需整改"))</f>
        <v/>
      </c>
      <c r="I9" s="124">
        <f>IF(H9="需整改","回到项目总控台账第"&amp;J9&amp;"行补齐或修正","无需处理")</f>
        <v/>
      </c>
      <c r="J9" s="124" t="n">
        <v>8</v>
      </c>
    </row>
    <row r="10">
      <c r="A10" s="124" t="inlineStr">
        <is>
          <t>项目总控台账</t>
        </is>
      </c>
      <c r="B10" s="124">
        <f>'项目总控台账'!A9</f>
        <v/>
      </c>
      <c r="C10" s="124">
        <f>IF(AND('项目总控台账'!E9&lt;&gt;"",'项目总控台账'!E9&lt;&gt;"/"),'项目总控台账'!E9,IF(AND('项目总控台账'!D9&lt;&gt;"",'项目总控台账'!D9&lt;&gt;"/"),'项目总控台账'!D9,'项目总控台账'!C9))</f>
        <v/>
      </c>
      <c r="D10" s="124">
        <f>'项目总控台账'!H9</f>
        <v/>
      </c>
      <c r="E10" s="125">
        <f>'项目总控台账'!I9</f>
        <v/>
      </c>
      <c r="F10" s="125">
        <f>'项目总控台账'!J9</f>
        <v/>
      </c>
      <c r="G10" s="124">
        <f>IF(B10="","",IF(OR(C10="",C10="/"),"缺少任务名称；","")&amp;IF(OR(D10="",D10="/"),"缺少有效主责人；","")&amp;IF(OR(E10="",E10&lt;DATE(2000,1,1)),"缺少有效计划开始；","")&amp;IF(OR(F10="",F10&lt;DATE(2000,1,1)),"缺少有效计划完成；","")&amp;IF('项目总控台账'!G9="","缺少总体状态；","")&amp;IF(AND(ISNUMBER(E10),ISNUMBER(F10),E10&gt;=DATE(2000,1,1),F10&gt;=DATE(2000,1,1),E10&gt;F10),"开始晚于完成；","")&amp;IF(AND('项目总控台账'!G9="已完成",'项目总控台账'!AB9&lt;1),"已完成但进度不足100%；",""))</f>
        <v/>
      </c>
      <c r="H10" s="124">
        <f>IF(B10="","",IF(G10="","通过","需整改"))</f>
        <v/>
      </c>
      <c r="I10" s="124">
        <f>IF(H10="需整改","回到项目总控台账第"&amp;J10&amp;"行补齐或修正","无需处理")</f>
        <v/>
      </c>
      <c r="J10" s="124" t="n">
        <v>9</v>
      </c>
    </row>
    <row r="11">
      <c r="A11" s="124" t="inlineStr">
        <is>
          <t>项目总控台账</t>
        </is>
      </c>
      <c r="B11" s="124">
        <f>'项目总控台账'!A10</f>
        <v/>
      </c>
      <c r="C11" s="124">
        <f>IF(AND('项目总控台账'!E10&lt;&gt;"",'项目总控台账'!E10&lt;&gt;"/"),'项目总控台账'!E10,IF(AND('项目总控台账'!D10&lt;&gt;"",'项目总控台账'!D10&lt;&gt;"/"),'项目总控台账'!D10,'项目总控台账'!C10))</f>
        <v/>
      </c>
      <c r="D11" s="124">
        <f>'项目总控台账'!H10</f>
        <v/>
      </c>
      <c r="E11" s="125">
        <f>'项目总控台账'!I10</f>
        <v/>
      </c>
      <c r="F11" s="125">
        <f>'项目总控台账'!J10</f>
        <v/>
      </c>
      <c r="G11" s="124">
        <f>IF(B11="","",IF(OR(C11="",C11="/"),"缺少任务名称；","")&amp;IF(OR(D11="",D11="/"),"缺少有效主责人；","")&amp;IF(OR(E11="",E11&lt;DATE(2000,1,1)),"缺少有效计划开始；","")&amp;IF(OR(F11="",F11&lt;DATE(2000,1,1)),"缺少有效计划完成；","")&amp;IF('项目总控台账'!G10="","缺少总体状态；","")&amp;IF(AND(ISNUMBER(E11),ISNUMBER(F11),E11&gt;=DATE(2000,1,1),F11&gt;=DATE(2000,1,1),E11&gt;F11),"开始晚于完成；","")&amp;IF(AND('项目总控台账'!G10="已完成",'项目总控台账'!AB10&lt;1),"已完成但进度不足100%；",""))</f>
        <v/>
      </c>
      <c r="H11" s="124">
        <f>IF(B11="","",IF(G11="","通过","需整改"))</f>
        <v/>
      </c>
      <c r="I11" s="124">
        <f>IF(H11="需整改","回到项目总控台账第"&amp;J11&amp;"行补齐或修正","无需处理")</f>
        <v/>
      </c>
      <c r="J11" s="124" t="n">
        <v>10</v>
      </c>
    </row>
    <row r="12">
      <c r="A12" s="124" t="inlineStr">
        <is>
          <t>项目总控台账</t>
        </is>
      </c>
      <c r="B12" s="124">
        <f>'项目总控台账'!A11</f>
        <v/>
      </c>
      <c r="C12" s="124">
        <f>IF(AND('项目总控台账'!E11&lt;&gt;"",'项目总控台账'!E11&lt;&gt;"/"),'项目总控台账'!E11,IF(AND('项目总控台账'!D11&lt;&gt;"",'项目总控台账'!D11&lt;&gt;"/"),'项目总控台账'!D11,'项目总控台账'!C11))</f>
        <v/>
      </c>
      <c r="D12" s="124">
        <f>'项目总控台账'!H11</f>
        <v/>
      </c>
      <c r="E12" s="125">
        <f>'项目总控台账'!I11</f>
        <v/>
      </c>
      <c r="F12" s="125">
        <f>'项目总控台账'!J11</f>
        <v/>
      </c>
      <c r="G12" s="124">
        <f>IF(B12="","",IF(OR(C12="",C12="/"),"缺少任务名称；","")&amp;IF(OR(D12="",D12="/"),"缺少有效主责人；","")&amp;IF(OR(E12="",E12&lt;DATE(2000,1,1)),"缺少有效计划开始；","")&amp;IF(OR(F12="",F12&lt;DATE(2000,1,1)),"缺少有效计划完成；","")&amp;IF('项目总控台账'!G11="","缺少总体状态；","")&amp;IF(AND(ISNUMBER(E12),ISNUMBER(F12),E12&gt;=DATE(2000,1,1),F12&gt;=DATE(2000,1,1),E12&gt;F12),"开始晚于完成；","")&amp;IF(AND('项目总控台账'!G11="已完成",'项目总控台账'!AB11&lt;1),"已完成但进度不足100%；",""))</f>
        <v/>
      </c>
      <c r="H12" s="124">
        <f>IF(B12="","",IF(G12="","通过","需整改"))</f>
        <v/>
      </c>
      <c r="I12" s="124">
        <f>IF(H12="需整改","回到项目总控台账第"&amp;J12&amp;"行补齐或修正","无需处理")</f>
        <v/>
      </c>
      <c r="J12" s="124" t="n">
        <v>11</v>
      </c>
    </row>
    <row r="13">
      <c r="A13" s="124" t="inlineStr">
        <is>
          <t>项目总控台账</t>
        </is>
      </c>
      <c r="B13" s="124">
        <f>'项目总控台账'!A12</f>
        <v/>
      </c>
      <c r="C13" s="124">
        <f>IF(AND('项目总控台账'!E12&lt;&gt;"",'项目总控台账'!E12&lt;&gt;"/"),'项目总控台账'!E12,IF(AND('项目总控台账'!D12&lt;&gt;"",'项目总控台账'!D12&lt;&gt;"/"),'项目总控台账'!D12,'项目总控台账'!C12))</f>
        <v/>
      </c>
      <c r="D13" s="124">
        <f>'项目总控台账'!H12</f>
        <v/>
      </c>
      <c r="E13" s="125">
        <f>'项目总控台账'!I12</f>
        <v/>
      </c>
      <c r="F13" s="125">
        <f>'项目总控台账'!J12</f>
        <v/>
      </c>
      <c r="G13" s="124">
        <f>IF(B13="","",IF(OR(C13="",C13="/"),"缺少任务名称；","")&amp;IF(OR(D13="",D13="/"),"缺少有效主责人；","")&amp;IF(OR(E13="",E13&lt;DATE(2000,1,1)),"缺少有效计划开始；","")&amp;IF(OR(F13="",F13&lt;DATE(2000,1,1)),"缺少有效计划完成；","")&amp;IF('项目总控台账'!G12="","缺少总体状态；","")&amp;IF(AND(ISNUMBER(E13),ISNUMBER(F13),E13&gt;=DATE(2000,1,1),F13&gt;=DATE(2000,1,1),E13&gt;F13),"开始晚于完成；","")&amp;IF(AND('项目总控台账'!G12="已完成",'项目总控台账'!AB12&lt;1),"已完成但进度不足100%；",""))</f>
        <v/>
      </c>
      <c r="H13" s="124">
        <f>IF(B13="","",IF(G13="","通过","需整改"))</f>
        <v/>
      </c>
      <c r="I13" s="124">
        <f>IF(H13="需整改","回到项目总控台账第"&amp;J13&amp;"行补齐或修正","无需处理")</f>
        <v/>
      </c>
      <c r="J13" s="124" t="n">
        <v>12</v>
      </c>
    </row>
    <row r="14">
      <c r="A14" s="124" t="inlineStr">
        <is>
          <t>项目总控台账</t>
        </is>
      </c>
      <c r="B14" s="124">
        <f>'项目总控台账'!A13</f>
        <v/>
      </c>
      <c r="C14" s="124">
        <f>IF(AND('项目总控台账'!E13&lt;&gt;"",'项目总控台账'!E13&lt;&gt;"/"),'项目总控台账'!E13,IF(AND('项目总控台账'!D13&lt;&gt;"",'项目总控台账'!D13&lt;&gt;"/"),'项目总控台账'!D13,'项目总控台账'!C13))</f>
        <v/>
      </c>
      <c r="D14" s="124">
        <f>'项目总控台账'!H13</f>
        <v/>
      </c>
      <c r="E14" s="125">
        <f>'项目总控台账'!I13</f>
        <v/>
      </c>
      <c r="F14" s="125">
        <f>'项目总控台账'!J13</f>
        <v/>
      </c>
      <c r="G14" s="124">
        <f>IF(B14="","",IF(OR(C14="",C14="/"),"缺少任务名称；","")&amp;IF(OR(D14="",D14="/"),"缺少有效主责人；","")&amp;IF(OR(E14="",E14&lt;DATE(2000,1,1)),"缺少有效计划开始；","")&amp;IF(OR(F14="",F14&lt;DATE(2000,1,1)),"缺少有效计划完成；","")&amp;IF('项目总控台账'!G13="","缺少总体状态；","")&amp;IF(AND(ISNUMBER(E14),ISNUMBER(F14),E14&gt;=DATE(2000,1,1),F14&gt;=DATE(2000,1,1),E14&gt;F14),"开始晚于完成；","")&amp;IF(AND('项目总控台账'!G13="已完成",'项目总控台账'!AB13&lt;1),"已完成但进度不足100%；",""))</f>
        <v/>
      </c>
      <c r="H14" s="124">
        <f>IF(B14="","",IF(G14="","通过","需整改"))</f>
        <v/>
      </c>
      <c r="I14" s="124">
        <f>IF(H14="需整改","回到项目总控台账第"&amp;J14&amp;"行补齐或修正","无需处理")</f>
        <v/>
      </c>
      <c r="J14" s="124" t="n">
        <v>13</v>
      </c>
    </row>
    <row r="15">
      <c r="A15" s="124" t="inlineStr">
        <is>
          <t>项目总控台账</t>
        </is>
      </c>
      <c r="B15" s="124">
        <f>'项目总控台账'!A14</f>
        <v/>
      </c>
      <c r="C15" s="124">
        <f>IF(AND('项目总控台账'!E14&lt;&gt;"",'项目总控台账'!E14&lt;&gt;"/"),'项目总控台账'!E14,IF(AND('项目总控台账'!D14&lt;&gt;"",'项目总控台账'!D14&lt;&gt;"/"),'项目总控台账'!D14,'项目总控台账'!C14))</f>
        <v/>
      </c>
      <c r="D15" s="124">
        <f>'项目总控台账'!H14</f>
        <v/>
      </c>
      <c r="E15" s="125">
        <f>'项目总控台账'!I14</f>
        <v/>
      </c>
      <c r="F15" s="125">
        <f>'项目总控台账'!J14</f>
        <v/>
      </c>
      <c r="G15" s="124">
        <f>IF(B15="","",IF(OR(C15="",C15="/"),"缺少任务名称；","")&amp;IF(OR(D15="",D15="/"),"缺少有效主责人；","")&amp;IF(OR(E15="",E15&lt;DATE(2000,1,1)),"缺少有效计划开始；","")&amp;IF(OR(F15="",F15&lt;DATE(2000,1,1)),"缺少有效计划完成；","")&amp;IF('项目总控台账'!G14="","缺少总体状态；","")&amp;IF(AND(ISNUMBER(E15),ISNUMBER(F15),E15&gt;=DATE(2000,1,1),F15&gt;=DATE(2000,1,1),E15&gt;F15),"开始晚于完成；","")&amp;IF(AND('项目总控台账'!G14="已完成",'项目总控台账'!AB14&lt;1),"已完成但进度不足100%；",""))</f>
        <v/>
      </c>
      <c r="H15" s="124">
        <f>IF(B15="","",IF(G15="","通过","需整改"))</f>
        <v/>
      </c>
      <c r="I15" s="124">
        <f>IF(H15="需整改","回到项目总控台账第"&amp;J15&amp;"行补齐或修正","无需处理")</f>
        <v/>
      </c>
      <c r="J15" s="124" t="n">
        <v>14</v>
      </c>
    </row>
    <row r="16">
      <c r="A16" s="124" t="inlineStr">
        <is>
          <t>项目总控台账</t>
        </is>
      </c>
      <c r="B16" s="124">
        <f>'项目总控台账'!A15</f>
        <v/>
      </c>
      <c r="C16" s="124">
        <f>IF(AND('项目总控台账'!E15&lt;&gt;"",'项目总控台账'!E15&lt;&gt;"/"),'项目总控台账'!E15,IF(AND('项目总控台账'!D15&lt;&gt;"",'项目总控台账'!D15&lt;&gt;"/"),'项目总控台账'!D15,'项目总控台账'!C15))</f>
        <v/>
      </c>
      <c r="D16" s="124">
        <f>'项目总控台账'!H15</f>
        <v/>
      </c>
      <c r="E16" s="125">
        <f>'项目总控台账'!I15</f>
        <v/>
      </c>
      <c r="F16" s="125">
        <f>'项目总控台账'!J15</f>
        <v/>
      </c>
      <c r="G16" s="124">
        <f>IF(B16="","",IF(OR(C16="",C16="/"),"缺少任务名称；","")&amp;IF(OR(D16="",D16="/"),"缺少有效主责人；","")&amp;IF(OR(E16="",E16&lt;DATE(2000,1,1)),"缺少有效计划开始；","")&amp;IF(OR(F16="",F16&lt;DATE(2000,1,1)),"缺少有效计划完成；","")&amp;IF('项目总控台账'!G15="","缺少总体状态；","")&amp;IF(AND(ISNUMBER(E16),ISNUMBER(F16),E16&gt;=DATE(2000,1,1),F16&gt;=DATE(2000,1,1),E16&gt;F16),"开始晚于完成；","")&amp;IF(AND('项目总控台账'!G15="已完成",'项目总控台账'!AB15&lt;1),"已完成但进度不足100%；",""))</f>
        <v/>
      </c>
      <c r="H16" s="124">
        <f>IF(B16="","",IF(G16="","通过","需整改"))</f>
        <v/>
      </c>
      <c r="I16" s="124">
        <f>IF(H16="需整改","回到项目总控台账第"&amp;J16&amp;"行补齐或修正","无需处理")</f>
        <v/>
      </c>
      <c r="J16" s="124" t="n">
        <v>15</v>
      </c>
    </row>
    <row r="17">
      <c r="A17" s="124" t="inlineStr">
        <is>
          <t>项目总控台账</t>
        </is>
      </c>
      <c r="B17" s="124">
        <f>'项目总控台账'!A16</f>
        <v/>
      </c>
      <c r="C17" s="124">
        <f>IF(AND('项目总控台账'!E16&lt;&gt;"",'项目总控台账'!E16&lt;&gt;"/"),'项目总控台账'!E16,IF(AND('项目总控台账'!D16&lt;&gt;"",'项目总控台账'!D16&lt;&gt;"/"),'项目总控台账'!D16,'项目总控台账'!C16))</f>
        <v/>
      </c>
      <c r="D17" s="124">
        <f>'项目总控台账'!H16</f>
        <v/>
      </c>
      <c r="E17" s="125">
        <f>'项目总控台账'!I16</f>
        <v/>
      </c>
      <c r="F17" s="125">
        <f>'项目总控台账'!J16</f>
        <v/>
      </c>
      <c r="G17" s="124">
        <f>IF(B17="","",IF(OR(C17="",C17="/"),"缺少任务名称；","")&amp;IF(OR(D17="",D17="/"),"缺少有效主责人；","")&amp;IF(OR(E17="",E17&lt;DATE(2000,1,1)),"缺少有效计划开始；","")&amp;IF(OR(F17="",F17&lt;DATE(2000,1,1)),"缺少有效计划完成；","")&amp;IF('项目总控台账'!G16="","缺少总体状态；","")&amp;IF(AND(ISNUMBER(E17),ISNUMBER(F17),E17&gt;=DATE(2000,1,1),F17&gt;=DATE(2000,1,1),E17&gt;F17),"开始晚于完成；","")&amp;IF(AND('项目总控台账'!G16="已完成",'项目总控台账'!AB16&lt;1),"已完成但进度不足100%；",""))</f>
        <v/>
      </c>
      <c r="H17" s="124">
        <f>IF(B17="","",IF(G17="","通过","需整改"))</f>
        <v/>
      </c>
      <c r="I17" s="124">
        <f>IF(H17="需整改","回到项目总控台账第"&amp;J17&amp;"行补齐或修正","无需处理")</f>
        <v/>
      </c>
      <c r="J17" s="124" t="n">
        <v>16</v>
      </c>
    </row>
    <row r="18">
      <c r="A18" s="124" t="inlineStr">
        <is>
          <t>项目总控台账</t>
        </is>
      </c>
      <c r="B18" s="124">
        <f>'项目总控台账'!A17</f>
        <v/>
      </c>
      <c r="C18" s="124">
        <f>IF(AND('项目总控台账'!E17&lt;&gt;"",'项目总控台账'!E17&lt;&gt;"/"),'项目总控台账'!E17,IF(AND('项目总控台账'!D17&lt;&gt;"",'项目总控台账'!D17&lt;&gt;"/"),'项目总控台账'!D17,'项目总控台账'!C17))</f>
        <v/>
      </c>
      <c r="D18" s="124">
        <f>'项目总控台账'!H17</f>
        <v/>
      </c>
      <c r="E18" s="125">
        <f>'项目总控台账'!I17</f>
        <v/>
      </c>
      <c r="F18" s="125">
        <f>'项目总控台账'!J17</f>
        <v/>
      </c>
      <c r="G18" s="124">
        <f>IF(B18="","",IF(OR(C18="",C18="/"),"缺少任务名称；","")&amp;IF(OR(D18="",D18="/"),"缺少有效主责人；","")&amp;IF(OR(E18="",E18&lt;DATE(2000,1,1)),"缺少有效计划开始；","")&amp;IF(OR(F18="",F18&lt;DATE(2000,1,1)),"缺少有效计划完成；","")&amp;IF('项目总控台账'!G17="","缺少总体状态；","")&amp;IF(AND(ISNUMBER(E18),ISNUMBER(F18),E18&gt;=DATE(2000,1,1),F18&gt;=DATE(2000,1,1),E18&gt;F18),"开始晚于完成；","")&amp;IF(AND('项目总控台账'!G17="已完成",'项目总控台账'!AB17&lt;1),"已完成但进度不足100%；",""))</f>
        <v/>
      </c>
      <c r="H18" s="124">
        <f>IF(B18="","",IF(G18="","通过","需整改"))</f>
        <v/>
      </c>
      <c r="I18" s="124">
        <f>IF(H18="需整改","回到项目总控台账第"&amp;J18&amp;"行补齐或修正","无需处理")</f>
        <v/>
      </c>
      <c r="J18" s="124" t="n">
        <v>17</v>
      </c>
    </row>
    <row r="19">
      <c r="A19" s="124" t="inlineStr">
        <is>
          <t>项目总控台账</t>
        </is>
      </c>
      <c r="B19" s="124">
        <f>'项目总控台账'!A18</f>
        <v/>
      </c>
      <c r="C19" s="124">
        <f>IF(AND('项目总控台账'!E18&lt;&gt;"",'项目总控台账'!E18&lt;&gt;"/"),'项目总控台账'!E18,IF(AND('项目总控台账'!D18&lt;&gt;"",'项目总控台账'!D18&lt;&gt;"/"),'项目总控台账'!D18,'项目总控台账'!C18))</f>
        <v/>
      </c>
      <c r="D19" s="124">
        <f>'项目总控台账'!H18</f>
        <v/>
      </c>
      <c r="E19" s="125">
        <f>'项目总控台账'!I18</f>
        <v/>
      </c>
      <c r="F19" s="125">
        <f>'项目总控台账'!J18</f>
        <v/>
      </c>
      <c r="G19" s="124">
        <f>IF(B19="","",IF(OR(C19="",C19="/"),"缺少任务名称；","")&amp;IF(OR(D19="",D19="/"),"缺少有效主责人；","")&amp;IF(OR(E19="",E19&lt;DATE(2000,1,1)),"缺少有效计划开始；","")&amp;IF(OR(F19="",F19&lt;DATE(2000,1,1)),"缺少有效计划完成；","")&amp;IF('项目总控台账'!G18="","缺少总体状态；","")&amp;IF(AND(ISNUMBER(E19),ISNUMBER(F19),E19&gt;=DATE(2000,1,1),F19&gt;=DATE(2000,1,1),E19&gt;F19),"开始晚于完成；","")&amp;IF(AND('项目总控台账'!G18="已完成",'项目总控台账'!AB18&lt;1),"已完成但进度不足100%；",""))</f>
        <v/>
      </c>
      <c r="H19" s="124">
        <f>IF(B19="","",IF(G19="","通过","需整改"))</f>
        <v/>
      </c>
      <c r="I19" s="124">
        <f>IF(H19="需整改","回到项目总控台账第"&amp;J19&amp;"行补齐或修正","无需处理")</f>
        <v/>
      </c>
      <c r="J19" s="124" t="n">
        <v>18</v>
      </c>
    </row>
    <row r="20">
      <c r="A20" s="124" t="inlineStr">
        <is>
          <t>项目总控台账</t>
        </is>
      </c>
      <c r="B20" s="124">
        <f>'项目总控台账'!A19</f>
        <v/>
      </c>
      <c r="C20" s="124">
        <f>IF(AND('项目总控台账'!E19&lt;&gt;"",'项目总控台账'!E19&lt;&gt;"/"),'项目总控台账'!E19,IF(AND('项目总控台账'!D19&lt;&gt;"",'项目总控台账'!D19&lt;&gt;"/"),'项目总控台账'!D19,'项目总控台账'!C19))</f>
        <v/>
      </c>
      <c r="D20" s="124">
        <f>'项目总控台账'!H19</f>
        <v/>
      </c>
      <c r="E20" s="125">
        <f>'项目总控台账'!I19</f>
        <v/>
      </c>
      <c r="F20" s="125">
        <f>'项目总控台账'!J19</f>
        <v/>
      </c>
      <c r="G20" s="124">
        <f>IF(B20="","",IF(OR(C20="",C20="/"),"缺少任务名称；","")&amp;IF(OR(D20="",D20="/"),"缺少有效主责人；","")&amp;IF(OR(E20="",E20&lt;DATE(2000,1,1)),"缺少有效计划开始；","")&amp;IF(OR(F20="",F20&lt;DATE(2000,1,1)),"缺少有效计划完成；","")&amp;IF('项目总控台账'!G19="","缺少总体状态；","")&amp;IF(AND(ISNUMBER(E20),ISNUMBER(F20),E20&gt;=DATE(2000,1,1),F20&gt;=DATE(2000,1,1),E20&gt;F20),"开始晚于完成；","")&amp;IF(AND('项目总控台账'!G19="已完成",'项目总控台账'!AB19&lt;1),"已完成但进度不足100%；",""))</f>
        <v/>
      </c>
      <c r="H20" s="124">
        <f>IF(B20="","",IF(G20="","通过","需整改"))</f>
        <v/>
      </c>
      <c r="I20" s="124">
        <f>IF(H20="需整改","回到项目总控台账第"&amp;J20&amp;"行补齐或修正","无需处理")</f>
        <v/>
      </c>
      <c r="J20" s="124" t="n">
        <v>19</v>
      </c>
    </row>
    <row r="21">
      <c r="A21" s="124" t="inlineStr">
        <is>
          <t>项目总控台账</t>
        </is>
      </c>
      <c r="B21" s="124">
        <f>'项目总控台账'!A20</f>
        <v/>
      </c>
      <c r="C21" s="124">
        <f>IF(AND('项目总控台账'!E20&lt;&gt;"",'项目总控台账'!E20&lt;&gt;"/"),'项目总控台账'!E20,IF(AND('项目总控台账'!D20&lt;&gt;"",'项目总控台账'!D20&lt;&gt;"/"),'项目总控台账'!D20,'项目总控台账'!C20))</f>
        <v/>
      </c>
      <c r="D21" s="124">
        <f>'项目总控台账'!H20</f>
        <v/>
      </c>
      <c r="E21" s="125">
        <f>'项目总控台账'!I20</f>
        <v/>
      </c>
      <c r="F21" s="125">
        <f>'项目总控台账'!J20</f>
        <v/>
      </c>
      <c r="G21" s="124">
        <f>IF(B21="","",IF(OR(C21="",C21="/"),"缺少任务名称；","")&amp;IF(OR(D21="",D21="/"),"缺少有效主责人；","")&amp;IF(OR(E21="",E21&lt;DATE(2000,1,1)),"缺少有效计划开始；","")&amp;IF(OR(F21="",F21&lt;DATE(2000,1,1)),"缺少有效计划完成；","")&amp;IF('项目总控台账'!G20="","缺少总体状态；","")&amp;IF(AND(ISNUMBER(E21),ISNUMBER(F21),E21&gt;=DATE(2000,1,1),F21&gt;=DATE(2000,1,1),E21&gt;F21),"开始晚于完成；","")&amp;IF(AND('项目总控台账'!G20="已完成",'项目总控台账'!AB20&lt;1),"已完成但进度不足100%；",""))</f>
        <v/>
      </c>
      <c r="H21" s="124">
        <f>IF(B21="","",IF(G21="","通过","需整改"))</f>
        <v/>
      </c>
      <c r="I21" s="124">
        <f>IF(H21="需整改","回到项目总控台账第"&amp;J21&amp;"行补齐或修正","无需处理")</f>
        <v/>
      </c>
      <c r="J21" s="124" t="n">
        <v>20</v>
      </c>
    </row>
    <row r="22">
      <c r="A22" s="124" t="inlineStr">
        <is>
          <t>项目总控台账</t>
        </is>
      </c>
      <c r="B22" s="124">
        <f>'项目总控台账'!A21</f>
        <v/>
      </c>
      <c r="C22" s="124">
        <f>IF(AND('项目总控台账'!E21&lt;&gt;"",'项目总控台账'!E21&lt;&gt;"/"),'项目总控台账'!E21,IF(AND('项目总控台账'!D21&lt;&gt;"",'项目总控台账'!D21&lt;&gt;"/"),'项目总控台账'!D21,'项目总控台账'!C21))</f>
        <v/>
      </c>
      <c r="D22" s="124">
        <f>'项目总控台账'!H21</f>
        <v/>
      </c>
      <c r="E22" s="125">
        <f>'项目总控台账'!I21</f>
        <v/>
      </c>
      <c r="F22" s="125">
        <f>'项目总控台账'!J21</f>
        <v/>
      </c>
      <c r="G22" s="124">
        <f>IF(B22="","",IF(OR(C22="",C22="/"),"缺少任务名称；","")&amp;IF(OR(D22="",D22="/"),"缺少有效主责人；","")&amp;IF(OR(E22="",E22&lt;DATE(2000,1,1)),"缺少有效计划开始；","")&amp;IF(OR(F22="",F22&lt;DATE(2000,1,1)),"缺少有效计划完成；","")&amp;IF('项目总控台账'!G21="","缺少总体状态；","")&amp;IF(AND(ISNUMBER(E22),ISNUMBER(F22),E22&gt;=DATE(2000,1,1),F22&gt;=DATE(2000,1,1),E22&gt;F22),"开始晚于完成；","")&amp;IF(AND('项目总控台账'!G21="已完成",'项目总控台账'!AB21&lt;1),"已完成但进度不足100%；",""))</f>
        <v/>
      </c>
      <c r="H22" s="124">
        <f>IF(B22="","",IF(G22="","通过","需整改"))</f>
        <v/>
      </c>
      <c r="I22" s="124">
        <f>IF(H22="需整改","回到项目总控台账第"&amp;J22&amp;"行补齐或修正","无需处理")</f>
        <v/>
      </c>
      <c r="J22" s="124" t="n">
        <v>21</v>
      </c>
    </row>
    <row r="23">
      <c r="A23" s="124" t="inlineStr">
        <is>
          <t>项目总控台账</t>
        </is>
      </c>
      <c r="B23" s="124">
        <f>'项目总控台账'!A22</f>
        <v/>
      </c>
      <c r="C23" s="124">
        <f>IF(AND('项目总控台账'!E22&lt;&gt;"",'项目总控台账'!E22&lt;&gt;"/"),'项目总控台账'!E22,IF(AND('项目总控台账'!D22&lt;&gt;"",'项目总控台账'!D22&lt;&gt;"/"),'项目总控台账'!D22,'项目总控台账'!C22))</f>
        <v/>
      </c>
      <c r="D23" s="124">
        <f>'项目总控台账'!H22</f>
        <v/>
      </c>
      <c r="E23" s="125">
        <f>'项目总控台账'!I22</f>
        <v/>
      </c>
      <c r="F23" s="125">
        <f>'项目总控台账'!J22</f>
        <v/>
      </c>
      <c r="G23" s="124">
        <f>IF(B23="","",IF(OR(C23="",C23="/"),"缺少任务名称；","")&amp;IF(OR(D23="",D23="/"),"缺少有效主责人；","")&amp;IF(OR(E23="",E23&lt;DATE(2000,1,1)),"缺少有效计划开始；","")&amp;IF(OR(F23="",F23&lt;DATE(2000,1,1)),"缺少有效计划完成；","")&amp;IF('项目总控台账'!G22="","缺少总体状态；","")&amp;IF(AND(ISNUMBER(E23),ISNUMBER(F23),E23&gt;=DATE(2000,1,1),F23&gt;=DATE(2000,1,1),E23&gt;F23),"开始晚于完成；","")&amp;IF(AND('项目总控台账'!G22="已完成",'项目总控台账'!AB22&lt;1),"已完成但进度不足100%；",""))</f>
        <v/>
      </c>
      <c r="H23" s="124">
        <f>IF(B23="","",IF(G23="","通过","需整改"))</f>
        <v/>
      </c>
      <c r="I23" s="124">
        <f>IF(H23="需整改","回到项目总控台账第"&amp;J23&amp;"行补齐或修正","无需处理")</f>
        <v/>
      </c>
      <c r="J23" s="124" t="n">
        <v>22</v>
      </c>
    </row>
    <row r="24">
      <c r="A24" s="124" t="inlineStr">
        <is>
          <t>项目总控台账</t>
        </is>
      </c>
      <c r="B24" s="124">
        <f>'项目总控台账'!A23</f>
        <v/>
      </c>
      <c r="C24" s="124">
        <f>IF(AND('项目总控台账'!E23&lt;&gt;"",'项目总控台账'!E23&lt;&gt;"/"),'项目总控台账'!E23,IF(AND('项目总控台账'!D23&lt;&gt;"",'项目总控台账'!D23&lt;&gt;"/"),'项目总控台账'!D23,'项目总控台账'!C23))</f>
        <v/>
      </c>
      <c r="D24" s="124">
        <f>'项目总控台账'!H23</f>
        <v/>
      </c>
      <c r="E24" s="125">
        <f>'项目总控台账'!I23</f>
        <v/>
      </c>
      <c r="F24" s="125">
        <f>'项目总控台账'!J23</f>
        <v/>
      </c>
      <c r="G24" s="124">
        <f>IF(B24="","",IF(OR(C24="",C24="/"),"缺少任务名称；","")&amp;IF(OR(D24="",D24="/"),"缺少有效主责人；","")&amp;IF(OR(E24="",E24&lt;DATE(2000,1,1)),"缺少有效计划开始；","")&amp;IF(OR(F24="",F24&lt;DATE(2000,1,1)),"缺少有效计划完成；","")&amp;IF('项目总控台账'!G23="","缺少总体状态；","")&amp;IF(AND(ISNUMBER(E24),ISNUMBER(F24),E24&gt;=DATE(2000,1,1),F24&gt;=DATE(2000,1,1),E24&gt;F24),"开始晚于完成；","")&amp;IF(AND('项目总控台账'!G23="已完成",'项目总控台账'!AB23&lt;1),"已完成但进度不足100%；",""))</f>
        <v/>
      </c>
      <c r="H24" s="124">
        <f>IF(B24="","",IF(G24="","通过","需整改"))</f>
        <v/>
      </c>
      <c r="I24" s="124">
        <f>IF(H24="需整改","回到项目总控台账第"&amp;J24&amp;"行补齐或修正","无需处理")</f>
        <v/>
      </c>
      <c r="J24" s="124" t="n">
        <v>23</v>
      </c>
    </row>
    <row r="25">
      <c r="A25" s="124" t="inlineStr">
        <is>
          <t>项目总控台账</t>
        </is>
      </c>
      <c r="B25" s="124">
        <f>'项目总控台账'!A24</f>
        <v/>
      </c>
      <c r="C25" s="124">
        <f>IF(AND('项目总控台账'!E24&lt;&gt;"",'项目总控台账'!E24&lt;&gt;"/"),'项目总控台账'!E24,IF(AND('项目总控台账'!D24&lt;&gt;"",'项目总控台账'!D24&lt;&gt;"/"),'项目总控台账'!D24,'项目总控台账'!C24))</f>
        <v/>
      </c>
      <c r="D25" s="124">
        <f>'项目总控台账'!H24</f>
        <v/>
      </c>
      <c r="E25" s="125">
        <f>'项目总控台账'!I24</f>
        <v/>
      </c>
      <c r="F25" s="125">
        <f>'项目总控台账'!J24</f>
        <v/>
      </c>
      <c r="G25" s="124">
        <f>IF(B25="","",IF(OR(C25="",C25="/"),"缺少任务名称；","")&amp;IF(OR(D25="",D25="/"),"缺少有效主责人；","")&amp;IF(OR(E25="",E25&lt;DATE(2000,1,1)),"缺少有效计划开始；","")&amp;IF(OR(F25="",F25&lt;DATE(2000,1,1)),"缺少有效计划完成；","")&amp;IF('项目总控台账'!G24="","缺少总体状态；","")&amp;IF(AND(ISNUMBER(E25),ISNUMBER(F25),E25&gt;=DATE(2000,1,1),F25&gt;=DATE(2000,1,1),E25&gt;F25),"开始晚于完成；","")&amp;IF(AND('项目总控台账'!G24="已完成",'项目总控台账'!AB24&lt;1),"已完成但进度不足100%；",""))</f>
        <v/>
      </c>
      <c r="H25" s="124">
        <f>IF(B25="","",IF(G25="","通过","需整改"))</f>
        <v/>
      </c>
      <c r="I25" s="124">
        <f>IF(H25="需整改","回到项目总控台账第"&amp;J25&amp;"行补齐或修正","无需处理")</f>
        <v/>
      </c>
      <c r="J25" s="124" t="n">
        <v>24</v>
      </c>
    </row>
    <row r="26">
      <c r="A26" s="124" t="inlineStr">
        <is>
          <t>项目总控台账</t>
        </is>
      </c>
      <c r="B26" s="124">
        <f>'项目总控台账'!A25</f>
        <v/>
      </c>
      <c r="C26" s="124">
        <f>IF(AND('项目总控台账'!E25&lt;&gt;"",'项目总控台账'!E25&lt;&gt;"/"),'项目总控台账'!E25,IF(AND('项目总控台账'!D25&lt;&gt;"",'项目总控台账'!D25&lt;&gt;"/"),'项目总控台账'!D25,'项目总控台账'!C25))</f>
        <v/>
      </c>
      <c r="D26" s="124">
        <f>'项目总控台账'!H25</f>
        <v/>
      </c>
      <c r="E26" s="125">
        <f>'项目总控台账'!I25</f>
        <v/>
      </c>
      <c r="F26" s="125">
        <f>'项目总控台账'!J25</f>
        <v/>
      </c>
      <c r="G26" s="124">
        <f>IF(B26="","",IF(OR(C26="",C26="/"),"缺少任务名称；","")&amp;IF(OR(D26="",D26="/"),"缺少有效主责人；","")&amp;IF(OR(E26="",E26&lt;DATE(2000,1,1)),"缺少有效计划开始；","")&amp;IF(OR(F26="",F26&lt;DATE(2000,1,1)),"缺少有效计划完成；","")&amp;IF('项目总控台账'!G25="","缺少总体状态；","")&amp;IF(AND(ISNUMBER(E26),ISNUMBER(F26),E26&gt;=DATE(2000,1,1),F26&gt;=DATE(2000,1,1),E26&gt;F26),"开始晚于完成；","")&amp;IF(AND('项目总控台账'!G25="已完成",'项目总控台账'!AB25&lt;1),"已完成但进度不足100%；",""))</f>
        <v/>
      </c>
      <c r="H26" s="124">
        <f>IF(B26="","",IF(G26="","通过","需整改"))</f>
        <v/>
      </c>
      <c r="I26" s="124">
        <f>IF(H26="需整改","回到项目总控台账第"&amp;J26&amp;"行补齐或修正","无需处理")</f>
        <v/>
      </c>
      <c r="J26" s="124" t="n">
        <v>25</v>
      </c>
    </row>
    <row r="27">
      <c r="A27" s="124" t="inlineStr">
        <is>
          <t>项目总控台账</t>
        </is>
      </c>
      <c r="B27" s="124">
        <f>'项目总控台账'!A26</f>
        <v/>
      </c>
      <c r="C27" s="124">
        <f>IF(AND('项目总控台账'!E26&lt;&gt;"",'项目总控台账'!E26&lt;&gt;"/"),'项目总控台账'!E26,IF(AND('项目总控台账'!D26&lt;&gt;"",'项目总控台账'!D26&lt;&gt;"/"),'项目总控台账'!D26,'项目总控台账'!C26))</f>
        <v/>
      </c>
      <c r="D27" s="124">
        <f>'项目总控台账'!H26</f>
        <v/>
      </c>
      <c r="E27" s="125">
        <f>'项目总控台账'!I26</f>
        <v/>
      </c>
      <c r="F27" s="125">
        <f>'项目总控台账'!J26</f>
        <v/>
      </c>
      <c r="G27" s="124">
        <f>IF(B27="","",IF(OR(C27="",C27="/"),"缺少任务名称；","")&amp;IF(OR(D27="",D27="/"),"缺少有效主责人；","")&amp;IF(OR(E27="",E27&lt;DATE(2000,1,1)),"缺少有效计划开始；","")&amp;IF(OR(F27="",F27&lt;DATE(2000,1,1)),"缺少有效计划完成；","")&amp;IF('项目总控台账'!G26="","缺少总体状态；","")&amp;IF(AND(ISNUMBER(E27),ISNUMBER(F27),E27&gt;=DATE(2000,1,1),F27&gt;=DATE(2000,1,1),E27&gt;F27),"开始晚于完成；","")&amp;IF(AND('项目总控台账'!G26="已完成",'项目总控台账'!AB26&lt;1),"已完成但进度不足100%；",""))</f>
        <v/>
      </c>
      <c r="H27" s="124">
        <f>IF(B27="","",IF(G27="","通过","需整改"))</f>
        <v/>
      </c>
      <c r="I27" s="124">
        <f>IF(H27="需整改","回到项目总控台账第"&amp;J27&amp;"行补齐或修正","无需处理")</f>
        <v/>
      </c>
      <c r="J27" s="124" t="n">
        <v>26</v>
      </c>
    </row>
    <row r="28">
      <c r="A28" s="124" t="inlineStr">
        <is>
          <t>项目总控台账</t>
        </is>
      </c>
      <c r="B28" s="124">
        <f>'项目总控台账'!A27</f>
        <v/>
      </c>
      <c r="C28" s="124">
        <f>IF(AND('项目总控台账'!E27&lt;&gt;"",'项目总控台账'!E27&lt;&gt;"/"),'项目总控台账'!E27,IF(AND('项目总控台账'!D27&lt;&gt;"",'项目总控台账'!D27&lt;&gt;"/"),'项目总控台账'!D27,'项目总控台账'!C27))</f>
        <v/>
      </c>
      <c r="D28" s="124">
        <f>'项目总控台账'!H27</f>
        <v/>
      </c>
      <c r="E28" s="125">
        <f>'项目总控台账'!I27</f>
        <v/>
      </c>
      <c r="F28" s="125">
        <f>'项目总控台账'!J27</f>
        <v/>
      </c>
      <c r="G28" s="124">
        <f>IF(B28="","",IF(OR(C28="",C28="/"),"缺少任务名称；","")&amp;IF(OR(D28="",D28="/"),"缺少有效主责人；","")&amp;IF(OR(E28="",E28&lt;DATE(2000,1,1)),"缺少有效计划开始；","")&amp;IF(OR(F28="",F28&lt;DATE(2000,1,1)),"缺少有效计划完成；","")&amp;IF('项目总控台账'!G27="","缺少总体状态；","")&amp;IF(AND(ISNUMBER(E28),ISNUMBER(F28),E28&gt;=DATE(2000,1,1),F28&gt;=DATE(2000,1,1),E28&gt;F28),"开始晚于完成；","")&amp;IF(AND('项目总控台账'!G27="已完成",'项目总控台账'!AB27&lt;1),"已完成但进度不足100%；",""))</f>
        <v/>
      </c>
      <c r="H28" s="124">
        <f>IF(B28="","",IF(G28="","通过","需整改"))</f>
        <v/>
      </c>
      <c r="I28" s="124">
        <f>IF(H28="需整改","回到项目总控台账第"&amp;J28&amp;"行补齐或修正","无需处理")</f>
        <v/>
      </c>
      <c r="J28" s="124" t="n">
        <v>27</v>
      </c>
    </row>
    <row r="29">
      <c r="A29" s="124" t="inlineStr">
        <is>
          <t>项目总控台账</t>
        </is>
      </c>
      <c r="B29" s="124">
        <f>'项目总控台账'!A28</f>
        <v/>
      </c>
      <c r="C29" s="124">
        <f>IF(AND('项目总控台账'!E28&lt;&gt;"",'项目总控台账'!E28&lt;&gt;"/"),'项目总控台账'!E28,IF(AND('项目总控台账'!D28&lt;&gt;"",'项目总控台账'!D28&lt;&gt;"/"),'项目总控台账'!D28,'项目总控台账'!C28))</f>
        <v/>
      </c>
      <c r="D29" s="124">
        <f>'项目总控台账'!H28</f>
        <v/>
      </c>
      <c r="E29" s="125">
        <f>'项目总控台账'!I28</f>
        <v/>
      </c>
      <c r="F29" s="125">
        <f>'项目总控台账'!J28</f>
        <v/>
      </c>
      <c r="G29" s="124">
        <f>IF(B29="","",IF(OR(C29="",C29="/"),"缺少任务名称；","")&amp;IF(OR(D29="",D29="/"),"缺少有效主责人；","")&amp;IF(OR(E29="",E29&lt;DATE(2000,1,1)),"缺少有效计划开始；","")&amp;IF(OR(F29="",F29&lt;DATE(2000,1,1)),"缺少有效计划完成；","")&amp;IF('项目总控台账'!G28="","缺少总体状态；","")&amp;IF(AND(ISNUMBER(E29),ISNUMBER(F29),E29&gt;=DATE(2000,1,1),F29&gt;=DATE(2000,1,1),E29&gt;F29),"开始晚于完成；","")&amp;IF(AND('项目总控台账'!G28="已完成",'项目总控台账'!AB28&lt;1),"已完成但进度不足100%；",""))</f>
        <v/>
      </c>
      <c r="H29" s="124">
        <f>IF(B29="","",IF(G29="","通过","需整改"))</f>
        <v/>
      </c>
      <c r="I29" s="124">
        <f>IF(H29="需整改","回到项目总控台账第"&amp;J29&amp;"行补齐或修正","无需处理")</f>
        <v/>
      </c>
      <c r="J29" s="124" t="n">
        <v>28</v>
      </c>
    </row>
    <row r="30">
      <c r="A30" s="124" t="inlineStr">
        <is>
          <t>项目总控台账</t>
        </is>
      </c>
      <c r="B30" s="124">
        <f>'项目总控台账'!A29</f>
        <v/>
      </c>
      <c r="C30" s="124">
        <f>IF(AND('项目总控台账'!E29&lt;&gt;"",'项目总控台账'!E29&lt;&gt;"/"),'项目总控台账'!E29,IF(AND('项目总控台账'!D29&lt;&gt;"",'项目总控台账'!D29&lt;&gt;"/"),'项目总控台账'!D29,'项目总控台账'!C29))</f>
        <v/>
      </c>
      <c r="D30" s="124">
        <f>'项目总控台账'!H29</f>
        <v/>
      </c>
      <c r="E30" s="125">
        <f>'项目总控台账'!I29</f>
        <v/>
      </c>
      <c r="F30" s="125">
        <f>'项目总控台账'!J29</f>
        <v/>
      </c>
      <c r="G30" s="124">
        <f>IF(B30="","",IF(OR(C30="",C30="/"),"缺少任务名称；","")&amp;IF(OR(D30="",D30="/"),"缺少有效主责人；","")&amp;IF(OR(E30="",E30&lt;DATE(2000,1,1)),"缺少有效计划开始；","")&amp;IF(OR(F30="",F30&lt;DATE(2000,1,1)),"缺少有效计划完成；","")&amp;IF('项目总控台账'!G29="","缺少总体状态；","")&amp;IF(AND(ISNUMBER(E30),ISNUMBER(F30),E30&gt;=DATE(2000,1,1),F30&gt;=DATE(2000,1,1),E30&gt;F30),"开始晚于完成；","")&amp;IF(AND('项目总控台账'!G29="已完成",'项目总控台账'!AB29&lt;1),"已完成但进度不足100%；",""))</f>
        <v/>
      </c>
      <c r="H30" s="124">
        <f>IF(B30="","",IF(G30="","通过","需整改"))</f>
        <v/>
      </c>
      <c r="I30" s="124">
        <f>IF(H30="需整改","回到项目总控台账第"&amp;J30&amp;"行补齐或修正","无需处理")</f>
        <v/>
      </c>
      <c r="J30" s="124" t="n">
        <v>29</v>
      </c>
    </row>
    <row r="31">
      <c r="A31" s="124" t="inlineStr">
        <is>
          <t>项目总控台账</t>
        </is>
      </c>
      <c r="B31" s="124">
        <f>'项目总控台账'!A30</f>
        <v/>
      </c>
      <c r="C31" s="124">
        <f>IF(AND('项目总控台账'!E30&lt;&gt;"",'项目总控台账'!E30&lt;&gt;"/"),'项目总控台账'!E30,IF(AND('项目总控台账'!D30&lt;&gt;"",'项目总控台账'!D30&lt;&gt;"/"),'项目总控台账'!D30,'项目总控台账'!C30))</f>
        <v/>
      </c>
      <c r="D31" s="124">
        <f>'项目总控台账'!H30</f>
        <v/>
      </c>
      <c r="E31" s="125">
        <f>'项目总控台账'!I30</f>
        <v/>
      </c>
      <c r="F31" s="125">
        <f>'项目总控台账'!J30</f>
        <v/>
      </c>
      <c r="G31" s="124">
        <f>IF(B31="","",IF(OR(C31="",C31="/"),"缺少任务名称；","")&amp;IF(OR(D31="",D31="/"),"缺少有效主责人；","")&amp;IF(OR(E31="",E31&lt;DATE(2000,1,1)),"缺少有效计划开始；","")&amp;IF(OR(F31="",F31&lt;DATE(2000,1,1)),"缺少有效计划完成；","")&amp;IF('项目总控台账'!G30="","缺少总体状态；","")&amp;IF(AND(ISNUMBER(E31),ISNUMBER(F31),E31&gt;=DATE(2000,1,1),F31&gt;=DATE(2000,1,1),E31&gt;F31),"开始晚于完成；","")&amp;IF(AND('项目总控台账'!G30="已完成",'项目总控台账'!AB30&lt;1),"已完成但进度不足100%；",""))</f>
        <v/>
      </c>
      <c r="H31" s="124">
        <f>IF(B31="","",IF(G31="","通过","需整改"))</f>
        <v/>
      </c>
      <c r="I31" s="124">
        <f>IF(H31="需整改","回到项目总控台账第"&amp;J31&amp;"行补齐或修正","无需处理")</f>
        <v/>
      </c>
      <c r="J31" s="124" t="n">
        <v>30</v>
      </c>
    </row>
    <row r="32">
      <c r="A32" s="124" t="inlineStr">
        <is>
          <t>项目总控台账</t>
        </is>
      </c>
      <c r="B32" s="124">
        <f>'项目总控台账'!A31</f>
        <v/>
      </c>
      <c r="C32" s="124">
        <f>IF(AND('项目总控台账'!E31&lt;&gt;"",'项目总控台账'!E31&lt;&gt;"/"),'项目总控台账'!E31,IF(AND('项目总控台账'!D31&lt;&gt;"",'项目总控台账'!D31&lt;&gt;"/"),'项目总控台账'!D31,'项目总控台账'!C31))</f>
        <v/>
      </c>
      <c r="D32" s="124">
        <f>'项目总控台账'!H31</f>
        <v/>
      </c>
      <c r="E32" s="125">
        <f>'项目总控台账'!I31</f>
        <v/>
      </c>
      <c r="F32" s="125">
        <f>'项目总控台账'!J31</f>
        <v/>
      </c>
      <c r="G32" s="124">
        <f>IF(B32="","",IF(OR(C32="",C32="/"),"缺少任务名称；","")&amp;IF(OR(D32="",D32="/"),"缺少有效主责人；","")&amp;IF(OR(E32="",E32&lt;DATE(2000,1,1)),"缺少有效计划开始；","")&amp;IF(OR(F32="",F32&lt;DATE(2000,1,1)),"缺少有效计划完成；","")&amp;IF('项目总控台账'!G31="","缺少总体状态；","")&amp;IF(AND(ISNUMBER(E32),ISNUMBER(F32),E32&gt;=DATE(2000,1,1),F32&gt;=DATE(2000,1,1),E32&gt;F32),"开始晚于完成；","")&amp;IF(AND('项目总控台账'!G31="已完成",'项目总控台账'!AB31&lt;1),"已完成但进度不足100%；",""))</f>
        <v/>
      </c>
      <c r="H32" s="124">
        <f>IF(B32="","",IF(G32="","通过","需整改"))</f>
        <v/>
      </c>
      <c r="I32" s="124">
        <f>IF(H32="需整改","回到项目总控台账第"&amp;J32&amp;"行补齐或修正","无需处理")</f>
        <v/>
      </c>
      <c r="J32" s="124" t="n">
        <v>31</v>
      </c>
    </row>
    <row r="33">
      <c r="A33" s="124" t="inlineStr">
        <is>
          <t>项目总控台账</t>
        </is>
      </c>
      <c r="B33" s="124">
        <f>'项目总控台账'!A32</f>
        <v/>
      </c>
      <c r="C33" s="124">
        <f>IF(AND('项目总控台账'!E32&lt;&gt;"",'项目总控台账'!E32&lt;&gt;"/"),'项目总控台账'!E32,IF(AND('项目总控台账'!D32&lt;&gt;"",'项目总控台账'!D32&lt;&gt;"/"),'项目总控台账'!D32,'项目总控台账'!C32))</f>
        <v/>
      </c>
      <c r="D33" s="124">
        <f>'项目总控台账'!H32</f>
        <v/>
      </c>
      <c r="E33" s="125">
        <f>'项目总控台账'!I32</f>
        <v/>
      </c>
      <c r="F33" s="125">
        <f>'项目总控台账'!J32</f>
        <v/>
      </c>
      <c r="G33" s="124">
        <f>IF(B33="","",IF(OR(C33="",C33="/"),"缺少任务名称；","")&amp;IF(OR(D33="",D33="/"),"缺少有效主责人；","")&amp;IF(OR(E33="",E33&lt;DATE(2000,1,1)),"缺少有效计划开始；","")&amp;IF(OR(F33="",F33&lt;DATE(2000,1,1)),"缺少有效计划完成；","")&amp;IF('项目总控台账'!G32="","缺少总体状态；","")&amp;IF(AND(ISNUMBER(E33),ISNUMBER(F33),E33&gt;=DATE(2000,1,1),F33&gt;=DATE(2000,1,1),E33&gt;F33),"开始晚于完成；","")&amp;IF(AND('项目总控台账'!G32="已完成",'项目总控台账'!AB32&lt;1),"已完成但进度不足100%；",""))</f>
        <v/>
      </c>
      <c r="H33" s="124">
        <f>IF(B33="","",IF(G33="","通过","需整改"))</f>
        <v/>
      </c>
      <c r="I33" s="124">
        <f>IF(H33="需整改","回到项目总控台账第"&amp;J33&amp;"行补齐或修正","无需处理")</f>
        <v/>
      </c>
      <c r="J33" s="124" t="n">
        <v>32</v>
      </c>
    </row>
    <row r="34">
      <c r="A34" s="124" t="inlineStr">
        <is>
          <t>项目总控台账</t>
        </is>
      </c>
      <c r="B34" s="124">
        <f>'项目总控台账'!A33</f>
        <v/>
      </c>
      <c r="C34" s="124">
        <f>IF(AND('项目总控台账'!E33&lt;&gt;"",'项目总控台账'!E33&lt;&gt;"/"),'项目总控台账'!E33,IF(AND('项目总控台账'!D33&lt;&gt;"",'项目总控台账'!D33&lt;&gt;"/"),'项目总控台账'!D33,'项目总控台账'!C33))</f>
        <v/>
      </c>
      <c r="D34" s="124">
        <f>'项目总控台账'!H33</f>
        <v/>
      </c>
      <c r="E34" s="125">
        <f>'项目总控台账'!I33</f>
        <v/>
      </c>
      <c r="F34" s="125">
        <f>'项目总控台账'!J33</f>
        <v/>
      </c>
      <c r="G34" s="124">
        <f>IF(B34="","",IF(OR(C34="",C34="/"),"缺少任务名称；","")&amp;IF(OR(D34="",D34="/"),"缺少有效主责人；","")&amp;IF(OR(E34="",E34&lt;DATE(2000,1,1)),"缺少有效计划开始；","")&amp;IF(OR(F34="",F34&lt;DATE(2000,1,1)),"缺少有效计划完成；","")&amp;IF('项目总控台账'!G33="","缺少总体状态；","")&amp;IF(AND(ISNUMBER(E34),ISNUMBER(F34),E34&gt;=DATE(2000,1,1),F34&gt;=DATE(2000,1,1),E34&gt;F34),"开始晚于完成；","")&amp;IF(AND('项目总控台账'!G33="已完成",'项目总控台账'!AB33&lt;1),"已完成但进度不足100%；",""))</f>
        <v/>
      </c>
      <c r="H34" s="124">
        <f>IF(B34="","",IF(G34="","通过","需整改"))</f>
        <v/>
      </c>
      <c r="I34" s="124">
        <f>IF(H34="需整改","回到项目总控台账第"&amp;J34&amp;"行补齐或修正","无需处理")</f>
        <v/>
      </c>
      <c r="J34" s="124" t="n">
        <v>33</v>
      </c>
    </row>
    <row r="35">
      <c r="A35" s="124" t="inlineStr">
        <is>
          <t>项目总控台账</t>
        </is>
      </c>
      <c r="B35" s="124">
        <f>'项目总控台账'!A34</f>
        <v/>
      </c>
      <c r="C35" s="124">
        <f>IF(AND('项目总控台账'!E34&lt;&gt;"",'项目总控台账'!E34&lt;&gt;"/"),'项目总控台账'!E34,IF(AND('项目总控台账'!D34&lt;&gt;"",'项目总控台账'!D34&lt;&gt;"/"),'项目总控台账'!D34,'项目总控台账'!C34))</f>
        <v/>
      </c>
      <c r="D35" s="124">
        <f>'项目总控台账'!H34</f>
        <v/>
      </c>
      <c r="E35" s="125">
        <f>'项目总控台账'!I34</f>
        <v/>
      </c>
      <c r="F35" s="125">
        <f>'项目总控台账'!J34</f>
        <v/>
      </c>
      <c r="G35" s="124">
        <f>IF(B35="","",IF(OR(C35="",C35="/"),"缺少任务名称；","")&amp;IF(OR(D35="",D35="/"),"缺少有效主责人；","")&amp;IF(OR(E35="",E35&lt;DATE(2000,1,1)),"缺少有效计划开始；","")&amp;IF(OR(F35="",F35&lt;DATE(2000,1,1)),"缺少有效计划完成；","")&amp;IF('项目总控台账'!G34="","缺少总体状态；","")&amp;IF(AND(ISNUMBER(E35),ISNUMBER(F35),E35&gt;=DATE(2000,1,1),F35&gt;=DATE(2000,1,1),E35&gt;F35),"开始晚于完成；","")&amp;IF(AND('项目总控台账'!G34="已完成",'项目总控台账'!AB34&lt;1),"已完成但进度不足100%；",""))</f>
        <v/>
      </c>
      <c r="H35" s="124">
        <f>IF(B35="","",IF(G35="","通过","需整改"))</f>
        <v/>
      </c>
      <c r="I35" s="124">
        <f>IF(H35="需整改","回到项目总控台账第"&amp;J35&amp;"行补齐或修正","无需处理")</f>
        <v/>
      </c>
      <c r="J35" s="124" t="n">
        <v>34</v>
      </c>
    </row>
    <row r="36">
      <c r="A36" s="124" t="inlineStr">
        <is>
          <t>项目总控台账</t>
        </is>
      </c>
      <c r="B36" s="124">
        <f>'项目总控台账'!A35</f>
        <v/>
      </c>
      <c r="C36" s="124">
        <f>IF(AND('项目总控台账'!E35&lt;&gt;"",'项目总控台账'!E35&lt;&gt;"/"),'项目总控台账'!E35,IF(AND('项目总控台账'!D35&lt;&gt;"",'项目总控台账'!D35&lt;&gt;"/"),'项目总控台账'!D35,'项目总控台账'!C35))</f>
        <v/>
      </c>
      <c r="D36" s="124">
        <f>'项目总控台账'!H35</f>
        <v/>
      </c>
      <c r="E36" s="125">
        <f>'项目总控台账'!I35</f>
        <v/>
      </c>
      <c r="F36" s="125">
        <f>'项目总控台账'!J35</f>
        <v/>
      </c>
      <c r="G36" s="124">
        <f>IF(B36="","",IF(OR(C36="",C36="/"),"缺少任务名称；","")&amp;IF(OR(D36="",D36="/"),"缺少有效主责人；","")&amp;IF(OR(E36="",E36&lt;DATE(2000,1,1)),"缺少有效计划开始；","")&amp;IF(OR(F36="",F36&lt;DATE(2000,1,1)),"缺少有效计划完成；","")&amp;IF('项目总控台账'!G35="","缺少总体状态；","")&amp;IF(AND(ISNUMBER(E36),ISNUMBER(F36),E36&gt;=DATE(2000,1,1),F36&gt;=DATE(2000,1,1),E36&gt;F36),"开始晚于完成；","")&amp;IF(AND('项目总控台账'!G35="已完成",'项目总控台账'!AB35&lt;1),"已完成但进度不足100%；",""))</f>
        <v/>
      </c>
      <c r="H36" s="124">
        <f>IF(B36="","",IF(G36="","通过","需整改"))</f>
        <v/>
      </c>
      <c r="I36" s="124">
        <f>IF(H36="需整改","回到项目总控台账第"&amp;J36&amp;"行补齐或修正","无需处理")</f>
        <v/>
      </c>
      <c r="J36" s="124" t="n">
        <v>35</v>
      </c>
    </row>
    <row r="37">
      <c r="A37" s="124" t="inlineStr">
        <is>
          <t>项目总控台账</t>
        </is>
      </c>
      <c r="B37" s="124">
        <f>'项目总控台账'!A36</f>
        <v/>
      </c>
      <c r="C37" s="124">
        <f>IF(AND('项目总控台账'!E36&lt;&gt;"",'项目总控台账'!E36&lt;&gt;"/"),'项目总控台账'!E36,IF(AND('项目总控台账'!D36&lt;&gt;"",'项目总控台账'!D36&lt;&gt;"/"),'项目总控台账'!D36,'项目总控台账'!C36))</f>
        <v/>
      </c>
      <c r="D37" s="124">
        <f>'项目总控台账'!H36</f>
        <v/>
      </c>
      <c r="E37" s="125">
        <f>'项目总控台账'!I36</f>
        <v/>
      </c>
      <c r="F37" s="125">
        <f>'项目总控台账'!J36</f>
        <v/>
      </c>
      <c r="G37" s="124">
        <f>IF(B37="","",IF(OR(C37="",C37="/"),"缺少任务名称；","")&amp;IF(OR(D37="",D37="/"),"缺少有效主责人；","")&amp;IF(OR(E37="",E37&lt;DATE(2000,1,1)),"缺少有效计划开始；","")&amp;IF(OR(F37="",F37&lt;DATE(2000,1,1)),"缺少有效计划完成；","")&amp;IF('项目总控台账'!G36="","缺少总体状态；","")&amp;IF(AND(ISNUMBER(E37),ISNUMBER(F37),E37&gt;=DATE(2000,1,1),F37&gt;=DATE(2000,1,1),E37&gt;F37),"开始晚于完成；","")&amp;IF(AND('项目总控台账'!G36="已完成",'项目总控台账'!AB36&lt;1),"已完成但进度不足100%；",""))</f>
        <v/>
      </c>
      <c r="H37" s="124">
        <f>IF(B37="","",IF(G37="","通过","需整改"))</f>
        <v/>
      </c>
      <c r="I37" s="124">
        <f>IF(H37="需整改","回到项目总控台账第"&amp;J37&amp;"行补齐或修正","无需处理")</f>
        <v/>
      </c>
      <c r="J37" s="124" t="n">
        <v>36</v>
      </c>
    </row>
    <row r="38">
      <c r="A38" s="124" t="inlineStr">
        <is>
          <t>项目总控台账</t>
        </is>
      </c>
      <c r="B38" s="124">
        <f>'项目总控台账'!A37</f>
        <v/>
      </c>
      <c r="C38" s="124">
        <f>IF(AND('项目总控台账'!E37&lt;&gt;"",'项目总控台账'!E37&lt;&gt;"/"),'项目总控台账'!E37,IF(AND('项目总控台账'!D37&lt;&gt;"",'项目总控台账'!D37&lt;&gt;"/"),'项目总控台账'!D37,'项目总控台账'!C37))</f>
        <v/>
      </c>
      <c r="D38" s="124">
        <f>'项目总控台账'!H37</f>
        <v/>
      </c>
      <c r="E38" s="125">
        <f>'项目总控台账'!I37</f>
        <v/>
      </c>
      <c r="F38" s="125">
        <f>'项目总控台账'!J37</f>
        <v/>
      </c>
      <c r="G38" s="124">
        <f>IF(B38="","",IF(OR(C38="",C38="/"),"缺少任务名称；","")&amp;IF(OR(D38="",D38="/"),"缺少有效主责人；","")&amp;IF(OR(E38="",E38&lt;DATE(2000,1,1)),"缺少有效计划开始；","")&amp;IF(OR(F38="",F38&lt;DATE(2000,1,1)),"缺少有效计划完成；","")&amp;IF('项目总控台账'!G37="","缺少总体状态；","")&amp;IF(AND(ISNUMBER(E38),ISNUMBER(F38),E38&gt;=DATE(2000,1,1),F38&gt;=DATE(2000,1,1),E38&gt;F38),"开始晚于完成；","")&amp;IF(AND('项目总控台账'!G37="已完成",'项目总控台账'!AB37&lt;1),"已完成但进度不足100%；",""))</f>
        <v/>
      </c>
      <c r="H38" s="124">
        <f>IF(B38="","",IF(G38="","通过","需整改"))</f>
        <v/>
      </c>
      <c r="I38" s="124">
        <f>IF(H38="需整改","回到项目总控台账第"&amp;J38&amp;"行补齐或修正","无需处理")</f>
        <v/>
      </c>
      <c r="J38" s="124" t="n">
        <v>37</v>
      </c>
    </row>
    <row r="39">
      <c r="A39" s="124" t="inlineStr">
        <is>
          <t>项目总控台账</t>
        </is>
      </c>
      <c r="B39" s="124">
        <f>'项目总控台账'!A38</f>
        <v/>
      </c>
      <c r="C39" s="124">
        <f>IF(AND('项目总控台账'!E38&lt;&gt;"",'项目总控台账'!E38&lt;&gt;"/"),'项目总控台账'!E38,IF(AND('项目总控台账'!D38&lt;&gt;"",'项目总控台账'!D38&lt;&gt;"/"),'项目总控台账'!D38,'项目总控台账'!C38))</f>
        <v/>
      </c>
      <c r="D39" s="124">
        <f>'项目总控台账'!H38</f>
        <v/>
      </c>
      <c r="E39" s="125">
        <f>'项目总控台账'!I38</f>
        <v/>
      </c>
      <c r="F39" s="125">
        <f>'项目总控台账'!J38</f>
        <v/>
      </c>
      <c r="G39" s="124">
        <f>IF(B39="","",IF(OR(C39="",C39="/"),"缺少任务名称；","")&amp;IF(OR(D39="",D39="/"),"缺少有效主责人；","")&amp;IF(OR(E39="",E39&lt;DATE(2000,1,1)),"缺少有效计划开始；","")&amp;IF(OR(F39="",F39&lt;DATE(2000,1,1)),"缺少有效计划完成；","")&amp;IF('项目总控台账'!G38="","缺少总体状态；","")&amp;IF(AND(ISNUMBER(E39),ISNUMBER(F39),E39&gt;=DATE(2000,1,1),F39&gt;=DATE(2000,1,1),E39&gt;F39),"开始晚于完成；","")&amp;IF(AND('项目总控台账'!G38="已完成",'项目总控台账'!AB38&lt;1),"已完成但进度不足100%；",""))</f>
        <v/>
      </c>
      <c r="H39" s="124">
        <f>IF(B39="","",IF(G39="","通过","需整改"))</f>
        <v/>
      </c>
      <c r="I39" s="124">
        <f>IF(H39="需整改","回到项目总控台账第"&amp;J39&amp;"行补齐或修正","无需处理")</f>
        <v/>
      </c>
      <c r="J39" s="124" t="n">
        <v>38</v>
      </c>
    </row>
    <row r="40">
      <c r="A40" s="124" t="inlineStr">
        <is>
          <t>项目总控台账</t>
        </is>
      </c>
      <c r="B40" s="124">
        <f>'项目总控台账'!A39</f>
        <v/>
      </c>
      <c r="C40" s="124">
        <f>IF(AND('项目总控台账'!E39&lt;&gt;"",'项目总控台账'!E39&lt;&gt;"/"),'项目总控台账'!E39,IF(AND('项目总控台账'!D39&lt;&gt;"",'项目总控台账'!D39&lt;&gt;"/"),'项目总控台账'!D39,'项目总控台账'!C39))</f>
        <v/>
      </c>
      <c r="D40" s="124">
        <f>'项目总控台账'!H39</f>
        <v/>
      </c>
      <c r="E40" s="125">
        <f>'项目总控台账'!I39</f>
        <v/>
      </c>
      <c r="F40" s="125">
        <f>'项目总控台账'!J39</f>
        <v/>
      </c>
      <c r="G40" s="124">
        <f>IF(B40="","",IF(OR(C40="",C40="/"),"缺少任务名称；","")&amp;IF(OR(D40="",D40="/"),"缺少有效主责人；","")&amp;IF(OR(E40="",E40&lt;DATE(2000,1,1)),"缺少有效计划开始；","")&amp;IF(OR(F40="",F40&lt;DATE(2000,1,1)),"缺少有效计划完成；","")&amp;IF('项目总控台账'!G39="","缺少总体状态；","")&amp;IF(AND(ISNUMBER(E40),ISNUMBER(F40),E40&gt;=DATE(2000,1,1),F40&gt;=DATE(2000,1,1),E40&gt;F40),"开始晚于完成；","")&amp;IF(AND('项目总控台账'!G39="已完成",'项目总控台账'!AB39&lt;1),"已完成但进度不足100%；",""))</f>
        <v/>
      </c>
      <c r="H40" s="124">
        <f>IF(B40="","",IF(G40="","通过","需整改"))</f>
        <v/>
      </c>
      <c r="I40" s="124">
        <f>IF(H40="需整改","回到项目总控台账第"&amp;J40&amp;"行补齐或修正","无需处理")</f>
        <v/>
      </c>
      <c r="J40" s="124" t="n">
        <v>39</v>
      </c>
    </row>
    <row r="41">
      <c r="A41" s="124" t="inlineStr">
        <is>
          <t>项目总控台账</t>
        </is>
      </c>
      <c r="B41" s="124">
        <f>'项目总控台账'!A40</f>
        <v/>
      </c>
      <c r="C41" s="124">
        <f>IF(AND('项目总控台账'!E40&lt;&gt;"",'项目总控台账'!E40&lt;&gt;"/"),'项目总控台账'!E40,IF(AND('项目总控台账'!D40&lt;&gt;"",'项目总控台账'!D40&lt;&gt;"/"),'项目总控台账'!D40,'项目总控台账'!C40))</f>
        <v/>
      </c>
      <c r="D41" s="124">
        <f>'项目总控台账'!H40</f>
        <v/>
      </c>
      <c r="E41" s="125">
        <f>'项目总控台账'!I40</f>
        <v/>
      </c>
      <c r="F41" s="125">
        <f>'项目总控台账'!J40</f>
        <v/>
      </c>
      <c r="G41" s="124">
        <f>IF(B41="","",IF(OR(C41="",C41="/"),"缺少任务名称；","")&amp;IF(OR(D41="",D41="/"),"缺少有效主责人；","")&amp;IF(OR(E41="",E41&lt;DATE(2000,1,1)),"缺少有效计划开始；","")&amp;IF(OR(F41="",F41&lt;DATE(2000,1,1)),"缺少有效计划完成；","")&amp;IF('项目总控台账'!G40="","缺少总体状态；","")&amp;IF(AND(ISNUMBER(E41),ISNUMBER(F41),E41&gt;=DATE(2000,1,1),F41&gt;=DATE(2000,1,1),E41&gt;F41),"开始晚于完成；","")&amp;IF(AND('项目总控台账'!G40="已完成",'项目总控台账'!AB40&lt;1),"已完成但进度不足100%；",""))</f>
        <v/>
      </c>
      <c r="H41" s="124">
        <f>IF(B41="","",IF(G41="","通过","需整改"))</f>
        <v/>
      </c>
      <c r="I41" s="124">
        <f>IF(H41="需整改","回到项目总控台账第"&amp;J41&amp;"行补齐或修正","无需处理")</f>
        <v/>
      </c>
      <c r="J41" s="124" t="n">
        <v>40</v>
      </c>
    </row>
    <row r="42">
      <c r="A42" s="124" t="inlineStr">
        <is>
          <t>项目总控台账</t>
        </is>
      </c>
      <c r="B42" s="124">
        <f>'项目总控台账'!A41</f>
        <v/>
      </c>
      <c r="C42" s="124">
        <f>IF(AND('项目总控台账'!E41&lt;&gt;"",'项目总控台账'!E41&lt;&gt;"/"),'项目总控台账'!E41,IF(AND('项目总控台账'!D41&lt;&gt;"",'项目总控台账'!D41&lt;&gt;"/"),'项目总控台账'!D41,'项目总控台账'!C41))</f>
        <v/>
      </c>
      <c r="D42" s="124">
        <f>'项目总控台账'!H41</f>
        <v/>
      </c>
      <c r="E42" s="125">
        <f>'项目总控台账'!I41</f>
        <v/>
      </c>
      <c r="F42" s="125">
        <f>'项目总控台账'!J41</f>
        <v/>
      </c>
      <c r="G42" s="124">
        <f>IF(B42="","",IF(OR(C42="",C42="/"),"缺少任务名称；","")&amp;IF(OR(D42="",D42="/"),"缺少有效主责人；","")&amp;IF(OR(E42="",E42&lt;DATE(2000,1,1)),"缺少有效计划开始；","")&amp;IF(OR(F42="",F42&lt;DATE(2000,1,1)),"缺少有效计划完成；","")&amp;IF('项目总控台账'!G41="","缺少总体状态；","")&amp;IF(AND(ISNUMBER(E42),ISNUMBER(F42),E42&gt;=DATE(2000,1,1),F42&gt;=DATE(2000,1,1),E42&gt;F42),"开始晚于完成；","")&amp;IF(AND('项目总控台账'!G41="已完成",'项目总控台账'!AB41&lt;1),"已完成但进度不足100%；",""))</f>
        <v/>
      </c>
      <c r="H42" s="124">
        <f>IF(B42="","",IF(G42="","通过","需整改"))</f>
        <v/>
      </c>
      <c r="I42" s="124">
        <f>IF(H42="需整改","回到项目总控台账第"&amp;J42&amp;"行补齐或修正","无需处理")</f>
        <v/>
      </c>
      <c r="J42" s="124" t="n">
        <v>41</v>
      </c>
    </row>
    <row r="43">
      <c r="A43" s="124" t="inlineStr">
        <is>
          <t>项目总控台账</t>
        </is>
      </c>
      <c r="B43" s="124">
        <f>'项目总控台账'!A42</f>
        <v/>
      </c>
      <c r="C43" s="124">
        <f>IF(AND('项目总控台账'!E42&lt;&gt;"",'项目总控台账'!E42&lt;&gt;"/"),'项目总控台账'!E42,IF(AND('项目总控台账'!D42&lt;&gt;"",'项目总控台账'!D42&lt;&gt;"/"),'项目总控台账'!D42,'项目总控台账'!C42))</f>
        <v/>
      </c>
      <c r="D43" s="124">
        <f>'项目总控台账'!H42</f>
        <v/>
      </c>
      <c r="E43" s="125">
        <f>'项目总控台账'!I42</f>
        <v/>
      </c>
      <c r="F43" s="125">
        <f>'项目总控台账'!J42</f>
        <v/>
      </c>
      <c r="G43" s="124">
        <f>IF(B43="","",IF(OR(C43="",C43="/"),"缺少任务名称；","")&amp;IF(OR(D43="",D43="/"),"缺少有效主责人；","")&amp;IF(OR(E43="",E43&lt;DATE(2000,1,1)),"缺少有效计划开始；","")&amp;IF(OR(F43="",F43&lt;DATE(2000,1,1)),"缺少有效计划完成；","")&amp;IF('项目总控台账'!G42="","缺少总体状态；","")&amp;IF(AND(ISNUMBER(E43),ISNUMBER(F43),E43&gt;=DATE(2000,1,1),F43&gt;=DATE(2000,1,1),E43&gt;F43),"开始晚于完成；","")&amp;IF(AND('项目总控台账'!G42="已完成",'项目总控台账'!AB42&lt;1),"已完成但进度不足100%；",""))</f>
        <v/>
      </c>
      <c r="H43" s="124">
        <f>IF(B43="","",IF(G43="","通过","需整改"))</f>
        <v/>
      </c>
      <c r="I43" s="124">
        <f>IF(H43="需整改","回到项目总控台账第"&amp;J43&amp;"行补齐或修正","无需处理")</f>
        <v/>
      </c>
      <c r="J43" s="124" t="n">
        <v>42</v>
      </c>
    </row>
    <row r="44">
      <c r="A44" s="124" t="inlineStr">
        <is>
          <t>项目总控台账</t>
        </is>
      </c>
      <c r="B44" s="124">
        <f>'项目总控台账'!A43</f>
        <v/>
      </c>
      <c r="C44" s="124">
        <f>IF(AND('项目总控台账'!E43&lt;&gt;"",'项目总控台账'!E43&lt;&gt;"/"),'项目总控台账'!E43,IF(AND('项目总控台账'!D43&lt;&gt;"",'项目总控台账'!D43&lt;&gt;"/"),'项目总控台账'!D43,'项目总控台账'!C43))</f>
        <v/>
      </c>
      <c r="D44" s="124">
        <f>'项目总控台账'!H43</f>
        <v/>
      </c>
      <c r="E44" s="125">
        <f>'项目总控台账'!I43</f>
        <v/>
      </c>
      <c r="F44" s="125">
        <f>'项目总控台账'!J43</f>
        <v/>
      </c>
      <c r="G44" s="124">
        <f>IF(B44="","",IF(OR(C44="",C44="/"),"缺少任务名称；","")&amp;IF(OR(D44="",D44="/"),"缺少有效主责人；","")&amp;IF(OR(E44="",E44&lt;DATE(2000,1,1)),"缺少有效计划开始；","")&amp;IF(OR(F44="",F44&lt;DATE(2000,1,1)),"缺少有效计划完成；","")&amp;IF('项目总控台账'!G43="","缺少总体状态；","")&amp;IF(AND(ISNUMBER(E44),ISNUMBER(F44),E44&gt;=DATE(2000,1,1),F44&gt;=DATE(2000,1,1),E44&gt;F44),"开始晚于完成；","")&amp;IF(AND('项目总控台账'!G43="已完成",'项目总控台账'!AB43&lt;1),"已完成但进度不足100%；",""))</f>
        <v/>
      </c>
      <c r="H44" s="124">
        <f>IF(B44="","",IF(G44="","通过","需整改"))</f>
        <v/>
      </c>
      <c r="I44" s="124">
        <f>IF(H44="需整改","回到项目总控台账第"&amp;J44&amp;"行补齐或修正","无需处理")</f>
        <v/>
      </c>
      <c r="J44" s="124" t="n">
        <v>43</v>
      </c>
    </row>
    <row r="45">
      <c r="A45" s="124" t="inlineStr">
        <is>
          <t>项目总控台账</t>
        </is>
      </c>
      <c r="B45" s="124">
        <f>'项目总控台账'!A44</f>
        <v/>
      </c>
      <c r="C45" s="124">
        <f>IF(AND('项目总控台账'!E44&lt;&gt;"",'项目总控台账'!E44&lt;&gt;"/"),'项目总控台账'!E44,IF(AND('项目总控台账'!D44&lt;&gt;"",'项目总控台账'!D44&lt;&gt;"/"),'项目总控台账'!D44,'项目总控台账'!C44))</f>
        <v/>
      </c>
      <c r="D45" s="124">
        <f>'项目总控台账'!H44</f>
        <v/>
      </c>
      <c r="E45" s="125">
        <f>'项目总控台账'!I44</f>
        <v/>
      </c>
      <c r="F45" s="125">
        <f>'项目总控台账'!J44</f>
        <v/>
      </c>
      <c r="G45" s="124">
        <f>IF(B45="","",IF(OR(C45="",C45="/"),"缺少任务名称；","")&amp;IF(OR(D45="",D45="/"),"缺少有效主责人；","")&amp;IF(OR(E45="",E45&lt;DATE(2000,1,1)),"缺少有效计划开始；","")&amp;IF(OR(F45="",F45&lt;DATE(2000,1,1)),"缺少有效计划完成；","")&amp;IF('项目总控台账'!G44="","缺少总体状态；","")&amp;IF(AND(ISNUMBER(E45),ISNUMBER(F45),E45&gt;=DATE(2000,1,1),F45&gt;=DATE(2000,1,1),E45&gt;F45),"开始晚于完成；","")&amp;IF(AND('项目总控台账'!G44="已完成",'项目总控台账'!AB44&lt;1),"已完成但进度不足100%；",""))</f>
        <v/>
      </c>
      <c r="H45" s="124">
        <f>IF(B45="","",IF(G45="","通过","需整改"))</f>
        <v/>
      </c>
      <c r="I45" s="124">
        <f>IF(H45="需整改","回到项目总控台账第"&amp;J45&amp;"行补齐或修正","无需处理")</f>
        <v/>
      </c>
      <c r="J45" s="124" t="n">
        <v>44</v>
      </c>
    </row>
    <row r="46">
      <c r="A46" s="124" t="inlineStr">
        <is>
          <t>项目总控台账</t>
        </is>
      </c>
      <c r="B46" s="124">
        <f>'项目总控台账'!A45</f>
        <v/>
      </c>
      <c r="C46" s="124">
        <f>IF(AND('项目总控台账'!E45&lt;&gt;"",'项目总控台账'!E45&lt;&gt;"/"),'项目总控台账'!E45,IF(AND('项目总控台账'!D45&lt;&gt;"",'项目总控台账'!D45&lt;&gt;"/"),'项目总控台账'!D45,'项目总控台账'!C45))</f>
        <v/>
      </c>
      <c r="D46" s="124">
        <f>'项目总控台账'!H45</f>
        <v/>
      </c>
      <c r="E46" s="125">
        <f>'项目总控台账'!I45</f>
        <v/>
      </c>
      <c r="F46" s="125">
        <f>'项目总控台账'!J45</f>
        <v/>
      </c>
      <c r="G46" s="124">
        <f>IF(B46="","",IF(OR(C46="",C46="/"),"缺少任务名称；","")&amp;IF(OR(D46="",D46="/"),"缺少有效主责人；","")&amp;IF(OR(E46="",E46&lt;DATE(2000,1,1)),"缺少有效计划开始；","")&amp;IF(OR(F46="",F46&lt;DATE(2000,1,1)),"缺少有效计划完成；","")&amp;IF('项目总控台账'!G45="","缺少总体状态；","")&amp;IF(AND(ISNUMBER(E46),ISNUMBER(F46),E46&gt;=DATE(2000,1,1),F46&gt;=DATE(2000,1,1),E46&gt;F46),"开始晚于完成；","")&amp;IF(AND('项目总控台账'!G45="已完成",'项目总控台账'!AB45&lt;1),"已完成但进度不足100%；",""))</f>
        <v/>
      </c>
      <c r="H46" s="124">
        <f>IF(B46="","",IF(G46="","通过","需整改"))</f>
        <v/>
      </c>
      <c r="I46" s="124">
        <f>IF(H46="需整改","回到项目总控台账第"&amp;J46&amp;"行补齐或修正","无需处理")</f>
        <v/>
      </c>
      <c r="J46" s="124" t="n">
        <v>45</v>
      </c>
    </row>
    <row r="47">
      <c r="A47" s="124" t="inlineStr">
        <is>
          <t>项目总控台账</t>
        </is>
      </c>
      <c r="B47" s="124">
        <f>'项目总控台账'!A46</f>
        <v/>
      </c>
      <c r="C47" s="124">
        <f>IF(AND('项目总控台账'!E46&lt;&gt;"",'项目总控台账'!E46&lt;&gt;"/"),'项目总控台账'!E46,IF(AND('项目总控台账'!D46&lt;&gt;"",'项目总控台账'!D46&lt;&gt;"/"),'项目总控台账'!D46,'项目总控台账'!C46))</f>
        <v/>
      </c>
      <c r="D47" s="124">
        <f>'项目总控台账'!H46</f>
        <v/>
      </c>
      <c r="E47" s="125">
        <f>'项目总控台账'!I46</f>
        <v/>
      </c>
      <c r="F47" s="125">
        <f>'项目总控台账'!J46</f>
        <v/>
      </c>
      <c r="G47" s="124">
        <f>IF(B47="","",IF(OR(C47="",C47="/"),"缺少任务名称；","")&amp;IF(OR(D47="",D47="/"),"缺少有效主责人；","")&amp;IF(OR(E47="",E47&lt;DATE(2000,1,1)),"缺少有效计划开始；","")&amp;IF(OR(F47="",F47&lt;DATE(2000,1,1)),"缺少有效计划完成；","")&amp;IF('项目总控台账'!G46="","缺少总体状态；","")&amp;IF(AND(ISNUMBER(E47),ISNUMBER(F47),E47&gt;=DATE(2000,1,1),F47&gt;=DATE(2000,1,1),E47&gt;F47),"开始晚于完成；","")&amp;IF(AND('项目总控台账'!G46="已完成",'项目总控台账'!AB46&lt;1),"已完成但进度不足100%；",""))</f>
        <v/>
      </c>
      <c r="H47" s="124">
        <f>IF(B47="","",IF(G47="","通过","需整改"))</f>
        <v/>
      </c>
      <c r="I47" s="124">
        <f>IF(H47="需整改","回到项目总控台账第"&amp;J47&amp;"行补齐或修正","无需处理")</f>
        <v/>
      </c>
      <c r="J47" s="124" t="n">
        <v>46</v>
      </c>
    </row>
    <row r="48">
      <c r="A48" s="124" t="inlineStr">
        <is>
          <t>项目总控台账</t>
        </is>
      </c>
      <c r="B48" s="124">
        <f>'项目总控台账'!A47</f>
        <v/>
      </c>
      <c r="C48" s="124">
        <f>IF(AND('项目总控台账'!E47&lt;&gt;"",'项目总控台账'!E47&lt;&gt;"/"),'项目总控台账'!E47,IF(AND('项目总控台账'!D47&lt;&gt;"",'项目总控台账'!D47&lt;&gt;"/"),'项目总控台账'!D47,'项目总控台账'!C47))</f>
        <v/>
      </c>
      <c r="D48" s="124">
        <f>'项目总控台账'!H47</f>
        <v/>
      </c>
      <c r="E48" s="125">
        <f>'项目总控台账'!I47</f>
        <v/>
      </c>
      <c r="F48" s="125">
        <f>'项目总控台账'!J47</f>
        <v/>
      </c>
      <c r="G48" s="124">
        <f>IF(B48="","",IF(OR(C48="",C48="/"),"缺少任务名称；","")&amp;IF(OR(D48="",D48="/"),"缺少有效主责人；","")&amp;IF(OR(E48="",E48&lt;DATE(2000,1,1)),"缺少有效计划开始；","")&amp;IF(OR(F48="",F48&lt;DATE(2000,1,1)),"缺少有效计划完成；","")&amp;IF('项目总控台账'!G47="","缺少总体状态；","")&amp;IF(AND(ISNUMBER(E48),ISNUMBER(F48),E48&gt;=DATE(2000,1,1),F48&gt;=DATE(2000,1,1),E48&gt;F48),"开始晚于完成；","")&amp;IF(AND('项目总控台账'!G47="已完成",'项目总控台账'!AB47&lt;1),"已完成但进度不足100%；",""))</f>
        <v/>
      </c>
      <c r="H48" s="124">
        <f>IF(B48="","",IF(G48="","通过","需整改"))</f>
        <v/>
      </c>
      <c r="I48" s="124">
        <f>IF(H48="需整改","回到项目总控台账第"&amp;J48&amp;"行补齐或修正","无需处理")</f>
        <v/>
      </c>
      <c r="J48" s="124" t="n">
        <v>47</v>
      </c>
    </row>
    <row r="49">
      <c r="A49" s="124" t="inlineStr">
        <is>
          <t>项目总控台账</t>
        </is>
      </c>
      <c r="B49" s="124">
        <f>'项目总控台账'!A48</f>
        <v/>
      </c>
      <c r="C49" s="124">
        <f>IF(AND('项目总控台账'!E48&lt;&gt;"",'项目总控台账'!E48&lt;&gt;"/"),'项目总控台账'!E48,IF(AND('项目总控台账'!D48&lt;&gt;"",'项目总控台账'!D48&lt;&gt;"/"),'项目总控台账'!D48,'项目总控台账'!C48))</f>
        <v/>
      </c>
      <c r="D49" s="124">
        <f>'项目总控台账'!H48</f>
        <v/>
      </c>
      <c r="E49" s="125">
        <f>'项目总控台账'!I48</f>
        <v/>
      </c>
      <c r="F49" s="125">
        <f>'项目总控台账'!J48</f>
        <v/>
      </c>
      <c r="G49" s="124">
        <f>IF(B49="","",IF(OR(C49="",C49="/"),"缺少任务名称；","")&amp;IF(OR(D49="",D49="/"),"缺少有效主责人；","")&amp;IF(OR(E49="",E49&lt;DATE(2000,1,1)),"缺少有效计划开始；","")&amp;IF(OR(F49="",F49&lt;DATE(2000,1,1)),"缺少有效计划完成；","")&amp;IF('项目总控台账'!G48="","缺少总体状态；","")&amp;IF(AND(ISNUMBER(E49),ISNUMBER(F49),E49&gt;=DATE(2000,1,1),F49&gt;=DATE(2000,1,1),E49&gt;F49),"开始晚于完成；","")&amp;IF(AND('项目总控台账'!G48="已完成",'项目总控台账'!AB48&lt;1),"已完成但进度不足100%；",""))</f>
        <v/>
      </c>
      <c r="H49" s="124">
        <f>IF(B49="","",IF(G49="","通过","需整改"))</f>
        <v/>
      </c>
      <c r="I49" s="124">
        <f>IF(H49="需整改","回到项目总控台账第"&amp;J49&amp;"行补齐或修正","无需处理")</f>
        <v/>
      </c>
      <c r="J49" s="124" t="n">
        <v>48</v>
      </c>
    </row>
    <row r="50">
      <c r="A50" s="124" t="inlineStr">
        <is>
          <t>项目总控台账</t>
        </is>
      </c>
      <c r="B50" s="124">
        <f>'项目总控台账'!A49</f>
        <v/>
      </c>
      <c r="C50" s="124">
        <f>IF(AND('项目总控台账'!E49&lt;&gt;"",'项目总控台账'!E49&lt;&gt;"/"),'项目总控台账'!E49,IF(AND('项目总控台账'!D49&lt;&gt;"",'项目总控台账'!D49&lt;&gt;"/"),'项目总控台账'!D49,'项目总控台账'!C49))</f>
        <v/>
      </c>
      <c r="D50" s="124">
        <f>'项目总控台账'!H49</f>
        <v/>
      </c>
      <c r="E50" s="125">
        <f>'项目总控台账'!I49</f>
        <v/>
      </c>
      <c r="F50" s="125">
        <f>'项目总控台账'!J49</f>
        <v/>
      </c>
      <c r="G50" s="124">
        <f>IF(B50="","",IF(OR(C50="",C50="/"),"缺少任务名称；","")&amp;IF(OR(D50="",D50="/"),"缺少有效主责人；","")&amp;IF(OR(E50="",E50&lt;DATE(2000,1,1)),"缺少有效计划开始；","")&amp;IF(OR(F50="",F50&lt;DATE(2000,1,1)),"缺少有效计划完成；","")&amp;IF('项目总控台账'!G49="","缺少总体状态；","")&amp;IF(AND(ISNUMBER(E50),ISNUMBER(F50),E50&gt;=DATE(2000,1,1),F50&gt;=DATE(2000,1,1),E50&gt;F50),"开始晚于完成；","")&amp;IF(AND('项目总控台账'!G49="已完成",'项目总控台账'!AB49&lt;1),"已完成但进度不足100%；",""))</f>
        <v/>
      </c>
      <c r="H50" s="124">
        <f>IF(B50="","",IF(G50="","通过","需整改"))</f>
        <v/>
      </c>
      <c r="I50" s="124">
        <f>IF(H50="需整改","回到项目总控台账第"&amp;J50&amp;"行补齐或修正","无需处理")</f>
        <v/>
      </c>
      <c r="J50" s="124" t="n">
        <v>49</v>
      </c>
    </row>
    <row r="51">
      <c r="A51" s="124" t="inlineStr">
        <is>
          <t>项目总控台账</t>
        </is>
      </c>
      <c r="B51" s="124">
        <f>'项目总控台账'!A50</f>
        <v/>
      </c>
      <c r="C51" s="124">
        <f>IF(AND('项目总控台账'!E50&lt;&gt;"",'项目总控台账'!E50&lt;&gt;"/"),'项目总控台账'!E50,IF(AND('项目总控台账'!D50&lt;&gt;"",'项目总控台账'!D50&lt;&gt;"/"),'项目总控台账'!D50,'项目总控台账'!C50))</f>
        <v/>
      </c>
      <c r="D51" s="124">
        <f>'项目总控台账'!H50</f>
        <v/>
      </c>
      <c r="E51" s="125">
        <f>'项目总控台账'!I50</f>
        <v/>
      </c>
      <c r="F51" s="125">
        <f>'项目总控台账'!J50</f>
        <v/>
      </c>
      <c r="G51" s="124">
        <f>IF(B51="","",IF(OR(C51="",C51="/"),"缺少任务名称；","")&amp;IF(OR(D51="",D51="/"),"缺少有效主责人；","")&amp;IF(OR(E51="",E51&lt;DATE(2000,1,1)),"缺少有效计划开始；","")&amp;IF(OR(F51="",F51&lt;DATE(2000,1,1)),"缺少有效计划完成；","")&amp;IF('项目总控台账'!G50="","缺少总体状态；","")&amp;IF(AND(ISNUMBER(E51),ISNUMBER(F51),E51&gt;=DATE(2000,1,1),F51&gt;=DATE(2000,1,1),E51&gt;F51),"开始晚于完成；","")&amp;IF(AND('项目总控台账'!G50="已完成",'项目总控台账'!AB50&lt;1),"已完成但进度不足100%；",""))</f>
        <v/>
      </c>
      <c r="H51" s="124">
        <f>IF(B51="","",IF(G51="","通过","需整改"))</f>
        <v/>
      </c>
      <c r="I51" s="124">
        <f>IF(H51="需整改","回到项目总控台账第"&amp;J51&amp;"行补齐或修正","无需处理")</f>
        <v/>
      </c>
      <c r="J51" s="124" t="n">
        <v>50</v>
      </c>
    </row>
    <row r="52">
      <c r="A52" s="124" t="inlineStr">
        <is>
          <t>项目总控台账</t>
        </is>
      </c>
      <c r="B52" s="124">
        <f>'项目总控台账'!A51</f>
        <v/>
      </c>
      <c r="C52" s="124">
        <f>IF(AND('项目总控台账'!E51&lt;&gt;"",'项目总控台账'!E51&lt;&gt;"/"),'项目总控台账'!E51,IF(AND('项目总控台账'!D51&lt;&gt;"",'项目总控台账'!D51&lt;&gt;"/"),'项目总控台账'!D51,'项目总控台账'!C51))</f>
        <v/>
      </c>
      <c r="D52" s="124">
        <f>'项目总控台账'!H51</f>
        <v/>
      </c>
      <c r="E52" s="125">
        <f>'项目总控台账'!I51</f>
        <v/>
      </c>
      <c r="F52" s="125">
        <f>'项目总控台账'!J51</f>
        <v/>
      </c>
      <c r="G52" s="124">
        <f>IF(B52="","",IF(OR(C52="",C52="/"),"缺少任务名称；","")&amp;IF(OR(D52="",D52="/"),"缺少有效主责人；","")&amp;IF(OR(E52="",E52&lt;DATE(2000,1,1)),"缺少有效计划开始；","")&amp;IF(OR(F52="",F52&lt;DATE(2000,1,1)),"缺少有效计划完成；","")&amp;IF('项目总控台账'!G51="","缺少总体状态；","")&amp;IF(AND(ISNUMBER(E52),ISNUMBER(F52),E52&gt;=DATE(2000,1,1),F52&gt;=DATE(2000,1,1),E52&gt;F52),"开始晚于完成；","")&amp;IF(AND('项目总控台账'!G51="已完成",'项目总控台账'!AB51&lt;1),"已完成但进度不足100%；",""))</f>
        <v/>
      </c>
      <c r="H52" s="124">
        <f>IF(B52="","",IF(G52="","通过","需整改"))</f>
        <v/>
      </c>
      <c r="I52" s="124">
        <f>IF(H52="需整改","回到项目总控台账第"&amp;J52&amp;"行补齐或修正","无需处理")</f>
        <v/>
      </c>
      <c r="J52" s="124" t="n">
        <v>51</v>
      </c>
    </row>
    <row r="53">
      <c r="A53" s="124" t="inlineStr">
        <is>
          <t>项目总控台账</t>
        </is>
      </c>
      <c r="B53" s="124">
        <f>'项目总控台账'!A52</f>
        <v/>
      </c>
      <c r="C53" s="124">
        <f>IF(AND('项目总控台账'!E52&lt;&gt;"",'项目总控台账'!E52&lt;&gt;"/"),'项目总控台账'!E52,IF(AND('项目总控台账'!D52&lt;&gt;"",'项目总控台账'!D52&lt;&gt;"/"),'项目总控台账'!D52,'项目总控台账'!C52))</f>
        <v/>
      </c>
      <c r="D53" s="124">
        <f>'项目总控台账'!H52</f>
        <v/>
      </c>
      <c r="E53" s="125">
        <f>'项目总控台账'!I52</f>
        <v/>
      </c>
      <c r="F53" s="125">
        <f>'项目总控台账'!J52</f>
        <v/>
      </c>
      <c r="G53" s="124">
        <f>IF(B53="","",IF(OR(C53="",C53="/"),"缺少任务名称；","")&amp;IF(OR(D53="",D53="/"),"缺少有效主责人；","")&amp;IF(OR(E53="",E53&lt;DATE(2000,1,1)),"缺少有效计划开始；","")&amp;IF(OR(F53="",F53&lt;DATE(2000,1,1)),"缺少有效计划完成；","")&amp;IF('项目总控台账'!G52="","缺少总体状态；","")&amp;IF(AND(ISNUMBER(E53),ISNUMBER(F53),E53&gt;=DATE(2000,1,1),F53&gt;=DATE(2000,1,1),E53&gt;F53),"开始晚于完成；","")&amp;IF(AND('项目总控台账'!G52="已完成",'项目总控台账'!AB52&lt;1),"已完成但进度不足100%；",""))</f>
        <v/>
      </c>
      <c r="H53" s="124">
        <f>IF(B53="","",IF(G53="","通过","需整改"))</f>
        <v/>
      </c>
      <c r="I53" s="124">
        <f>IF(H53="需整改","回到项目总控台账第"&amp;J53&amp;"行补齐或修正","无需处理")</f>
        <v/>
      </c>
      <c r="J53" s="124" t="n">
        <v>52</v>
      </c>
    </row>
    <row r="54">
      <c r="A54" s="124" t="inlineStr">
        <is>
          <t>项目总控台账</t>
        </is>
      </c>
      <c r="B54" s="124">
        <f>'项目总控台账'!A53</f>
        <v/>
      </c>
      <c r="C54" s="124">
        <f>IF(AND('项目总控台账'!E53&lt;&gt;"",'项目总控台账'!E53&lt;&gt;"/"),'项目总控台账'!E53,IF(AND('项目总控台账'!D53&lt;&gt;"",'项目总控台账'!D53&lt;&gt;"/"),'项目总控台账'!D53,'项目总控台账'!C53))</f>
        <v/>
      </c>
      <c r="D54" s="124">
        <f>'项目总控台账'!H53</f>
        <v/>
      </c>
      <c r="E54" s="125">
        <f>'项目总控台账'!I53</f>
        <v/>
      </c>
      <c r="F54" s="125">
        <f>'项目总控台账'!J53</f>
        <v/>
      </c>
      <c r="G54" s="124">
        <f>IF(B54="","",IF(OR(C54="",C54="/"),"缺少任务名称；","")&amp;IF(OR(D54="",D54="/"),"缺少有效主责人；","")&amp;IF(OR(E54="",E54&lt;DATE(2000,1,1)),"缺少有效计划开始；","")&amp;IF(OR(F54="",F54&lt;DATE(2000,1,1)),"缺少有效计划完成；","")&amp;IF('项目总控台账'!G53="","缺少总体状态；","")&amp;IF(AND(ISNUMBER(E54),ISNUMBER(F54),E54&gt;=DATE(2000,1,1),F54&gt;=DATE(2000,1,1),E54&gt;F54),"开始晚于完成；","")&amp;IF(AND('项目总控台账'!G53="已完成",'项目总控台账'!AB53&lt;1),"已完成但进度不足100%；",""))</f>
        <v/>
      </c>
      <c r="H54" s="124">
        <f>IF(B54="","",IF(G54="","通过","需整改"))</f>
        <v/>
      </c>
      <c r="I54" s="124">
        <f>IF(H54="需整改","回到项目总控台账第"&amp;J54&amp;"行补齐或修正","无需处理")</f>
        <v/>
      </c>
      <c r="J54" s="124" t="n">
        <v>53</v>
      </c>
    </row>
    <row r="55">
      <c r="A55" s="124" t="inlineStr">
        <is>
          <t>项目总控台账</t>
        </is>
      </c>
      <c r="B55" s="124">
        <f>'项目总控台账'!A54</f>
        <v/>
      </c>
      <c r="C55" s="124">
        <f>IF(AND('项目总控台账'!E54&lt;&gt;"",'项目总控台账'!E54&lt;&gt;"/"),'项目总控台账'!E54,IF(AND('项目总控台账'!D54&lt;&gt;"",'项目总控台账'!D54&lt;&gt;"/"),'项目总控台账'!D54,'项目总控台账'!C54))</f>
        <v/>
      </c>
      <c r="D55" s="124">
        <f>'项目总控台账'!H54</f>
        <v/>
      </c>
      <c r="E55" s="125">
        <f>'项目总控台账'!I54</f>
        <v/>
      </c>
      <c r="F55" s="125">
        <f>'项目总控台账'!J54</f>
        <v/>
      </c>
      <c r="G55" s="124">
        <f>IF(B55="","",IF(OR(C55="",C55="/"),"缺少任务名称；","")&amp;IF(OR(D55="",D55="/"),"缺少有效主责人；","")&amp;IF(OR(E55="",E55&lt;DATE(2000,1,1)),"缺少有效计划开始；","")&amp;IF(OR(F55="",F55&lt;DATE(2000,1,1)),"缺少有效计划完成；","")&amp;IF('项目总控台账'!G54="","缺少总体状态；","")&amp;IF(AND(ISNUMBER(E55),ISNUMBER(F55),E55&gt;=DATE(2000,1,1),F55&gt;=DATE(2000,1,1),E55&gt;F55),"开始晚于完成；","")&amp;IF(AND('项目总控台账'!G54="已完成",'项目总控台账'!AB54&lt;1),"已完成但进度不足100%；",""))</f>
        <v/>
      </c>
      <c r="H55" s="124">
        <f>IF(B55="","",IF(G55="","通过","需整改"))</f>
        <v/>
      </c>
      <c r="I55" s="124">
        <f>IF(H55="需整改","回到项目总控台账第"&amp;J55&amp;"行补齐或修正","无需处理")</f>
        <v/>
      </c>
      <c r="J55" s="124" t="n">
        <v>54</v>
      </c>
    </row>
    <row r="56">
      <c r="A56" s="124" t="inlineStr">
        <is>
          <t>项目总控台账</t>
        </is>
      </c>
      <c r="B56" s="124">
        <f>'项目总控台账'!A55</f>
        <v/>
      </c>
      <c r="C56" s="124">
        <f>IF(AND('项目总控台账'!E55&lt;&gt;"",'项目总控台账'!E55&lt;&gt;"/"),'项目总控台账'!E55,IF(AND('项目总控台账'!D55&lt;&gt;"",'项目总控台账'!D55&lt;&gt;"/"),'项目总控台账'!D55,'项目总控台账'!C55))</f>
        <v/>
      </c>
      <c r="D56" s="124">
        <f>'项目总控台账'!H55</f>
        <v/>
      </c>
      <c r="E56" s="125">
        <f>'项目总控台账'!I55</f>
        <v/>
      </c>
      <c r="F56" s="125">
        <f>'项目总控台账'!J55</f>
        <v/>
      </c>
      <c r="G56" s="124">
        <f>IF(B56="","",IF(OR(C56="",C56="/"),"缺少任务名称；","")&amp;IF(OR(D56="",D56="/"),"缺少有效主责人；","")&amp;IF(OR(E56="",E56&lt;DATE(2000,1,1)),"缺少有效计划开始；","")&amp;IF(OR(F56="",F56&lt;DATE(2000,1,1)),"缺少有效计划完成；","")&amp;IF('项目总控台账'!G55="","缺少总体状态；","")&amp;IF(AND(ISNUMBER(E56),ISNUMBER(F56),E56&gt;=DATE(2000,1,1),F56&gt;=DATE(2000,1,1),E56&gt;F56),"开始晚于完成；","")&amp;IF(AND('项目总控台账'!G55="已完成",'项目总控台账'!AB55&lt;1),"已完成但进度不足100%；",""))</f>
        <v/>
      </c>
      <c r="H56" s="124">
        <f>IF(B56="","",IF(G56="","通过","需整改"))</f>
        <v/>
      </c>
      <c r="I56" s="124">
        <f>IF(H56="需整改","回到项目总控台账第"&amp;J56&amp;"行补齐或修正","无需处理")</f>
        <v/>
      </c>
      <c r="J56" s="124" t="n">
        <v>55</v>
      </c>
    </row>
    <row r="57">
      <c r="A57" s="124" t="inlineStr">
        <is>
          <t>项目总控台账</t>
        </is>
      </c>
      <c r="B57" s="124">
        <f>'项目总控台账'!A56</f>
        <v/>
      </c>
      <c r="C57" s="124">
        <f>IF(AND('项目总控台账'!E56&lt;&gt;"",'项目总控台账'!E56&lt;&gt;"/"),'项目总控台账'!E56,IF(AND('项目总控台账'!D56&lt;&gt;"",'项目总控台账'!D56&lt;&gt;"/"),'项目总控台账'!D56,'项目总控台账'!C56))</f>
        <v/>
      </c>
      <c r="D57" s="124">
        <f>'项目总控台账'!H56</f>
        <v/>
      </c>
      <c r="E57" s="125">
        <f>'项目总控台账'!I56</f>
        <v/>
      </c>
      <c r="F57" s="125">
        <f>'项目总控台账'!J56</f>
        <v/>
      </c>
      <c r="G57" s="124">
        <f>IF(B57="","",IF(OR(C57="",C57="/"),"缺少任务名称；","")&amp;IF(OR(D57="",D57="/"),"缺少有效主责人；","")&amp;IF(OR(E57="",E57&lt;DATE(2000,1,1)),"缺少有效计划开始；","")&amp;IF(OR(F57="",F57&lt;DATE(2000,1,1)),"缺少有效计划完成；","")&amp;IF('项目总控台账'!G56="","缺少总体状态；","")&amp;IF(AND(ISNUMBER(E57),ISNUMBER(F57),E57&gt;=DATE(2000,1,1),F57&gt;=DATE(2000,1,1),E57&gt;F57),"开始晚于完成；","")&amp;IF(AND('项目总控台账'!G56="已完成",'项目总控台账'!AB56&lt;1),"已完成但进度不足100%；",""))</f>
        <v/>
      </c>
      <c r="H57" s="124">
        <f>IF(B57="","",IF(G57="","通过","需整改"))</f>
        <v/>
      </c>
      <c r="I57" s="124">
        <f>IF(H57="需整改","回到项目总控台账第"&amp;J57&amp;"行补齐或修正","无需处理")</f>
        <v/>
      </c>
      <c r="J57" s="124" t="n">
        <v>56</v>
      </c>
    </row>
    <row r="58">
      <c r="A58" s="124" t="inlineStr">
        <is>
          <t>项目总控台账</t>
        </is>
      </c>
      <c r="B58" s="124">
        <f>'项目总控台账'!A57</f>
        <v/>
      </c>
      <c r="C58" s="124">
        <f>IF(AND('项目总控台账'!E57&lt;&gt;"",'项目总控台账'!E57&lt;&gt;"/"),'项目总控台账'!E57,IF(AND('项目总控台账'!D57&lt;&gt;"",'项目总控台账'!D57&lt;&gt;"/"),'项目总控台账'!D57,'项目总控台账'!C57))</f>
        <v/>
      </c>
      <c r="D58" s="124">
        <f>'项目总控台账'!H57</f>
        <v/>
      </c>
      <c r="E58" s="125">
        <f>'项目总控台账'!I57</f>
        <v/>
      </c>
      <c r="F58" s="125">
        <f>'项目总控台账'!J57</f>
        <v/>
      </c>
      <c r="G58" s="124">
        <f>IF(B58="","",IF(OR(C58="",C58="/"),"缺少任务名称；","")&amp;IF(OR(D58="",D58="/"),"缺少有效主责人；","")&amp;IF(OR(E58="",E58&lt;DATE(2000,1,1)),"缺少有效计划开始；","")&amp;IF(OR(F58="",F58&lt;DATE(2000,1,1)),"缺少有效计划完成；","")&amp;IF('项目总控台账'!G57="","缺少总体状态；","")&amp;IF(AND(ISNUMBER(E58),ISNUMBER(F58),E58&gt;=DATE(2000,1,1),F58&gt;=DATE(2000,1,1),E58&gt;F58),"开始晚于完成；","")&amp;IF(AND('项目总控台账'!G57="已完成",'项目总控台账'!AB57&lt;1),"已完成但进度不足100%；",""))</f>
        <v/>
      </c>
      <c r="H58" s="124">
        <f>IF(B58="","",IF(G58="","通过","需整改"))</f>
        <v/>
      </c>
      <c r="I58" s="124">
        <f>IF(H58="需整改","回到项目总控台账第"&amp;J58&amp;"行补齐或修正","无需处理")</f>
        <v/>
      </c>
      <c r="J58" s="124" t="n">
        <v>57</v>
      </c>
    </row>
    <row r="59">
      <c r="A59" s="124" t="inlineStr">
        <is>
          <t>项目总控台账</t>
        </is>
      </c>
      <c r="B59" s="124">
        <f>'项目总控台账'!A58</f>
        <v/>
      </c>
      <c r="C59" s="124">
        <f>IF(AND('项目总控台账'!E58&lt;&gt;"",'项目总控台账'!E58&lt;&gt;"/"),'项目总控台账'!E58,IF(AND('项目总控台账'!D58&lt;&gt;"",'项目总控台账'!D58&lt;&gt;"/"),'项目总控台账'!D58,'项目总控台账'!C58))</f>
        <v/>
      </c>
      <c r="D59" s="124">
        <f>'项目总控台账'!H58</f>
        <v/>
      </c>
      <c r="E59" s="125">
        <f>'项目总控台账'!I58</f>
        <v/>
      </c>
      <c r="F59" s="125">
        <f>'项目总控台账'!J58</f>
        <v/>
      </c>
      <c r="G59" s="124">
        <f>IF(B59="","",IF(OR(C59="",C59="/"),"缺少任务名称；","")&amp;IF(OR(D59="",D59="/"),"缺少有效主责人；","")&amp;IF(OR(E59="",E59&lt;DATE(2000,1,1)),"缺少有效计划开始；","")&amp;IF(OR(F59="",F59&lt;DATE(2000,1,1)),"缺少有效计划完成；","")&amp;IF('项目总控台账'!G58="","缺少总体状态；","")&amp;IF(AND(ISNUMBER(E59),ISNUMBER(F59),E59&gt;=DATE(2000,1,1),F59&gt;=DATE(2000,1,1),E59&gt;F59),"开始晚于完成；","")&amp;IF(AND('项目总控台账'!G58="已完成",'项目总控台账'!AB58&lt;1),"已完成但进度不足100%；",""))</f>
        <v/>
      </c>
      <c r="H59" s="124">
        <f>IF(B59="","",IF(G59="","通过","需整改"))</f>
        <v/>
      </c>
      <c r="I59" s="124">
        <f>IF(H59="需整改","回到项目总控台账第"&amp;J59&amp;"行补齐或修正","无需处理")</f>
        <v/>
      </c>
      <c r="J59" s="124" t="n">
        <v>58</v>
      </c>
    </row>
    <row r="60">
      <c r="A60" s="124" t="inlineStr">
        <is>
          <t>项目总控台账</t>
        </is>
      </c>
      <c r="B60" s="124">
        <f>'项目总控台账'!A59</f>
        <v/>
      </c>
      <c r="C60" s="124">
        <f>IF(AND('项目总控台账'!E59&lt;&gt;"",'项目总控台账'!E59&lt;&gt;"/"),'项目总控台账'!E59,IF(AND('项目总控台账'!D59&lt;&gt;"",'项目总控台账'!D59&lt;&gt;"/"),'项目总控台账'!D59,'项目总控台账'!C59))</f>
        <v/>
      </c>
      <c r="D60" s="124">
        <f>'项目总控台账'!H59</f>
        <v/>
      </c>
      <c r="E60" s="125">
        <f>'项目总控台账'!I59</f>
        <v/>
      </c>
      <c r="F60" s="125">
        <f>'项目总控台账'!J59</f>
        <v/>
      </c>
      <c r="G60" s="124">
        <f>IF(B60="","",IF(OR(C60="",C60="/"),"缺少任务名称；","")&amp;IF(OR(D60="",D60="/"),"缺少有效主责人；","")&amp;IF(OR(E60="",E60&lt;DATE(2000,1,1)),"缺少有效计划开始；","")&amp;IF(OR(F60="",F60&lt;DATE(2000,1,1)),"缺少有效计划完成；","")&amp;IF('项目总控台账'!G59="","缺少总体状态；","")&amp;IF(AND(ISNUMBER(E60),ISNUMBER(F60),E60&gt;=DATE(2000,1,1),F60&gt;=DATE(2000,1,1),E60&gt;F60),"开始晚于完成；","")&amp;IF(AND('项目总控台账'!G59="已完成",'项目总控台账'!AB59&lt;1),"已完成但进度不足100%；",""))</f>
        <v/>
      </c>
      <c r="H60" s="124">
        <f>IF(B60="","",IF(G60="","通过","需整改"))</f>
        <v/>
      </c>
      <c r="I60" s="124">
        <f>IF(H60="需整改","回到项目总控台账第"&amp;J60&amp;"行补齐或修正","无需处理")</f>
        <v/>
      </c>
      <c r="J60" s="124" t="n">
        <v>59</v>
      </c>
    </row>
    <row r="61">
      <c r="A61" s="124" t="inlineStr">
        <is>
          <t>项目总控台账</t>
        </is>
      </c>
      <c r="B61" s="124">
        <f>'项目总控台账'!A60</f>
        <v/>
      </c>
      <c r="C61" s="124">
        <f>IF(AND('项目总控台账'!E60&lt;&gt;"",'项目总控台账'!E60&lt;&gt;"/"),'项目总控台账'!E60,IF(AND('项目总控台账'!D60&lt;&gt;"",'项目总控台账'!D60&lt;&gt;"/"),'项目总控台账'!D60,'项目总控台账'!C60))</f>
        <v/>
      </c>
      <c r="D61" s="124">
        <f>'项目总控台账'!H60</f>
        <v/>
      </c>
      <c r="E61" s="125">
        <f>'项目总控台账'!I60</f>
        <v/>
      </c>
      <c r="F61" s="125">
        <f>'项目总控台账'!J60</f>
        <v/>
      </c>
      <c r="G61" s="124">
        <f>IF(B61="","",IF(OR(C61="",C61="/"),"缺少任务名称；","")&amp;IF(OR(D61="",D61="/"),"缺少有效主责人；","")&amp;IF(OR(E61="",E61&lt;DATE(2000,1,1)),"缺少有效计划开始；","")&amp;IF(OR(F61="",F61&lt;DATE(2000,1,1)),"缺少有效计划完成；","")&amp;IF('项目总控台账'!G60="","缺少总体状态；","")&amp;IF(AND(ISNUMBER(E61),ISNUMBER(F61),E61&gt;=DATE(2000,1,1),F61&gt;=DATE(2000,1,1),E61&gt;F61),"开始晚于完成；","")&amp;IF(AND('项目总控台账'!G60="已完成",'项目总控台账'!AB60&lt;1),"已完成但进度不足100%；",""))</f>
        <v/>
      </c>
      <c r="H61" s="124">
        <f>IF(B61="","",IF(G61="","通过","需整改"))</f>
        <v/>
      </c>
      <c r="I61" s="124">
        <f>IF(H61="需整改","回到项目总控台账第"&amp;J61&amp;"行补齐或修正","无需处理")</f>
        <v/>
      </c>
      <c r="J61" s="124" t="n">
        <v>60</v>
      </c>
    </row>
    <row r="62">
      <c r="A62" s="124" t="inlineStr">
        <is>
          <t>项目总控台账</t>
        </is>
      </c>
      <c r="B62" s="124">
        <f>'项目总控台账'!A61</f>
        <v/>
      </c>
      <c r="C62" s="124">
        <f>IF(AND('项目总控台账'!E61&lt;&gt;"",'项目总控台账'!E61&lt;&gt;"/"),'项目总控台账'!E61,IF(AND('项目总控台账'!D61&lt;&gt;"",'项目总控台账'!D61&lt;&gt;"/"),'项目总控台账'!D61,'项目总控台账'!C61))</f>
        <v/>
      </c>
      <c r="D62" s="124">
        <f>'项目总控台账'!H61</f>
        <v/>
      </c>
      <c r="E62" s="125">
        <f>'项目总控台账'!I61</f>
        <v/>
      </c>
      <c r="F62" s="125">
        <f>'项目总控台账'!J61</f>
        <v/>
      </c>
      <c r="G62" s="124">
        <f>IF(B62="","",IF(OR(C62="",C62="/"),"缺少任务名称；","")&amp;IF(OR(D62="",D62="/"),"缺少有效主责人；","")&amp;IF(OR(E62="",E62&lt;DATE(2000,1,1)),"缺少有效计划开始；","")&amp;IF(OR(F62="",F62&lt;DATE(2000,1,1)),"缺少有效计划完成；","")&amp;IF('项目总控台账'!G61="","缺少总体状态；","")&amp;IF(AND(ISNUMBER(E62),ISNUMBER(F62),E62&gt;=DATE(2000,1,1),F62&gt;=DATE(2000,1,1),E62&gt;F62),"开始晚于完成；","")&amp;IF(AND('项目总控台账'!G61="已完成",'项目总控台账'!AB61&lt;1),"已完成但进度不足100%；",""))</f>
        <v/>
      </c>
      <c r="H62" s="124">
        <f>IF(B62="","",IF(G62="","通过","需整改"))</f>
        <v/>
      </c>
      <c r="I62" s="124">
        <f>IF(H62="需整改","回到项目总控台账第"&amp;J62&amp;"行补齐或修正","无需处理")</f>
        <v/>
      </c>
      <c r="J62" s="124" t="n">
        <v>61</v>
      </c>
    </row>
    <row r="63">
      <c r="A63" s="124" t="inlineStr">
        <is>
          <t>项目总控台账</t>
        </is>
      </c>
      <c r="B63" s="124">
        <f>'项目总控台账'!A62</f>
        <v/>
      </c>
      <c r="C63" s="124">
        <f>IF(AND('项目总控台账'!E62&lt;&gt;"",'项目总控台账'!E62&lt;&gt;"/"),'项目总控台账'!E62,IF(AND('项目总控台账'!D62&lt;&gt;"",'项目总控台账'!D62&lt;&gt;"/"),'项目总控台账'!D62,'项目总控台账'!C62))</f>
        <v/>
      </c>
      <c r="D63" s="124">
        <f>'项目总控台账'!H62</f>
        <v/>
      </c>
      <c r="E63" s="125">
        <f>'项目总控台账'!I62</f>
        <v/>
      </c>
      <c r="F63" s="125">
        <f>'项目总控台账'!J62</f>
        <v/>
      </c>
      <c r="G63" s="124">
        <f>IF(B63="","",IF(OR(C63="",C63="/"),"缺少任务名称；","")&amp;IF(OR(D63="",D63="/"),"缺少有效主责人；","")&amp;IF(OR(E63="",E63&lt;DATE(2000,1,1)),"缺少有效计划开始；","")&amp;IF(OR(F63="",F63&lt;DATE(2000,1,1)),"缺少有效计划完成；","")&amp;IF('项目总控台账'!G62="","缺少总体状态；","")&amp;IF(AND(ISNUMBER(E63),ISNUMBER(F63),E63&gt;=DATE(2000,1,1),F63&gt;=DATE(2000,1,1),E63&gt;F63),"开始晚于完成；","")&amp;IF(AND('项目总控台账'!G62="已完成",'项目总控台账'!AB62&lt;1),"已完成但进度不足100%；",""))</f>
        <v/>
      </c>
      <c r="H63" s="124">
        <f>IF(B63="","",IF(G63="","通过","需整改"))</f>
        <v/>
      </c>
      <c r="I63" s="124">
        <f>IF(H63="需整改","回到项目总控台账第"&amp;J63&amp;"行补齐或修正","无需处理")</f>
        <v/>
      </c>
      <c r="J63" s="124" t="n">
        <v>62</v>
      </c>
    </row>
    <row r="64">
      <c r="A64" s="124" t="inlineStr">
        <is>
          <t>项目总控台账</t>
        </is>
      </c>
      <c r="B64" s="124">
        <f>'项目总控台账'!A63</f>
        <v/>
      </c>
      <c r="C64" s="124">
        <f>IF(AND('项目总控台账'!E63&lt;&gt;"",'项目总控台账'!E63&lt;&gt;"/"),'项目总控台账'!E63,IF(AND('项目总控台账'!D63&lt;&gt;"",'项目总控台账'!D63&lt;&gt;"/"),'项目总控台账'!D63,'项目总控台账'!C63))</f>
        <v/>
      </c>
      <c r="D64" s="124">
        <f>'项目总控台账'!H63</f>
        <v/>
      </c>
      <c r="E64" s="125">
        <f>'项目总控台账'!I63</f>
        <v/>
      </c>
      <c r="F64" s="125">
        <f>'项目总控台账'!J63</f>
        <v/>
      </c>
      <c r="G64" s="124">
        <f>IF(B64="","",IF(OR(C64="",C64="/"),"缺少任务名称；","")&amp;IF(OR(D64="",D64="/"),"缺少有效主责人；","")&amp;IF(OR(E64="",E64&lt;DATE(2000,1,1)),"缺少有效计划开始；","")&amp;IF(OR(F64="",F64&lt;DATE(2000,1,1)),"缺少有效计划完成；","")&amp;IF('项目总控台账'!G63="","缺少总体状态；","")&amp;IF(AND(ISNUMBER(E64),ISNUMBER(F64),E64&gt;=DATE(2000,1,1),F64&gt;=DATE(2000,1,1),E64&gt;F64),"开始晚于完成；","")&amp;IF(AND('项目总控台账'!G63="已完成",'项目总控台账'!AB63&lt;1),"已完成但进度不足100%；",""))</f>
        <v/>
      </c>
      <c r="H64" s="124">
        <f>IF(B64="","",IF(G64="","通过","需整改"))</f>
        <v/>
      </c>
      <c r="I64" s="124">
        <f>IF(H64="需整改","回到项目总控台账第"&amp;J64&amp;"行补齐或修正","无需处理")</f>
        <v/>
      </c>
      <c r="J64" s="124" t="n">
        <v>63</v>
      </c>
    </row>
    <row r="65">
      <c r="A65" s="124" t="inlineStr">
        <is>
          <t>项目总控台账</t>
        </is>
      </c>
      <c r="B65" s="124">
        <f>'项目总控台账'!A64</f>
        <v/>
      </c>
      <c r="C65" s="124">
        <f>IF(AND('项目总控台账'!E64&lt;&gt;"",'项目总控台账'!E64&lt;&gt;"/"),'项目总控台账'!E64,IF(AND('项目总控台账'!D64&lt;&gt;"",'项目总控台账'!D64&lt;&gt;"/"),'项目总控台账'!D64,'项目总控台账'!C64))</f>
        <v/>
      </c>
      <c r="D65" s="124">
        <f>'项目总控台账'!H64</f>
        <v/>
      </c>
      <c r="E65" s="125">
        <f>'项目总控台账'!I64</f>
        <v/>
      </c>
      <c r="F65" s="125">
        <f>'项目总控台账'!J64</f>
        <v/>
      </c>
      <c r="G65" s="124">
        <f>IF(B65="","",IF(OR(C65="",C65="/"),"缺少任务名称；","")&amp;IF(OR(D65="",D65="/"),"缺少有效主责人；","")&amp;IF(OR(E65="",E65&lt;DATE(2000,1,1)),"缺少有效计划开始；","")&amp;IF(OR(F65="",F65&lt;DATE(2000,1,1)),"缺少有效计划完成；","")&amp;IF('项目总控台账'!G64="","缺少总体状态；","")&amp;IF(AND(ISNUMBER(E65),ISNUMBER(F65),E65&gt;=DATE(2000,1,1),F65&gt;=DATE(2000,1,1),E65&gt;F65),"开始晚于完成；","")&amp;IF(AND('项目总控台账'!G64="已完成",'项目总控台账'!AB64&lt;1),"已完成但进度不足100%；",""))</f>
        <v/>
      </c>
      <c r="H65" s="124">
        <f>IF(B65="","",IF(G65="","通过","需整改"))</f>
        <v/>
      </c>
      <c r="I65" s="124">
        <f>IF(H65="需整改","回到项目总控台账第"&amp;J65&amp;"行补齐或修正","无需处理")</f>
        <v/>
      </c>
      <c r="J65" s="124" t="n">
        <v>64</v>
      </c>
    </row>
    <row r="66">
      <c r="A66" s="124" t="inlineStr">
        <is>
          <t>项目总控台账</t>
        </is>
      </c>
      <c r="B66" s="124">
        <f>'项目总控台账'!A65</f>
        <v/>
      </c>
      <c r="C66" s="124">
        <f>IF(AND('项目总控台账'!E65&lt;&gt;"",'项目总控台账'!E65&lt;&gt;"/"),'项目总控台账'!E65,IF(AND('项目总控台账'!D65&lt;&gt;"",'项目总控台账'!D65&lt;&gt;"/"),'项目总控台账'!D65,'项目总控台账'!C65))</f>
        <v/>
      </c>
      <c r="D66" s="124">
        <f>'项目总控台账'!H65</f>
        <v/>
      </c>
      <c r="E66" s="125">
        <f>'项目总控台账'!I65</f>
        <v/>
      </c>
      <c r="F66" s="125">
        <f>'项目总控台账'!J65</f>
        <v/>
      </c>
      <c r="G66" s="124">
        <f>IF(B66="","",IF(OR(C66="",C66="/"),"缺少任务名称；","")&amp;IF(OR(D66="",D66="/"),"缺少有效主责人；","")&amp;IF(OR(E66="",E66&lt;DATE(2000,1,1)),"缺少有效计划开始；","")&amp;IF(OR(F66="",F66&lt;DATE(2000,1,1)),"缺少有效计划完成；","")&amp;IF('项目总控台账'!G65="","缺少总体状态；","")&amp;IF(AND(ISNUMBER(E66),ISNUMBER(F66),E66&gt;=DATE(2000,1,1),F66&gt;=DATE(2000,1,1),E66&gt;F66),"开始晚于完成；","")&amp;IF(AND('项目总控台账'!G65="已完成",'项目总控台账'!AB65&lt;1),"已完成但进度不足100%；",""))</f>
        <v/>
      </c>
      <c r="H66" s="124">
        <f>IF(B66="","",IF(G66="","通过","需整改"))</f>
        <v/>
      </c>
      <c r="I66" s="124">
        <f>IF(H66="需整改","回到项目总控台账第"&amp;J66&amp;"行补齐或修正","无需处理")</f>
        <v/>
      </c>
      <c r="J66" s="124" t="n">
        <v>65</v>
      </c>
    </row>
    <row r="67">
      <c r="A67" s="124" t="inlineStr">
        <is>
          <t>项目总控台账</t>
        </is>
      </c>
      <c r="B67" s="124">
        <f>'项目总控台账'!A66</f>
        <v/>
      </c>
      <c r="C67" s="124">
        <f>IF(AND('项目总控台账'!E66&lt;&gt;"",'项目总控台账'!E66&lt;&gt;"/"),'项目总控台账'!E66,IF(AND('项目总控台账'!D66&lt;&gt;"",'项目总控台账'!D66&lt;&gt;"/"),'项目总控台账'!D66,'项目总控台账'!C66))</f>
        <v/>
      </c>
      <c r="D67" s="124">
        <f>'项目总控台账'!H66</f>
        <v/>
      </c>
      <c r="E67" s="125">
        <f>'项目总控台账'!I66</f>
        <v/>
      </c>
      <c r="F67" s="125">
        <f>'项目总控台账'!J66</f>
        <v/>
      </c>
      <c r="G67" s="124">
        <f>IF(B67="","",IF(OR(C67="",C67="/"),"缺少任务名称；","")&amp;IF(OR(D67="",D67="/"),"缺少有效主责人；","")&amp;IF(OR(E67="",E67&lt;DATE(2000,1,1)),"缺少有效计划开始；","")&amp;IF(OR(F67="",F67&lt;DATE(2000,1,1)),"缺少有效计划完成；","")&amp;IF('项目总控台账'!G66="","缺少总体状态；","")&amp;IF(AND(ISNUMBER(E67),ISNUMBER(F67),E67&gt;=DATE(2000,1,1),F67&gt;=DATE(2000,1,1),E67&gt;F67),"开始晚于完成；","")&amp;IF(AND('项目总控台账'!G66="已完成",'项目总控台账'!AB66&lt;1),"已完成但进度不足100%；",""))</f>
        <v/>
      </c>
      <c r="H67" s="124">
        <f>IF(B67="","",IF(G67="","通过","需整改"))</f>
        <v/>
      </c>
      <c r="I67" s="124">
        <f>IF(H67="需整改","回到项目总控台账第"&amp;J67&amp;"行补齐或修正","无需处理")</f>
        <v/>
      </c>
      <c r="J67" s="124" t="n">
        <v>66</v>
      </c>
    </row>
    <row r="68">
      <c r="A68" s="124" t="inlineStr">
        <is>
          <t>项目总控台账</t>
        </is>
      </c>
      <c r="B68" s="124">
        <f>'项目总控台账'!A67</f>
        <v/>
      </c>
      <c r="C68" s="124">
        <f>IF(AND('项目总控台账'!E67&lt;&gt;"",'项目总控台账'!E67&lt;&gt;"/"),'项目总控台账'!E67,IF(AND('项目总控台账'!D67&lt;&gt;"",'项目总控台账'!D67&lt;&gt;"/"),'项目总控台账'!D67,'项目总控台账'!C67))</f>
        <v/>
      </c>
      <c r="D68" s="124">
        <f>'项目总控台账'!H67</f>
        <v/>
      </c>
      <c r="E68" s="125">
        <f>'项目总控台账'!I67</f>
        <v/>
      </c>
      <c r="F68" s="125">
        <f>'项目总控台账'!J67</f>
        <v/>
      </c>
      <c r="G68" s="124">
        <f>IF(B68="","",IF(OR(C68="",C68="/"),"缺少任务名称；","")&amp;IF(OR(D68="",D68="/"),"缺少有效主责人；","")&amp;IF(OR(E68="",E68&lt;DATE(2000,1,1)),"缺少有效计划开始；","")&amp;IF(OR(F68="",F68&lt;DATE(2000,1,1)),"缺少有效计划完成；","")&amp;IF('项目总控台账'!G67="","缺少总体状态；","")&amp;IF(AND(ISNUMBER(E68),ISNUMBER(F68),E68&gt;=DATE(2000,1,1),F68&gt;=DATE(2000,1,1),E68&gt;F68),"开始晚于完成；","")&amp;IF(AND('项目总控台账'!G67="已完成",'项目总控台账'!AB67&lt;1),"已完成但进度不足100%；",""))</f>
        <v/>
      </c>
      <c r="H68" s="124">
        <f>IF(B68="","",IF(G68="","通过","需整改"))</f>
        <v/>
      </c>
      <c r="I68" s="124">
        <f>IF(H68="需整改","回到项目总控台账第"&amp;J68&amp;"行补齐或修正","无需处理")</f>
        <v/>
      </c>
      <c r="J68" s="124" t="n">
        <v>67</v>
      </c>
    </row>
    <row r="69">
      <c r="A69" s="124" t="inlineStr">
        <is>
          <t>项目总控台账</t>
        </is>
      </c>
      <c r="B69" s="124">
        <f>'项目总控台账'!A68</f>
        <v/>
      </c>
      <c r="C69" s="124">
        <f>IF(AND('项目总控台账'!E68&lt;&gt;"",'项目总控台账'!E68&lt;&gt;"/"),'项目总控台账'!E68,IF(AND('项目总控台账'!D68&lt;&gt;"",'项目总控台账'!D68&lt;&gt;"/"),'项目总控台账'!D68,'项目总控台账'!C68))</f>
        <v/>
      </c>
      <c r="D69" s="124">
        <f>'项目总控台账'!H68</f>
        <v/>
      </c>
      <c r="E69" s="125">
        <f>'项目总控台账'!I68</f>
        <v/>
      </c>
      <c r="F69" s="125">
        <f>'项目总控台账'!J68</f>
        <v/>
      </c>
      <c r="G69" s="124">
        <f>IF(B69="","",IF(OR(C69="",C69="/"),"缺少任务名称；","")&amp;IF(OR(D69="",D69="/"),"缺少有效主责人；","")&amp;IF(OR(E69="",E69&lt;DATE(2000,1,1)),"缺少有效计划开始；","")&amp;IF(OR(F69="",F69&lt;DATE(2000,1,1)),"缺少有效计划完成；","")&amp;IF('项目总控台账'!G68="","缺少总体状态；","")&amp;IF(AND(ISNUMBER(E69),ISNUMBER(F69),E69&gt;=DATE(2000,1,1),F69&gt;=DATE(2000,1,1),E69&gt;F69),"开始晚于完成；","")&amp;IF(AND('项目总控台账'!G68="已完成",'项目总控台账'!AB68&lt;1),"已完成但进度不足100%；",""))</f>
        <v/>
      </c>
      <c r="H69" s="124">
        <f>IF(B69="","",IF(G69="","通过","需整改"))</f>
        <v/>
      </c>
      <c r="I69" s="124">
        <f>IF(H69="需整改","回到项目总控台账第"&amp;J69&amp;"行补齐或修正","无需处理")</f>
        <v/>
      </c>
      <c r="J69" s="124" t="n">
        <v>68</v>
      </c>
    </row>
    <row r="70">
      <c r="A70" s="124" t="inlineStr">
        <is>
          <t>项目总控台账</t>
        </is>
      </c>
      <c r="B70" s="124">
        <f>'项目总控台账'!A69</f>
        <v/>
      </c>
      <c r="C70" s="124">
        <f>IF(AND('项目总控台账'!E69&lt;&gt;"",'项目总控台账'!E69&lt;&gt;"/"),'项目总控台账'!E69,IF(AND('项目总控台账'!D69&lt;&gt;"",'项目总控台账'!D69&lt;&gt;"/"),'项目总控台账'!D69,'项目总控台账'!C69))</f>
        <v/>
      </c>
      <c r="D70" s="124">
        <f>'项目总控台账'!H69</f>
        <v/>
      </c>
      <c r="E70" s="125">
        <f>'项目总控台账'!I69</f>
        <v/>
      </c>
      <c r="F70" s="125">
        <f>'项目总控台账'!J69</f>
        <v/>
      </c>
      <c r="G70" s="124">
        <f>IF(B70="","",IF(OR(C70="",C70="/"),"缺少任务名称；","")&amp;IF(OR(D70="",D70="/"),"缺少有效主责人；","")&amp;IF(OR(E70="",E70&lt;DATE(2000,1,1)),"缺少有效计划开始；","")&amp;IF(OR(F70="",F70&lt;DATE(2000,1,1)),"缺少有效计划完成；","")&amp;IF('项目总控台账'!G69="","缺少总体状态；","")&amp;IF(AND(ISNUMBER(E70),ISNUMBER(F70),E70&gt;=DATE(2000,1,1),F70&gt;=DATE(2000,1,1),E70&gt;F70),"开始晚于完成；","")&amp;IF(AND('项目总控台账'!G69="已完成",'项目总控台账'!AB69&lt;1),"已完成但进度不足100%；",""))</f>
        <v/>
      </c>
      <c r="H70" s="124">
        <f>IF(B70="","",IF(G70="","通过","需整改"))</f>
        <v/>
      </c>
      <c r="I70" s="124">
        <f>IF(H70="需整改","回到项目总控台账第"&amp;J70&amp;"行补齐或修正","无需处理")</f>
        <v/>
      </c>
      <c r="J70" s="124" t="n">
        <v>69</v>
      </c>
    </row>
    <row r="71">
      <c r="A71" s="124" t="inlineStr">
        <is>
          <t>项目总控台账</t>
        </is>
      </c>
      <c r="B71" s="124">
        <f>'项目总控台账'!A70</f>
        <v/>
      </c>
      <c r="C71" s="124">
        <f>IF(AND('项目总控台账'!E70&lt;&gt;"",'项目总控台账'!E70&lt;&gt;"/"),'项目总控台账'!E70,IF(AND('项目总控台账'!D70&lt;&gt;"",'项目总控台账'!D70&lt;&gt;"/"),'项目总控台账'!D70,'项目总控台账'!C70))</f>
        <v/>
      </c>
      <c r="D71" s="124">
        <f>'项目总控台账'!H70</f>
        <v/>
      </c>
      <c r="E71" s="125">
        <f>'项目总控台账'!I70</f>
        <v/>
      </c>
      <c r="F71" s="125">
        <f>'项目总控台账'!J70</f>
        <v/>
      </c>
      <c r="G71" s="124">
        <f>IF(B71="","",IF(OR(C71="",C71="/"),"缺少任务名称；","")&amp;IF(OR(D71="",D71="/"),"缺少有效主责人；","")&amp;IF(OR(E71="",E71&lt;DATE(2000,1,1)),"缺少有效计划开始；","")&amp;IF(OR(F71="",F71&lt;DATE(2000,1,1)),"缺少有效计划完成；","")&amp;IF('项目总控台账'!G70="","缺少总体状态；","")&amp;IF(AND(ISNUMBER(E71),ISNUMBER(F71),E71&gt;=DATE(2000,1,1),F71&gt;=DATE(2000,1,1),E71&gt;F71),"开始晚于完成；","")&amp;IF(AND('项目总控台账'!G70="已完成",'项目总控台账'!AB70&lt;1),"已完成但进度不足100%；",""))</f>
        <v/>
      </c>
      <c r="H71" s="124">
        <f>IF(B71="","",IF(G71="","通过","需整改"))</f>
        <v/>
      </c>
      <c r="I71" s="124">
        <f>IF(H71="需整改","回到项目总控台账第"&amp;J71&amp;"行补齐或修正","无需处理")</f>
        <v/>
      </c>
      <c r="J71" s="124" t="n">
        <v>70</v>
      </c>
    </row>
    <row r="72">
      <c r="A72" s="124" t="inlineStr">
        <is>
          <t>项目总控台账</t>
        </is>
      </c>
      <c r="B72" s="124">
        <f>'项目总控台账'!A71</f>
        <v/>
      </c>
      <c r="C72" s="124">
        <f>IF(AND('项目总控台账'!E71&lt;&gt;"",'项目总控台账'!E71&lt;&gt;"/"),'项目总控台账'!E71,IF(AND('项目总控台账'!D71&lt;&gt;"",'项目总控台账'!D71&lt;&gt;"/"),'项目总控台账'!D71,'项目总控台账'!C71))</f>
        <v/>
      </c>
      <c r="D72" s="124">
        <f>'项目总控台账'!H71</f>
        <v/>
      </c>
      <c r="E72" s="125">
        <f>'项目总控台账'!I71</f>
        <v/>
      </c>
      <c r="F72" s="125">
        <f>'项目总控台账'!J71</f>
        <v/>
      </c>
      <c r="G72" s="124">
        <f>IF(B72="","",IF(OR(C72="",C72="/"),"缺少任务名称；","")&amp;IF(OR(D72="",D72="/"),"缺少有效主责人；","")&amp;IF(OR(E72="",E72&lt;DATE(2000,1,1)),"缺少有效计划开始；","")&amp;IF(OR(F72="",F72&lt;DATE(2000,1,1)),"缺少有效计划完成；","")&amp;IF('项目总控台账'!G71="","缺少总体状态；","")&amp;IF(AND(ISNUMBER(E72),ISNUMBER(F72),E72&gt;=DATE(2000,1,1),F72&gt;=DATE(2000,1,1),E72&gt;F72),"开始晚于完成；","")&amp;IF(AND('项目总控台账'!G71="已完成",'项目总控台账'!AB71&lt;1),"已完成但进度不足100%；",""))</f>
        <v/>
      </c>
      <c r="H72" s="124">
        <f>IF(B72="","",IF(G72="","通过","需整改"))</f>
        <v/>
      </c>
      <c r="I72" s="124">
        <f>IF(H72="需整改","回到项目总控台账第"&amp;J72&amp;"行补齐或修正","无需处理")</f>
        <v/>
      </c>
      <c r="J72" s="124" t="n">
        <v>71</v>
      </c>
    </row>
    <row r="73">
      <c r="A73" s="124" t="inlineStr">
        <is>
          <t>项目总控台账</t>
        </is>
      </c>
      <c r="B73" s="124">
        <f>'项目总控台账'!A72</f>
        <v/>
      </c>
      <c r="C73" s="124">
        <f>IF(AND('项目总控台账'!E72&lt;&gt;"",'项目总控台账'!E72&lt;&gt;"/"),'项目总控台账'!E72,IF(AND('项目总控台账'!D72&lt;&gt;"",'项目总控台账'!D72&lt;&gt;"/"),'项目总控台账'!D72,'项目总控台账'!C72))</f>
        <v/>
      </c>
      <c r="D73" s="124">
        <f>'项目总控台账'!H72</f>
        <v/>
      </c>
      <c r="E73" s="125">
        <f>'项目总控台账'!I72</f>
        <v/>
      </c>
      <c r="F73" s="125">
        <f>'项目总控台账'!J72</f>
        <v/>
      </c>
      <c r="G73" s="124">
        <f>IF(B73="","",IF(OR(C73="",C73="/"),"缺少任务名称；","")&amp;IF(OR(D73="",D73="/"),"缺少有效主责人；","")&amp;IF(OR(E73="",E73&lt;DATE(2000,1,1)),"缺少有效计划开始；","")&amp;IF(OR(F73="",F73&lt;DATE(2000,1,1)),"缺少有效计划完成；","")&amp;IF('项目总控台账'!G72="","缺少总体状态；","")&amp;IF(AND(ISNUMBER(E73),ISNUMBER(F73),E73&gt;=DATE(2000,1,1),F73&gt;=DATE(2000,1,1),E73&gt;F73),"开始晚于完成；","")&amp;IF(AND('项目总控台账'!G72="已完成",'项目总控台账'!AB72&lt;1),"已完成但进度不足100%；",""))</f>
        <v/>
      </c>
      <c r="H73" s="124">
        <f>IF(B73="","",IF(G73="","通过","需整改"))</f>
        <v/>
      </c>
      <c r="I73" s="124">
        <f>IF(H73="需整改","回到项目总控台账第"&amp;J73&amp;"行补齐或修正","无需处理")</f>
        <v/>
      </c>
      <c r="J73" s="124" t="n">
        <v>72</v>
      </c>
    </row>
    <row r="74">
      <c r="A74" s="124" t="inlineStr">
        <is>
          <t>项目总控台账</t>
        </is>
      </c>
      <c r="B74" s="124">
        <f>'项目总控台账'!A73</f>
        <v/>
      </c>
      <c r="C74" s="124">
        <f>IF(AND('项目总控台账'!E73&lt;&gt;"",'项目总控台账'!E73&lt;&gt;"/"),'项目总控台账'!E73,IF(AND('项目总控台账'!D73&lt;&gt;"",'项目总控台账'!D73&lt;&gt;"/"),'项目总控台账'!D73,'项目总控台账'!C73))</f>
        <v/>
      </c>
      <c r="D74" s="124">
        <f>'项目总控台账'!H73</f>
        <v/>
      </c>
      <c r="E74" s="125">
        <f>'项目总控台账'!I73</f>
        <v/>
      </c>
      <c r="F74" s="125">
        <f>'项目总控台账'!J73</f>
        <v/>
      </c>
      <c r="G74" s="124">
        <f>IF(B74="","",IF(OR(C74="",C74="/"),"缺少任务名称；","")&amp;IF(OR(D74="",D74="/"),"缺少有效主责人；","")&amp;IF(OR(E74="",E74&lt;DATE(2000,1,1)),"缺少有效计划开始；","")&amp;IF(OR(F74="",F74&lt;DATE(2000,1,1)),"缺少有效计划完成；","")&amp;IF('项目总控台账'!G73="","缺少总体状态；","")&amp;IF(AND(ISNUMBER(E74),ISNUMBER(F74),E74&gt;=DATE(2000,1,1),F74&gt;=DATE(2000,1,1),E74&gt;F74),"开始晚于完成；","")&amp;IF(AND('项目总控台账'!G73="已完成",'项目总控台账'!AB73&lt;1),"已完成但进度不足100%；",""))</f>
        <v/>
      </c>
      <c r="H74" s="124">
        <f>IF(B74="","",IF(G74="","通过","需整改"))</f>
        <v/>
      </c>
      <c r="I74" s="124">
        <f>IF(H74="需整改","回到项目总控台账第"&amp;J74&amp;"行补齐或修正","无需处理")</f>
        <v/>
      </c>
      <c r="J74" s="124" t="n">
        <v>73</v>
      </c>
    </row>
    <row r="75">
      <c r="A75" s="124" t="inlineStr">
        <is>
          <t>项目总控台账</t>
        </is>
      </c>
      <c r="B75" s="124">
        <f>'项目总控台账'!A74</f>
        <v/>
      </c>
      <c r="C75" s="124">
        <f>IF(AND('项目总控台账'!E74&lt;&gt;"",'项目总控台账'!E74&lt;&gt;"/"),'项目总控台账'!E74,IF(AND('项目总控台账'!D74&lt;&gt;"",'项目总控台账'!D74&lt;&gt;"/"),'项目总控台账'!D74,'项目总控台账'!C74))</f>
        <v/>
      </c>
      <c r="D75" s="124">
        <f>'项目总控台账'!H74</f>
        <v/>
      </c>
      <c r="E75" s="125">
        <f>'项目总控台账'!I74</f>
        <v/>
      </c>
      <c r="F75" s="125">
        <f>'项目总控台账'!J74</f>
        <v/>
      </c>
      <c r="G75" s="124">
        <f>IF(B75="","",IF(OR(C75="",C75="/"),"缺少任务名称；","")&amp;IF(OR(D75="",D75="/"),"缺少有效主责人；","")&amp;IF(OR(E75="",E75&lt;DATE(2000,1,1)),"缺少有效计划开始；","")&amp;IF(OR(F75="",F75&lt;DATE(2000,1,1)),"缺少有效计划完成；","")&amp;IF('项目总控台账'!G74="","缺少总体状态；","")&amp;IF(AND(ISNUMBER(E75),ISNUMBER(F75),E75&gt;=DATE(2000,1,1),F75&gt;=DATE(2000,1,1),E75&gt;F75),"开始晚于完成；","")&amp;IF(AND('项目总控台账'!G74="已完成",'项目总控台账'!AB74&lt;1),"已完成但进度不足100%；",""))</f>
        <v/>
      </c>
      <c r="H75" s="124">
        <f>IF(B75="","",IF(G75="","通过","需整改"))</f>
        <v/>
      </c>
      <c r="I75" s="124">
        <f>IF(H75="需整改","回到项目总控台账第"&amp;J75&amp;"行补齐或修正","无需处理")</f>
        <v/>
      </c>
      <c r="J75" s="124" t="n">
        <v>74</v>
      </c>
    </row>
    <row r="76">
      <c r="A76" s="124" t="inlineStr">
        <is>
          <t>项目总控台账</t>
        </is>
      </c>
      <c r="B76" s="124">
        <f>'项目总控台账'!A75</f>
        <v/>
      </c>
      <c r="C76" s="124">
        <f>IF(AND('项目总控台账'!E75&lt;&gt;"",'项目总控台账'!E75&lt;&gt;"/"),'项目总控台账'!E75,IF(AND('项目总控台账'!D75&lt;&gt;"",'项目总控台账'!D75&lt;&gt;"/"),'项目总控台账'!D75,'项目总控台账'!C75))</f>
        <v/>
      </c>
      <c r="D76" s="124">
        <f>'项目总控台账'!H75</f>
        <v/>
      </c>
      <c r="E76" s="125">
        <f>'项目总控台账'!I75</f>
        <v/>
      </c>
      <c r="F76" s="125">
        <f>'项目总控台账'!J75</f>
        <v/>
      </c>
      <c r="G76" s="124">
        <f>IF(B76="","",IF(OR(C76="",C76="/"),"缺少任务名称；","")&amp;IF(OR(D76="",D76="/"),"缺少有效主责人；","")&amp;IF(OR(E76="",E76&lt;DATE(2000,1,1)),"缺少有效计划开始；","")&amp;IF(OR(F76="",F76&lt;DATE(2000,1,1)),"缺少有效计划完成；","")&amp;IF('项目总控台账'!G75="","缺少总体状态；","")&amp;IF(AND(ISNUMBER(E76),ISNUMBER(F76),E76&gt;=DATE(2000,1,1),F76&gt;=DATE(2000,1,1),E76&gt;F76),"开始晚于完成；","")&amp;IF(AND('项目总控台账'!G75="已完成",'项目总控台账'!AB75&lt;1),"已完成但进度不足100%；",""))</f>
        <v/>
      </c>
      <c r="H76" s="124">
        <f>IF(B76="","",IF(G76="","通过","需整改"))</f>
        <v/>
      </c>
      <c r="I76" s="124">
        <f>IF(H76="需整改","回到项目总控台账第"&amp;J76&amp;"行补齐或修正","无需处理")</f>
        <v/>
      </c>
      <c r="J76" s="124" t="n">
        <v>75</v>
      </c>
    </row>
    <row r="77">
      <c r="A77" s="124" t="inlineStr">
        <is>
          <t>项目总控台账</t>
        </is>
      </c>
      <c r="B77" s="124">
        <f>'项目总控台账'!A76</f>
        <v/>
      </c>
      <c r="C77" s="124">
        <f>IF(AND('项目总控台账'!E76&lt;&gt;"",'项目总控台账'!E76&lt;&gt;"/"),'项目总控台账'!E76,IF(AND('项目总控台账'!D76&lt;&gt;"",'项目总控台账'!D76&lt;&gt;"/"),'项目总控台账'!D76,'项目总控台账'!C76))</f>
        <v/>
      </c>
      <c r="D77" s="124">
        <f>'项目总控台账'!H76</f>
        <v/>
      </c>
      <c r="E77" s="125">
        <f>'项目总控台账'!I76</f>
        <v/>
      </c>
      <c r="F77" s="125">
        <f>'项目总控台账'!J76</f>
        <v/>
      </c>
      <c r="G77" s="124">
        <f>IF(B77="","",IF(OR(C77="",C77="/"),"缺少任务名称；","")&amp;IF(OR(D77="",D77="/"),"缺少有效主责人；","")&amp;IF(OR(E77="",E77&lt;DATE(2000,1,1)),"缺少有效计划开始；","")&amp;IF(OR(F77="",F77&lt;DATE(2000,1,1)),"缺少有效计划完成；","")&amp;IF('项目总控台账'!G76="","缺少总体状态；","")&amp;IF(AND(ISNUMBER(E77),ISNUMBER(F77),E77&gt;=DATE(2000,1,1),F77&gt;=DATE(2000,1,1),E77&gt;F77),"开始晚于完成；","")&amp;IF(AND('项目总控台账'!G76="已完成",'项目总控台账'!AB76&lt;1),"已完成但进度不足100%；",""))</f>
        <v/>
      </c>
      <c r="H77" s="124">
        <f>IF(B77="","",IF(G77="","通过","需整改"))</f>
        <v/>
      </c>
      <c r="I77" s="124">
        <f>IF(H77="需整改","回到项目总控台账第"&amp;J77&amp;"行补齐或修正","无需处理")</f>
        <v/>
      </c>
      <c r="J77" s="124" t="n">
        <v>76</v>
      </c>
    </row>
    <row r="78">
      <c r="A78" s="124" t="inlineStr">
        <is>
          <t>项目总控台账</t>
        </is>
      </c>
      <c r="B78" s="124">
        <f>'项目总控台账'!A77</f>
        <v/>
      </c>
      <c r="C78" s="124">
        <f>IF(AND('项目总控台账'!E77&lt;&gt;"",'项目总控台账'!E77&lt;&gt;"/"),'项目总控台账'!E77,IF(AND('项目总控台账'!D77&lt;&gt;"",'项目总控台账'!D77&lt;&gt;"/"),'项目总控台账'!D77,'项目总控台账'!C77))</f>
        <v/>
      </c>
      <c r="D78" s="124">
        <f>'项目总控台账'!H77</f>
        <v/>
      </c>
      <c r="E78" s="125">
        <f>'项目总控台账'!I77</f>
        <v/>
      </c>
      <c r="F78" s="125">
        <f>'项目总控台账'!J77</f>
        <v/>
      </c>
      <c r="G78" s="124">
        <f>IF(B78="","",IF(OR(C78="",C78="/"),"缺少任务名称；","")&amp;IF(OR(D78="",D78="/"),"缺少有效主责人；","")&amp;IF(OR(E78="",E78&lt;DATE(2000,1,1)),"缺少有效计划开始；","")&amp;IF(OR(F78="",F78&lt;DATE(2000,1,1)),"缺少有效计划完成；","")&amp;IF('项目总控台账'!G77="","缺少总体状态；","")&amp;IF(AND(ISNUMBER(E78),ISNUMBER(F78),E78&gt;=DATE(2000,1,1),F78&gt;=DATE(2000,1,1),E78&gt;F78),"开始晚于完成；","")&amp;IF(AND('项目总控台账'!G77="已完成",'项目总控台账'!AB77&lt;1),"已完成但进度不足100%；",""))</f>
        <v/>
      </c>
      <c r="H78" s="124">
        <f>IF(B78="","",IF(G78="","通过","需整改"))</f>
        <v/>
      </c>
      <c r="I78" s="124">
        <f>IF(H78="需整改","回到项目总控台账第"&amp;J78&amp;"行补齐或修正","无需处理")</f>
        <v/>
      </c>
      <c r="J78" s="124" t="n">
        <v>77</v>
      </c>
    </row>
    <row r="79">
      <c r="A79" s="124" t="inlineStr">
        <is>
          <t>项目总控台账</t>
        </is>
      </c>
      <c r="B79" s="124">
        <f>'项目总控台账'!A78</f>
        <v/>
      </c>
      <c r="C79" s="124">
        <f>IF(AND('项目总控台账'!E78&lt;&gt;"",'项目总控台账'!E78&lt;&gt;"/"),'项目总控台账'!E78,IF(AND('项目总控台账'!D78&lt;&gt;"",'项目总控台账'!D78&lt;&gt;"/"),'项目总控台账'!D78,'项目总控台账'!C78))</f>
        <v/>
      </c>
      <c r="D79" s="124">
        <f>'项目总控台账'!H78</f>
        <v/>
      </c>
      <c r="E79" s="125">
        <f>'项目总控台账'!I78</f>
        <v/>
      </c>
      <c r="F79" s="125">
        <f>'项目总控台账'!J78</f>
        <v/>
      </c>
      <c r="G79" s="124">
        <f>IF(B79="","",IF(OR(C79="",C79="/"),"缺少任务名称；","")&amp;IF(OR(D79="",D79="/"),"缺少有效主责人；","")&amp;IF(OR(E79="",E79&lt;DATE(2000,1,1)),"缺少有效计划开始；","")&amp;IF(OR(F79="",F79&lt;DATE(2000,1,1)),"缺少有效计划完成；","")&amp;IF('项目总控台账'!G78="","缺少总体状态；","")&amp;IF(AND(ISNUMBER(E79),ISNUMBER(F79),E79&gt;=DATE(2000,1,1),F79&gt;=DATE(2000,1,1),E79&gt;F79),"开始晚于完成；","")&amp;IF(AND('项目总控台账'!G78="已完成",'项目总控台账'!AB78&lt;1),"已完成但进度不足100%；",""))</f>
        <v/>
      </c>
      <c r="H79" s="124">
        <f>IF(B79="","",IF(G79="","通过","需整改"))</f>
        <v/>
      </c>
      <c r="I79" s="124">
        <f>IF(H79="需整改","回到项目总控台账第"&amp;J79&amp;"行补齐或修正","无需处理")</f>
        <v/>
      </c>
      <c r="J79" s="124" t="n">
        <v>78</v>
      </c>
    </row>
    <row r="80">
      <c r="A80" s="124" t="inlineStr">
        <is>
          <t>项目总控台账</t>
        </is>
      </c>
      <c r="B80" s="124">
        <f>'项目总控台账'!A79</f>
        <v/>
      </c>
      <c r="C80" s="124">
        <f>IF(AND('项目总控台账'!E79&lt;&gt;"",'项目总控台账'!E79&lt;&gt;"/"),'项目总控台账'!E79,IF(AND('项目总控台账'!D79&lt;&gt;"",'项目总控台账'!D79&lt;&gt;"/"),'项目总控台账'!D79,'项目总控台账'!C79))</f>
        <v/>
      </c>
      <c r="D80" s="124">
        <f>'项目总控台账'!H79</f>
        <v/>
      </c>
      <c r="E80" s="125">
        <f>'项目总控台账'!I79</f>
        <v/>
      </c>
      <c r="F80" s="125">
        <f>'项目总控台账'!J79</f>
        <v/>
      </c>
      <c r="G80" s="124">
        <f>IF(B80="","",IF(OR(C80="",C80="/"),"缺少任务名称；","")&amp;IF(OR(D80="",D80="/"),"缺少有效主责人；","")&amp;IF(OR(E80="",E80&lt;DATE(2000,1,1)),"缺少有效计划开始；","")&amp;IF(OR(F80="",F80&lt;DATE(2000,1,1)),"缺少有效计划完成；","")&amp;IF('项目总控台账'!G79="","缺少总体状态；","")&amp;IF(AND(ISNUMBER(E80),ISNUMBER(F80),E80&gt;=DATE(2000,1,1),F80&gt;=DATE(2000,1,1),E80&gt;F80),"开始晚于完成；","")&amp;IF(AND('项目总控台账'!G79="已完成",'项目总控台账'!AB79&lt;1),"已完成但进度不足100%；",""))</f>
        <v/>
      </c>
      <c r="H80" s="124">
        <f>IF(B80="","",IF(G80="","通过","需整改"))</f>
        <v/>
      </c>
      <c r="I80" s="124">
        <f>IF(H80="需整改","回到项目总控台账第"&amp;J80&amp;"行补齐或修正","无需处理")</f>
        <v/>
      </c>
      <c r="J80" s="124" t="n">
        <v>79</v>
      </c>
    </row>
    <row r="81">
      <c r="A81" s="124" t="inlineStr">
        <is>
          <t>项目总控台账</t>
        </is>
      </c>
      <c r="B81" s="124">
        <f>'项目总控台账'!A80</f>
        <v/>
      </c>
      <c r="C81" s="124">
        <f>IF(AND('项目总控台账'!E80&lt;&gt;"",'项目总控台账'!E80&lt;&gt;"/"),'项目总控台账'!E80,IF(AND('项目总控台账'!D80&lt;&gt;"",'项目总控台账'!D80&lt;&gt;"/"),'项目总控台账'!D80,'项目总控台账'!C80))</f>
        <v/>
      </c>
      <c r="D81" s="124">
        <f>'项目总控台账'!H80</f>
        <v/>
      </c>
      <c r="E81" s="125">
        <f>'项目总控台账'!I80</f>
        <v/>
      </c>
      <c r="F81" s="125">
        <f>'项目总控台账'!J80</f>
        <v/>
      </c>
      <c r="G81" s="124">
        <f>IF(B81="","",IF(OR(C81="",C81="/"),"缺少任务名称；","")&amp;IF(OR(D81="",D81="/"),"缺少有效主责人；","")&amp;IF(OR(E81="",E81&lt;DATE(2000,1,1)),"缺少有效计划开始；","")&amp;IF(OR(F81="",F81&lt;DATE(2000,1,1)),"缺少有效计划完成；","")&amp;IF('项目总控台账'!G80="","缺少总体状态；","")&amp;IF(AND(ISNUMBER(E81),ISNUMBER(F81),E81&gt;=DATE(2000,1,1),F81&gt;=DATE(2000,1,1),E81&gt;F81),"开始晚于完成；","")&amp;IF(AND('项目总控台账'!G80="已完成",'项目总控台账'!AB80&lt;1),"已完成但进度不足100%；",""))</f>
        <v/>
      </c>
      <c r="H81" s="124">
        <f>IF(B81="","",IF(G81="","通过","需整改"))</f>
        <v/>
      </c>
      <c r="I81" s="124">
        <f>IF(H81="需整改","回到项目总控台账第"&amp;J81&amp;"行补齐或修正","无需处理")</f>
        <v/>
      </c>
      <c r="J81" s="124" t="n">
        <v>80</v>
      </c>
    </row>
    <row r="82">
      <c r="A82" s="124" t="inlineStr">
        <is>
          <t>项目总控台账</t>
        </is>
      </c>
      <c r="B82" s="124">
        <f>'项目总控台账'!A81</f>
        <v/>
      </c>
      <c r="C82" s="124">
        <f>IF(AND('项目总控台账'!E81&lt;&gt;"",'项目总控台账'!E81&lt;&gt;"/"),'项目总控台账'!E81,IF(AND('项目总控台账'!D81&lt;&gt;"",'项目总控台账'!D81&lt;&gt;"/"),'项目总控台账'!D81,'项目总控台账'!C81))</f>
        <v/>
      </c>
      <c r="D82" s="124">
        <f>'项目总控台账'!H81</f>
        <v/>
      </c>
      <c r="E82" s="125">
        <f>'项目总控台账'!I81</f>
        <v/>
      </c>
      <c r="F82" s="125">
        <f>'项目总控台账'!J81</f>
        <v/>
      </c>
      <c r="G82" s="124">
        <f>IF(B82="","",IF(OR(C82="",C82="/"),"缺少任务名称；","")&amp;IF(OR(D82="",D82="/"),"缺少有效主责人；","")&amp;IF(OR(E82="",E82&lt;DATE(2000,1,1)),"缺少有效计划开始；","")&amp;IF(OR(F82="",F82&lt;DATE(2000,1,1)),"缺少有效计划完成；","")&amp;IF('项目总控台账'!G81="","缺少总体状态；","")&amp;IF(AND(ISNUMBER(E82),ISNUMBER(F82),E82&gt;=DATE(2000,1,1),F82&gt;=DATE(2000,1,1),E82&gt;F82),"开始晚于完成；","")&amp;IF(AND('项目总控台账'!G81="已完成",'项目总控台账'!AB81&lt;1),"已完成但进度不足100%；",""))</f>
        <v/>
      </c>
      <c r="H82" s="124">
        <f>IF(B82="","",IF(G82="","通过","需整改"))</f>
        <v/>
      </c>
      <c r="I82" s="124">
        <f>IF(H82="需整改","回到项目总控台账第"&amp;J82&amp;"行补齐或修正","无需处理")</f>
        <v/>
      </c>
      <c r="J82" s="124" t="n">
        <v>81</v>
      </c>
    </row>
    <row r="83">
      <c r="A83" s="124" t="inlineStr">
        <is>
          <t>项目总控台账</t>
        </is>
      </c>
      <c r="B83" s="124">
        <f>'项目总控台账'!A82</f>
        <v/>
      </c>
      <c r="C83" s="124">
        <f>IF(AND('项目总控台账'!E82&lt;&gt;"",'项目总控台账'!E82&lt;&gt;"/"),'项目总控台账'!E82,IF(AND('项目总控台账'!D82&lt;&gt;"",'项目总控台账'!D82&lt;&gt;"/"),'项目总控台账'!D82,'项目总控台账'!C82))</f>
        <v/>
      </c>
      <c r="D83" s="124">
        <f>'项目总控台账'!H82</f>
        <v/>
      </c>
      <c r="E83" s="125">
        <f>'项目总控台账'!I82</f>
        <v/>
      </c>
      <c r="F83" s="125">
        <f>'项目总控台账'!J82</f>
        <v/>
      </c>
      <c r="G83" s="124">
        <f>IF(B83="","",IF(OR(C83="",C83="/"),"缺少任务名称；","")&amp;IF(OR(D83="",D83="/"),"缺少有效主责人；","")&amp;IF(OR(E83="",E83&lt;DATE(2000,1,1)),"缺少有效计划开始；","")&amp;IF(OR(F83="",F83&lt;DATE(2000,1,1)),"缺少有效计划完成；","")&amp;IF('项目总控台账'!G82="","缺少总体状态；","")&amp;IF(AND(ISNUMBER(E83),ISNUMBER(F83),E83&gt;=DATE(2000,1,1),F83&gt;=DATE(2000,1,1),E83&gt;F83),"开始晚于完成；","")&amp;IF(AND('项目总控台账'!G82="已完成",'项目总控台账'!AB82&lt;1),"已完成但进度不足100%；",""))</f>
        <v/>
      </c>
      <c r="H83" s="124">
        <f>IF(B83="","",IF(G83="","通过","需整改"))</f>
        <v/>
      </c>
      <c r="I83" s="124">
        <f>IF(H83="需整改","回到项目总控台账第"&amp;J83&amp;"行补齐或修正","无需处理")</f>
        <v/>
      </c>
      <c r="J83" s="124" t="n">
        <v>82</v>
      </c>
    </row>
    <row r="84">
      <c r="A84" s="124" t="inlineStr">
        <is>
          <t>项目总控台账</t>
        </is>
      </c>
      <c r="B84" s="124">
        <f>'项目总控台账'!A83</f>
        <v/>
      </c>
      <c r="C84" s="124">
        <f>IF(AND('项目总控台账'!E83&lt;&gt;"",'项目总控台账'!E83&lt;&gt;"/"),'项目总控台账'!E83,IF(AND('项目总控台账'!D83&lt;&gt;"",'项目总控台账'!D83&lt;&gt;"/"),'项目总控台账'!D83,'项目总控台账'!C83))</f>
        <v/>
      </c>
      <c r="D84" s="124">
        <f>'项目总控台账'!H83</f>
        <v/>
      </c>
      <c r="E84" s="125">
        <f>'项目总控台账'!I83</f>
        <v/>
      </c>
      <c r="F84" s="125">
        <f>'项目总控台账'!J83</f>
        <v/>
      </c>
      <c r="G84" s="124">
        <f>IF(B84="","",IF(OR(C84="",C84="/"),"缺少任务名称；","")&amp;IF(OR(D84="",D84="/"),"缺少有效主责人；","")&amp;IF(OR(E84="",E84&lt;DATE(2000,1,1)),"缺少有效计划开始；","")&amp;IF(OR(F84="",F84&lt;DATE(2000,1,1)),"缺少有效计划完成；","")&amp;IF('项目总控台账'!G83="","缺少总体状态；","")&amp;IF(AND(ISNUMBER(E84),ISNUMBER(F84),E84&gt;=DATE(2000,1,1),F84&gt;=DATE(2000,1,1),E84&gt;F84),"开始晚于完成；","")&amp;IF(AND('项目总控台账'!G83="已完成",'项目总控台账'!AB83&lt;1),"已完成但进度不足100%；",""))</f>
        <v/>
      </c>
      <c r="H84" s="124">
        <f>IF(B84="","",IF(G84="","通过","需整改"))</f>
        <v/>
      </c>
      <c r="I84" s="124">
        <f>IF(H84="需整改","回到项目总控台账第"&amp;J84&amp;"行补齐或修正","无需处理")</f>
        <v/>
      </c>
      <c r="J84" s="124" t="n">
        <v>83</v>
      </c>
    </row>
    <row r="85">
      <c r="A85" s="124" t="inlineStr">
        <is>
          <t>项目总控台账</t>
        </is>
      </c>
      <c r="B85" s="124">
        <f>'项目总控台账'!A84</f>
        <v/>
      </c>
      <c r="C85" s="124">
        <f>IF(AND('项目总控台账'!E84&lt;&gt;"",'项目总控台账'!E84&lt;&gt;"/"),'项目总控台账'!E84,IF(AND('项目总控台账'!D84&lt;&gt;"",'项目总控台账'!D84&lt;&gt;"/"),'项目总控台账'!D84,'项目总控台账'!C84))</f>
        <v/>
      </c>
      <c r="D85" s="124">
        <f>'项目总控台账'!H84</f>
        <v/>
      </c>
      <c r="E85" s="125">
        <f>'项目总控台账'!I84</f>
        <v/>
      </c>
      <c r="F85" s="125">
        <f>'项目总控台账'!J84</f>
        <v/>
      </c>
      <c r="G85" s="124">
        <f>IF(B85="","",IF(OR(C85="",C85="/"),"缺少任务名称；","")&amp;IF(OR(D85="",D85="/"),"缺少有效主责人；","")&amp;IF(OR(E85="",E85&lt;DATE(2000,1,1)),"缺少有效计划开始；","")&amp;IF(OR(F85="",F85&lt;DATE(2000,1,1)),"缺少有效计划完成；","")&amp;IF('项目总控台账'!G84="","缺少总体状态；","")&amp;IF(AND(ISNUMBER(E85),ISNUMBER(F85),E85&gt;=DATE(2000,1,1),F85&gt;=DATE(2000,1,1),E85&gt;F85),"开始晚于完成；","")&amp;IF(AND('项目总控台账'!G84="已完成",'项目总控台账'!AB84&lt;1),"已完成但进度不足100%；",""))</f>
        <v/>
      </c>
      <c r="H85" s="124">
        <f>IF(B85="","",IF(G85="","通过","需整改"))</f>
        <v/>
      </c>
      <c r="I85" s="124">
        <f>IF(H85="需整改","回到项目总控台账第"&amp;J85&amp;"行补齐或修正","无需处理")</f>
        <v/>
      </c>
      <c r="J85" s="124" t="n">
        <v>84</v>
      </c>
    </row>
    <row r="86">
      <c r="A86" s="124" t="inlineStr">
        <is>
          <t>项目总控台账</t>
        </is>
      </c>
      <c r="B86" s="124">
        <f>'项目总控台账'!A85</f>
        <v/>
      </c>
      <c r="C86" s="124">
        <f>IF(AND('项目总控台账'!E85&lt;&gt;"",'项目总控台账'!E85&lt;&gt;"/"),'项目总控台账'!E85,IF(AND('项目总控台账'!D85&lt;&gt;"",'项目总控台账'!D85&lt;&gt;"/"),'项目总控台账'!D85,'项目总控台账'!C85))</f>
        <v/>
      </c>
      <c r="D86" s="124">
        <f>'项目总控台账'!H85</f>
        <v/>
      </c>
      <c r="E86" s="125">
        <f>'项目总控台账'!I85</f>
        <v/>
      </c>
      <c r="F86" s="125">
        <f>'项目总控台账'!J85</f>
        <v/>
      </c>
      <c r="G86" s="124">
        <f>IF(B86="","",IF(OR(C86="",C86="/"),"缺少任务名称；","")&amp;IF(OR(D86="",D86="/"),"缺少有效主责人；","")&amp;IF(OR(E86="",E86&lt;DATE(2000,1,1)),"缺少有效计划开始；","")&amp;IF(OR(F86="",F86&lt;DATE(2000,1,1)),"缺少有效计划完成；","")&amp;IF('项目总控台账'!G85="","缺少总体状态；","")&amp;IF(AND(ISNUMBER(E86),ISNUMBER(F86),E86&gt;=DATE(2000,1,1),F86&gt;=DATE(2000,1,1),E86&gt;F86),"开始晚于完成；","")&amp;IF(AND('项目总控台账'!G85="已完成",'项目总控台账'!AB85&lt;1),"已完成但进度不足100%；",""))</f>
        <v/>
      </c>
      <c r="H86" s="124">
        <f>IF(B86="","",IF(G86="","通过","需整改"))</f>
        <v/>
      </c>
      <c r="I86" s="124">
        <f>IF(H86="需整改","回到项目总控台账第"&amp;J86&amp;"行补齐或修正","无需处理")</f>
        <v/>
      </c>
      <c r="J86" s="124" t="n">
        <v>85</v>
      </c>
    </row>
    <row r="87">
      <c r="A87" s="124" t="inlineStr">
        <is>
          <t>项目总控台账</t>
        </is>
      </c>
      <c r="B87" s="124">
        <f>'项目总控台账'!A86</f>
        <v/>
      </c>
      <c r="C87" s="124">
        <f>IF(AND('项目总控台账'!E86&lt;&gt;"",'项目总控台账'!E86&lt;&gt;"/"),'项目总控台账'!E86,IF(AND('项目总控台账'!D86&lt;&gt;"",'项目总控台账'!D86&lt;&gt;"/"),'项目总控台账'!D86,'项目总控台账'!C86))</f>
        <v/>
      </c>
      <c r="D87" s="124">
        <f>'项目总控台账'!H86</f>
        <v/>
      </c>
      <c r="E87" s="125">
        <f>'项目总控台账'!I86</f>
        <v/>
      </c>
      <c r="F87" s="125">
        <f>'项目总控台账'!J86</f>
        <v/>
      </c>
      <c r="G87" s="124">
        <f>IF(B87="","",IF(OR(C87="",C87="/"),"缺少任务名称；","")&amp;IF(OR(D87="",D87="/"),"缺少有效主责人；","")&amp;IF(OR(E87="",E87&lt;DATE(2000,1,1)),"缺少有效计划开始；","")&amp;IF(OR(F87="",F87&lt;DATE(2000,1,1)),"缺少有效计划完成；","")&amp;IF('项目总控台账'!G86="","缺少总体状态；","")&amp;IF(AND(ISNUMBER(E87),ISNUMBER(F87),E87&gt;=DATE(2000,1,1),F87&gt;=DATE(2000,1,1),E87&gt;F87),"开始晚于完成；","")&amp;IF(AND('项目总控台账'!G86="已完成",'项目总控台账'!AB86&lt;1),"已完成但进度不足100%；",""))</f>
        <v/>
      </c>
      <c r="H87" s="124">
        <f>IF(B87="","",IF(G87="","通过","需整改"))</f>
        <v/>
      </c>
      <c r="I87" s="124">
        <f>IF(H87="需整改","回到项目总控台账第"&amp;J87&amp;"行补齐或修正","无需处理")</f>
        <v/>
      </c>
      <c r="J87" s="124" t="n">
        <v>86</v>
      </c>
    </row>
    <row r="88">
      <c r="A88" s="124" t="inlineStr">
        <is>
          <t>项目总控台账</t>
        </is>
      </c>
      <c r="B88" s="124">
        <f>'项目总控台账'!A87</f>
        <v/>
      </c>
      <c r="C88" s="124">
        <f>IF(AND('项目总控台账'!E87&lt;&gt;"",'项目总控台账'!E87&lt;&gt;"/"),'项目总控台账'!E87,IF(AND('项目总控台账'!D87&lt;&gt;"",'项目总控台账'!D87&lt;&gt;"/"),'项目总控台账'!D87,'项目总控台账'!C87))</f>
        <v/>
      </c>
      <c r="D88" s="124">
        <f>'项目总控台账'!H87</f>
        <v/>
      </c>
      <c r="E88" s="125">
        <f>'项目总控台账'!I87</f>
        <v/>
      </c>
      <c r="F88" s="125">
        <f>'项目总控台账'!J87</f>
        <v/>
      </c>
      <c r="G88" s="124">
        <f>IF(B88="","",IF(OR(C88="",C88="/"),"缺少任务名称；","")&amp;IF(OR(D88="",D88="/"),"缺少有效主责人；","")&amp;IF(OR(E88="",E88&lt;DATE(2000,1,1)),"缺少有效计划开始；","")&amp;IF(OR(F88="",F88&lt;DATE(2000,1,1)),"缺少有效计划完成；","")&amp;IF('项目总控台账'!G87="","缺少总体状态；","")&amp;IF(AND(ISNUMBER(E88),ISNUMBER(F88),E88&gt;=DATE(2000,1,1),F88&gt;=DATE(2000,1,1),E88&gt;F88),"开始晚于完成；","")&amp;IF(AND('项目总控台账'!G87="已完成",'项目总控台账'!AB87&lt;1),"已完成但进度不足100%；",""))</f>
        <v/>
      </c>
      <c r="H88" s="124">
        <f>IF(B88="","",IF(G88="","通过","需整改"))</f>
        <v/>
      </c>
      <c r="I88" s="124">
        <f>IF(H88="需整改","回到项目总控台账第"&amp;J88&amp;"行补齐或修正","无需处理")</f>
        <v/>
      </c>
      <c r="J88" s="124" t="n">
        <v>87</v>
      </c>
    </row>
    <row r="89">
      <c r="A89" s="124" t="inlineStr">
        <is>
          <t>项目总控台账</t>
        </is>
      </c>
      <c r="B89" s="124">
        <f>'项目总控台账'!A88</f>
        <v/>
      </c>
      <c r="C89" s="124">
        <f>IF(AND('项目总控台账'!E88&lt;&gt;"",'项目总控台账'!E88&lt;&gt;"/"),'项目总控台账'!E88,IF(AND('项目总控台账'!D88&lt;&gt;"",'项目总控台账'!D88&lt;&gt;"/"),'项目总控台账'!D88,'项目总控台账'!C88))</f>
        <v/>
      </c>
      <c r="D89" s="124">
        <f>'项目总控台账'!H88</f>
        <v/>
      </c>
      <c r="E89" s="125">
        <f>'项目总控台账'!I88</f>
        <v/>
      </c>
      <c r="F89" s="125">
        <f>'项目总控台账'!J88</f>
        <v/>
      </c>
      <c r="G89" s="124">
        <f>IF(B89="","",IF(OR(C89="",C89="/"),"缺少任务名称；","")&amp;IF(OR(D89="",D89="/"),"缺少有效主责人；","")&amp;IF(OR(E89="",E89&lt;DATE(2000,1,1)),"缺少有效计划开始；","")&amp;IF(OR(F89="",F89&lt;DATE(2000,1,1)),"缺少有效计划完成；","")&amp;IF('项目总控台账'!G88="","缺少总体状态；","")&amp;IF(AND(ISNUMBER(E89),ISNUMBER(F89),E89&gt;=DATE(2000,1,1),F89&gt;=DATE(2000,1,1),E89&gt;F89),"开始晚于完成；","")&amp;IF(AND('项目总控台账'!G88="已完成",'项目总控台账'!AB88&lt;1),"已完成但进度不足100%；",""))</f>
        <v/>
      </c>
      <c r="H89" s="124">
        <f>IF(B89="","",IF(G89="","通过","需整改"))</f>
        <v/>
      </c>
      <c r="I89" s="124">
        <f>IF(H89="需整改","回到项目总控台账第"&amp;J89&amp;"行补齐或修正","无需处理")</f>
        <v/>
      </c>
      <c r="J89" s="124" t="n">
        <v>88</v>
      </c>
    </row>
    <row r="90">
      <c r="A90" s="124" t="inlineStr">
        <is>
          <t>项目总控台账</t>
        </is>
      </c>
      <c r="B90" s="124">
        <f>'项目总控台账'!A89</f>
        <v/>
      </c>
      <c r="C90" s="124">
        <f>IF(AND('项目总控台账'!E89&lt;&gt;"",'项目总控台账'!E89&lt;&gt;"/"),'项目总控台账'!E89,IF(AND('项目总控台账'!D89&lt;&gt;"",'项目总控台账'!D89&lt;&gt;"/"),'项目总控台账'!D89,'项目总控台账'!C89))</f>
        <v/>
      </c>
      <c r="D90" s="124">
        <f>'项目总控台账'!H89</f>
        <v/>
      </c>
      <c r="E90" s="125">
        <f>'项目总控台账'!I89</f>
        <v/>
      </c>
      <c r="F90" s="125">
        <f>'项目总控台账'!J89</f>
        <v/>
      </c>
      <c r="G90" s="124">
        <f>IF(B90="","",IF(OR(C90="",C90="/"),"缺少任务名称；","")&amp;IF(OR(D90="",D90="/"),"缺少有效主责人；","")&amp;IF(OR(E90="",E90&lt;DATE(2000,1,1)),"缺少有效计划开始；","")&amp;IF(OR(F90="",F90&lt;DATE(2000,1,1)),"缺少有效计划完成；","")&amp;IF('项目总控台账'!G89="","缺少总体状态；","")&amp;IF(AND(ISNUMBER(E90),ISNUMBER(F90),E90&gt;=DATE(2000,1,1),F90&gt;=DATE(2000,1,1),E90&gt;F90),"开始晚于完成；","")&amp;IF(AND('项目总控台账'!G89="已完成",'项目总控台账'!AB89&lt;1),"已完成但进度不足100%；",""))</f>
        <v/>
      </c>
      <c r="H90" s="124">
        <f>IF(B90="","",IF(G90="","通过","需整改"))</f>
        <v/>
      </c>
      <c r="I90" s="124">
        <f>IF(H90="需整改","回到项目总控台账第"&amp;J90&amp;"行补齐或修正","无需处理")</f>
        <v/>
      </c>
      <c r="J90" s="124" t="n">
        <v>89</v>
      </c>
    </row>
    <row r="91">
      <c r="A91" s="124" t="inlineStr">
        <is>
          <t>项目总控台账</t>
        </is>
      </c>
      <c r="B91" s="124">
        <f>'项目总控台账'!A90</f>
        <v/>
      </c>
      <c r="C91" s="124">
        <f>IF(AND('项目总控台账'!E90&lt;&gt;"",'项目总控台账'!E90&lt;&gt;"/"),'项目总控台账'!E90,IF(AND('项目总控台账'!D90&lt;&gt;"",'项目总控台账'!D90&lt;&gt;"/"),'项目总控台账'!D90,'项目总控台账'!C90))</f>
        <v/>
      </c>
      <c r="D91" s="124">
        <f>'项目总控台账'!H90</f>
        <v/>
      </c>
      <c r="E91" s="125">
        <f>'项目总控台账'!I90</f>
        <v/>
      </c>
      <c r="F91" s="125">
        <f>'项目总控台账'!J90</f>
        <v/>
      </c>
      <c r="G91" s="124">
        <f>IF(B91="","",IF(OR(C91="",C91="/"),"缺少任务名称；","")&amp;IF(OR(D91="",D91="/"),"缺少有效主责人；","")&amp;IF(OR(E91="",E91&lt;DATE(2000,1,1)),"缺少有效计划开始；","")&amp;IF(OR(F91="",F91&lt;DATE(2000,1,1)),"缺少有效计划完成；","")&amp;IF('项目总控台账'!G90="","缺少总体状态；","")&amp;IF(AND(ISNUMBER(E91),ISNUMBER(F91),E91&gt;=DATE(2000,1,1),F91&gt;=DATE(2000,1,1),E91&gt;F91),"开始晚于完成；","")&amp;IF(AND('项目总控台账'!G90="已完成",'项目总控台账'!AB90&lt;1),"已完成但进度不足100%；",""))</f>
        <v/>
      </c>
      <c r="H91" s="124">
        <f>IF(B91="","",IF(G91="","通过","需整改"))</f>
        <v/>
      </c>
      <c r="I91" s="124">
        <f>IF(H91="需整改","回到项目总控台账第"&amp;J91&amp;"行补齐或修正","无需处理")</f>
        <v/>
      </c>
      <c r="J91" s="124" t="n">
        <v>90</v>
      </c>
    </row>
    <row r="92">
      <c r="A92" s="124" t="inlineStr">
        <is>
          <t>项目总控台账</t>
        </is>
      </c>
      <c r="B92" s="124">
        <f>'项目总控台账'!A91</f>
        <v/>
      </c>
      <c r="C92" s="124">
        <f>IF(AND('项目总控台账'!E91&lt;&gt;"",'项目总控台账'!E91&lt;&gt;"/"),'项目总控台账'!E91,IF(AND('项目总控台账'!D91&lt;&gt;"",'项目总控台账'!D91&lt;&gt;"/"),'项目总控台账'!D91,'项目总控台账'!C91))</f>
        <v/>
      </c>
      <c r="D92" s="124">
        <f>'项目总控台账'!H91</f>
        <v/>
      </c>
      <c r="E92" s="125">
        <f>'项目总控台账'!I91</f>
        <v/>
      </c>
      <c r="F92" s="125">
        <f>'项目总控台账'!J91</f>
        <v/>
      </c>
      <c r="G92" s="124">
        <f>IF(B92="","",IF(OR(C92="",C92="/"),"缺少任务名称；","")&amp;IF(OR(D92="",D92="/"),"缺少有效主责人；","")&amp;IF(OR(E92="",E92&lt;DATE(2000,1,1)),"缺少有效计划开始；","")&amp;IF(OR(F92="",F92&lt;DATE(2000,1,1)),"缺少有效计划完成；","")&amp;IF('项目总控台账'!G91="","缺少总体状态；","")&amp;IF(AND(ISNUMBER(E92),ISNUMBER(F92),E92&gt;=DATE(2000,1,1),F92&gt;=DATE(2000,1,1),E92&gt;F92),"开始晚于完成；","")&amp;IF(AND('项目总控台账'!G91="已完成",'项目总控台账'!AB91&lt;1),"已完成但进度不足100%；",""))</f>
        <v/>
      </c>
      <c r="H92" s="124">
        <f>IF(B92="","",IF(G92="","通过","需整改"))</f>
        <v/>
      </c>
      <c r="I92" s="124">
        <f>IF(H92="需整改","回到项目总控台账第"&amp;J92&amp;"行补齐或修正","无需处理")</f>
        <v/>
      </c>
      <c r="J92" s="124" t="n">
        <v>91</v>
      </c>
    </row>
    <row r="93">
      <c r="A93" s="124" t="inlineStr">
        <is>
          <t>项目总控台账</t>
        </is>
      </c>
      <c r="B93" s="124">
        <f>'项目总控台账'!A92</f>
        <v/>
      </c>
      <c r="C93" s="124">
        <f>IF(AND('项目总控台账'!E92&lt;&gt;"",'项目总控台账'!E92&lt;&gt;"/"),'项目总控台账'!E92,IF(AND('项目总控台账'!D92&lt;&gt;"",'项目总控台账'!D92&lt;&gt;"/"),'项目总控台账'!D92,'项目总控台账'!C92))</f>
        <v/>
      </c>
      <c r="D93" s="124">
        <f>'项目总控台账'!H92</f>
        <v/>
      </c>
      <c r="E93" s="125">
        <f>'项目总控台账'!I92</f>
        <v/>
      </c>
      <c r="F93" s="125">
        <f>'项目总控台账'!J92</f>
        <v/>
      </c>
      <c r="G93" s="124">
        <f>IF(B93="","",IF(OR(C93="",C93="/"),"缺少任务名称；","")&amp;IF(OR(D93="",D93="/"),"缺少有效主责人；","")&amp;IF(OR(E93="",E93&lt;DATE(2000,1,1)),"缺少有效计划开始；","")&amp;IF(OR(F93="",F93&lt;DATE(2000,1,1)),"缺少有效计划完成；","")&amp;IF('项目总控台账'!G92="","缺少总体状态；","")&amp;IF(AND(ISNUMBER(E93),ISNUMBER(F93),E93&gt;=DATE(2000,1,1),F93&gt;=DATE(2000,1,1),E93&gt;F93),"开始晚于完成；","")&amp;IF(AND('项目总控台账'!G92="已完成",'项目总控台账'!AB92&lt;1),"已完成但进度不足100%；",""))</f>
        <v/>
      </c>
      <c r="H93" s="124">
        <f>IF(B93="","",IF(G93="","通过","需整改"))</f>
        <v/>
      </c>
      <c r="I93" s="124">
        <f>IF(H93="需整改","回到项目总控台账第"&amp;J93&amp;"行补齐或修正","无需处理")</f>
        <v/>
      </c>
      <c r="J93" s="124" t="n">
        <v>92</v>
      </c>
    </row>
    <row r="94">
      <c r="A94" s="124" t="inlineStr">
        <is>
          <t>项目总控台账</t>
        </is>
      </c>
      <c r="B94" s="124">
        <f>'项目总控台账'!A93</f>
        <v/>
      </c>
      <c r="C94" s="124">
        <f>IF(AND('项目总控台账'!E93&lt;&gt;"",'项目总控台账'!E93&lt;&gt;"/"),'项目总控台账'!E93,IF(AND('项目总控台账'!D93&lt;&gt;"",'项目总控台账'!D93&lt;&gt;"/"),'项目总控台账'!D93,'项目总控台账'!C93))</f>
        <v/>
      </c>
      <c r="D94" s="124">
        <f>'项目总控台账'!H93</f>
        <v/>
      </c>
      <c r="E94" s="125">
        <f>'项目总控台账'!I93</f>
        <v/>
      </c>
      <c r="F94" s="125">
        <f>'项目总控台账'!J93</f>
        <v/>
      </c>
      <c r="G94" s="124">
        <f>IF(B94="","",IF(OR(C94="",C94="/"),"缺少任务名称；","")&amp;IF(OR(D94="",D94="/"),"缺少有效主责人；","")&amp;IF(OR(E94="",E94&lt;DATE(2000,1,1)),"缺少有效计划开始；","")&amp;IF(OR(F94="",F94&lt;DATE(2000,1,1)),"缺少有效计划完成；","")&amp;IF('项目总控台账'!G93="","缺少总体状态；","")&amp;IF(AND(ISNUMBER(E94),ISNUMBER(F94),E94&gt;=DATE(2000,1,1),F94&gt;=DATE(2000,1,1),E94&gt;F94),"开始晚于完成；","")&amp;IF(AND('项目总控台账'!G93="已完成",'项目总控台账'!AB93&lt;1),"已完成但进度不足100%；",""))</f>
        <v/>
      </c>
      <c r="H94" s="124">
        <f>IF(B94="","",IF(G94="","通过","需整改"))</f>
        <v/>
      </c>
      <c r="I94" s="124">
        <f>IF(H94="需整改","回到项目总控台账第"&amp;J94&amp;"行补齐或修正","无需处理")</f>
        <v/>
      </c>
      <c r="J94" s="124" t="n">
        <v>93</v>
      </c>
    </row>
    <row r="95">
      <c r="A95" s="124" t="inlineStr">
        <is>
          <t>项目总控台账</t>
        </is>
      </c>
      <c r="B95" s="124">
        <f>'项目总控台账'!A94</f>
        <v/>
      </c>
      <c r="C95" s="124">
        <f>IF(AND('项目总控台账'!E94&lt;&gt;"",'项目总控台账'!E94&lt;&gt;"/"),'项目总控台账'!E94,IF(AND('项目总控台账'!D94&lt;&gt;"",'项目总控台账'!D94&lt;&gt;"/"),'项目总控台账'!D94,'项目总控台账'!C94))</f>
        <v/>
      </c>
      <c r="D95" s="124">
        <f>'项目总控台账'!H94</f>
        <v/>
      </c>
      <c r="E95" s="125">
        <f>'项目总控台账'!I94</f>
        <v/>
      </c>
      <c r="F95" s="125">
        <f>'项目总控台账'!J94</f>
        <v/>
      </c>
      <c r="G95" s="124">
        <f>IF(B95="","",IF(OR(C95="",C95="/"),"缺少任务名称；","")&amp;IF(OR(D95="",D95="/"),"缺少有效主责人；","")&amp;IF(OR(E95="",E95&lt;DATE(2000,1,1)),"缺少有效计划开始；","")&amp;IF(OR(F95="",F95&lt;DATE(2000,1,1)),"缺少有效计划完成；","")&amp;IF('项目总控台账'!G94="","缺少总体状态；","")&amp;IF(AND(ISNUMBER(E95),ISNUMBER(F95),E95&gt;=DATE(2000,1,1),F95&gt;=DATE(2000,1,1),E95&gt;F95),"开始晚于完成；","")&amp;IF(AND('项目总控台账'!G94="已完成",'项目总控台账'!AB94&lt;1),"已完成但进度不足100%；",""))</f>
        <v/>
      </c>
      <c r="H95" s="124">
        <f>IF(B95="","",IF(G95="","通过","需整改"))</f>
        <v/>
      </c>
      <c r="I95" s="124">
        <f>IF(H95="需整改","回到项目总控台账第"&amp;J95&amp;"行补齐或修正","无需处理")</f>
        <v/>
      </c>
      <c r="J95" s="124" t="n">
        <v>94</v>
      </c>
    </row>
    <row r="96">
      <c r="A96" s="124" t="inlineStr">
        <is>
          <t>项目总控台账</t>
        </is>
      </c>
      <c r="B96" s="124">
        <f>'项目总控台账'!A95</f>
        <v/>
      </c>
      <c r="C96" s="124">
        <f>IF(AND('项目总控台账'!E95&lt;&gt;"",'项目总控台账'!E95&lt;&gt;"/"),'项目总控台账'!E95,IF(AND('项目总控台账'!D95&lt;&gt;"",'项目总控台账'!D95&lt;&gt;"/"),'项目总控台账'!D95,'项目总控台账'!C95))</f>
        <v/>
      </c>
      <c r="D96" s="124">
        <f>'项目总控台账'!H95</f>
        <v/>
      </c>
      <c r="E96" s="125">
        <f>'项目总控台账'!I95</f>
        <v/>
      </c>
      <c r="F96" s="125">
        <f>'项目总控台账'!J95</f>
        <v/>
      </c>
      <c r="G96" s="124">
        <f>IF(B96="","",IF(OR(C96="",C96="/"),"缺少任务名称；","")&amp;IF(OR(D96="",D96="/"),"缺少有效主责人；","")&amp;IF(OR(E96="",E96&lt;DATE(2000,1,1)),"缺少有效计划开始；","")&amp;IF(OR(F96="",F96&lt;DATE(2000,1,1)),"缺少有效计划完成；","")&amp;IF('项目总控台账'!G95="","缺少总体状态；","")&amp;IF(AND(ISNUMBER(E96),ISNUMBER(F96),E96&gt;=DATE(2000,1,1),F96&gt;=DATE(2000,1,1),E96&gt;F96),"开始晚于完成；","")&amp;IF(AND('项目总控台账'!G95="已完成",'项目总控台账'!AB95&lt;1),"已完成但进度不足100%；",""))</f>
        <v/>
      </c>
      <c r="H96" s="124">
        <f>IF(B96="","",IF(G96="","通过","需整改"))</f>
        <v/>
      </c>
      <c r="I96" s="124">
        <f>IF(H96="需整改","回到项目总控台账第"&amp;J96&amp;"行补齐或修正","无需处理")</f>
        <v/>
      </c>
      <c r="J96" s="124" t="n">
        <v>95</v>
      </c>
    </row>
    <row r="97">
      <c r="A97" s="124" t="inlineStr">
        <is>
          <t>项目总控台账</t>
        </is>
      </c>
      <c r="B97" s="124">
        <f>'项目总控台账'!A96</f>
        <v/>
      </c>
      <c r="C97" s="124">
        <f>IF(AND('项目总控台账'!E96&lt;&gt;"",'项目总控台账'!E96&lt;&gt;"/"),'项目总控台账'!E96,IF(AND('项目总控台账'!D96&lt;&gt;"",'项目总控台账'!D96&lt;&gt;"/"),'项目总控台账'!D96,'项目总控台账'!C96))</f>
        <v/>
      </c>
      <c r="D97" s="124">
        <f>'项目总控台账'!H96</f>
        <v/>
      </c>
      <c r="E97" s="125">
        <f>'项目总控台账'!I96</f>
        <v/>
      </c>
      <c r="F97" s="125">
        <f>'项目总控台账'!J96</f>
        <v/>
      </c>
      <c r="G97" s="124">
        <f>IF(B97="","",IF(OR(C97="",C97="/"),"缺少任务名称；","")&amp;IF(OR(D97="",D97="/"),"缺少有效主责人；","")&amp;IF(OR(E97="",E97&lt;DATE(2000,1,1)),"缺少有效计划开始；","")&amp;IF(OR(F97="",F97&lt;DATE(2000,1,1)),"缺少有效计划完成；","")&amp;IF('项目总控台账'!G96="","缺少总体状态；","")&amp;IF(AND(ISNUMBER(E97),ISNUMBER(F97),E97&gt;=DATE(2000,1,1),F97&gt;=DATE(2000,1,1),E97&gt;F97),"开始晚于完成；","")&amp;IF(AND('项目总控台账'!G96="已完成",'项目总控台账'!AB96&lt;1),"已完成但进度不足100%；",""))</f>
        <v/>
      </c>
      <c r="H97" s="124">
        <f>IF(B97="","",IF(G97="","通过","需整改"))</f>
        <v/>
      </c>
      <c r="I97" s="124">
        <f>IF(H97="需整改","回到项目总控台账第"&amp;J97&amp;"行补齐或修正","无需处理")</f>
        <v/>
      </c>
      <c r="J97" s="124" t="n">
        <v>96</v>
      </c>
    </row>
    <row r="98">
      <c r="A98" s="124" t="inlineStr">
        <is>
          <t>项目总控台账</t>
        </is>
      </c>
      <c r="B98" s="124">
        <f>'项目总控台账'!A97</f>
        <v/>
      </c>
      <c r="C98" s="124">
        <f>IF(AND('项目总控台账'!E97&lt;&gt;"",'项目总控台账'!E97&lt;&gt;"/"),'项目总控台账'!E97,IF(AND('项目总控台账'!D97&lt;&gt;"",'项目总控台账'!D97&lt;&gt;"/"),'项目总控台账'!D97,'项目总控台账'!C97))</f>
        <v/>
      </c>
      <c r="D98" s="124">
        <f>'项目总控台账'!H97</f>
        <v/>
      </c>
      <c r="E98" s="125">
        <f>'项目总控台账'!I97</f>
        <v/>
      </c>
      <c r="F98" s="125">
        <f>'项目总控台账'!J97</f>
        <v/>
      </c>
      <c r="G98" s="124">
        <f>IF(B98="","",IF(OR(C98="",C98="/"),"缺少任务名称；","")&amp;IF(OR(D98="",D98="/"),"缺少有效主责人；","")&amp;IF(OR(E98="",E98&lt;DATE(2000,1,1)),"缺少有效计划开始；","")&amp;IF(OR(F98="",F98&lt;DATE(2000,1,1)),"缺少有效计划完成；","")&amp;IF('项目总控台账'!G97="","缺少总体状态；","")&amp;IF(AND(ISNUMBER(E98),ISNUMBER(F98),E98&gt;=DATE(2000,1,1),F98&gt;=DATE(2000,1,1),E98&gt;F98),"开始晚于完成；","")&amp;IF(AND('项目总控台账'!G97="已完成",'项目总控台账'!AB97&lt;1),"已完成但进度不足100%；",""))</f>
        <v/>
      </c>
      <c r="H98" s="124">
        <f>IF(B98="","",IF(G98="","通过","需整改"))</f>
        <v/>
      </c>
      <c r="I98" s="124">
        <f>IF(H98="需整改","回到项目总控台账第"&amp;J98&amp;"行补齐或修正","无需处理")</f>
        <v/>
      </c>
      <c r="J98" s="124" t="n">
        <v>97</v>
      </c>
    </row>
    <row r="99">
      <c r="A99" s="124" t="inlineStr">
        <is>
          <t>项目总控台账</t>
        </is>
      </c>
      <c r="B99" s="124">
        <f>'项目总控台账'!A98</f>
        <v/>
      </c>
      <c r="C99" s="124">
        <f>IF(AND('项目总控台账'!E98&lt;&gt;"",'项目总控台账'!E98&lt;&gt;"/"),'项目总控台账'!E98,IF(AND('项目总控台账'!D98&lt;&gt;"",'项目总控台账'!D98&lt;&gt;"/"),'项目总控台账'!D98,'项目总控台账'!C98))</f>
        <v/>
      </c>
      <c r="D99" s="124">
        <f>'项目总控台账'!H98</f>
        <v/>
      </c>
      <c r="E99" s="125">
        <f>'项目总控台账'!I98</f>
        <v/>
      </c>
      <c r="F99" s="125">
        <f>'项目总控台账'!J98</f>
        <v/>
      </c>
      <c r="G99" s="124">
        <f>IF(B99="","",IF(OR(C99="",C99="/"),"缺少任务名称；","")&amp;IF(OR(D99="",D99="/"),"缺少有效主责人；","")&amp;IF(OR(E99="",E99&lt;DATE(2000,1,1)),"缺少有效计划开始；","")&amp;IF(OR(F99="",F99&lt;DATE(2000,1,1)),"缺少有效计划完成；","")&amp;IF('项目总控台账'!G98="","缺少总体状态；","")&amp;IF(AND(ISNUMBER(E99),ISNUMBER(F99),E99&gt;=DATE(2000,1,1),F99&gt;=DATE(2000,1,1),E99&gt;F99),"开始晚于完成；","")&amp;IF(AND('项目总控台账'!G98="已完成",'项目总控台账'!AB98&lt;1),"已完成但进度不足100%；",""))</f>
        <v/>
      </c>
      <c r="H99" s="124">
        <f>IF(B99="","",IF(G99="","通过","需整改"))</f>
        <v/>
      </c>
      <c r="I99" s="124">
        <f>IF(H99="需整改","回到项目总控台账第"&amp;J99&amp;"行补齐或修正","无需处理")</f>
        <v/>
      </c>
      <c r="J99" s="124" t="n">
        <v>98</v>
      </c>
    </row>
    <row r="100">
      <c r="A100" s="124" t="inlineStr">
        <is>
          <t>项目总控台账</t>
        </is>
      </c>
      <c r="B100" s="124">
        <f>'项目总控台账'!A99</f>
        <v/>
      </c>
      <c r="C100" s="124">
        <f>IF(AND('项目总控台账'!E99&lt;&gt;"",'项目总控台账'!E99&lt;&gt;"/"),'项目总控台账'!E99,IF(AND('项目总控台账'!D99&lt;&gt;"",'项目总控台账'!D99&lt;&gt;"/"),'项目总控台账'!D99,'项目总控台账'!C99))</f>
        <v/>
      </c>
      <c r="D100" s="124">
        <f>'项目总控台账'!H99</f>
        <v/>
      </c>
      <c r="E100" s="125">
        <f>'项目总控台账'!I99</f>
        <v/>
      </c>
      <c r="F100" s="125">
        <f>'项目总控台账'!J99</f>
        <v/>
      </c>
      <c r="G100" s="124">
        <f>IF(B100="","",IF(OR(C100="",C100="/"),"缺少任务名称；","")&amp;IF(OR(D100="",D100="/"),"缺少有效主责人；","")&amp;IF(OR(E100="",E100&lt;DATE(2000,1,1)),"缺少有效计划开始；","")&amp;IF(OR(F100="",F100&lt;DATE(2000,1,1)),"缺少有效计划完成；","")&amp;IF('项目总控台账'!G99="","缺少总体状态；","")&amp;IF(AND(ISNUMBER(E100),ISNUMBER(F100),E100&gt;=DATE(2000,1,1),F100&gt;=DATE(2000,1,1),E100&gt;F100),"开始晚于完成；","")&amp;IF(AND('项目总控台账'!G99="已完成",'项目总控台账'!AB99&lt;1),"已完成但进度不足100%；",""))</f>
        <v/>
      </c>
      <c r="H100" s="124">
        <f>IF(B100="","",IF(G100="","通过","需整改"))</f>
        <v/>
      </c>
      <c r="I100" s="124">
        <f>IF(H100="需整改","回到项目总控台账第"&amp;J100&amp;"行补齐或修正","无需处理")</f>
        <v/>
      </c>
      <c r="J100" s="124" t="n">
        <v>99</v>
      </c>
    </row>
    <row r="101">
      <c r="A101" s="124" t="inlineStr">
        <is>
          <t>项目总控台账</t>
        </is>
      </c>
      <c r="B101" s="124">
        <f>'项目总控台账'!A100</f>
        <v/>
      </c>
      <c r="C101" s="124">
        <f>IF(AND('项目总控台账'!E100&lt;&gt;"",'项目总控台账'!E100&lt;&gt;"/"),'项目总控台账'!E100,IF(AND('项目总控台账'!D100&lt;&gt;"",'项目总控台账'!D100&lt;&gt;"/"),'项目总控台账'!D100,'项目总控台账'!C100))</f>
        <v/>
      </c>
      <c r="D101" s="124">
        <f>'项目总控台账'!H100</f>
        <v/>
      </c>
      <c r="E101" s="125">
        <f>'项目总控台账'!I100</f>
        <v/>
      </c>
      <c r="F101" s="125">
        <f>'项目总控台账'!J100</f>
        <v/>
      </c>
      <c r="G101" s="124">
        <f>IF(B101="","",IF(OR(C101="",C101="/"),"缺少任务名称；","")&amp;IF(OR(D101="",D101="/"),"缺少有效主责人；","")&amp;IF(OR(E101="",E101&lt;DATE(2000,1,1)),"缺少有效计划开始；","")&amp;IF(OR(F101="",F101&lt;DATE(2000,1,1)),"缺少有效计划完成；","")&amp;IF('项目总控台账'!G100="","缺少总体状态；","")&amp;IF(AND(ISNUMBER(E101),ISNUMBER(F101),E101&gt;=DATE(2000,1,1),F101&gt;=DATE(2000,1,1),E101&gt;F101),"开始晚于完成；","")&amp;IF(AND('项目总控台账'!G100="已完成",'项目总控台账'!AB100&lt;1),"已完成但进度不足100%；",""))</f>
        <v/>
      </c>
      <c r="H101" s="124">
        <f>IF(B101="","",IF(G101="","通过","需整改"))</f>
        <v/>
      </c>
      <c r="I101" s="124">
        <f>IF(H101="需整改","回到项目总控台账第"&amp;J101&amp;"行补齐或修正","无需处理")</f>
        <v/>
      </c>
      <c r="J101" s="124" t="n">
        <v>100</v>
      </c>
    </row>
    <row r="102">
      <c r="A102" s="124" t="inlineStr">
        <is>
          <t>项目总控台账</t>
        </is>
      </c>
      <c r="B102" s="124">
        <f>'项目总控台账'!A101</f>
        <v/>
      </c>
      <c r="C102" s="124">
        <f>IF(AND('项目总控台账'!E101&lt;&gt;"",'项目总控台账'!E101&lt;&gt;"/"),'项目总控台账'!E101,IF(AND('项目总控台账'!D101&lt;&gt;"",'项目总控台账'!D101&lt;&gt;"/"),'项目总控台账'!D101,'项目总控台账'!C101))</f>
        <v/>
      </c>
      <c r="D102" s="124">
        <f>'项目总控台账'!H101</f>
        <v/>
      </c>
      <c r="E102" s="125">
        <f>'项目总控台账'!I101</f>
        <v/>
      </c>
      <c r="F102" s="125">
        <f>'项目总控台账'!J101</f>
        <v/>
      </c>
      <c r="G102" s="124">
        <f>IF(B102="","",IF(OR(C102="",C102="/"),"缺少任务名称；","")&amp;IF(OR(D102="",D102="/"),"缺少有效主责人；","")&amp;IF(OR(E102="",E102&lt;DATE(2000,1,1)),"缺少有效计划开始；","")&amp;IF(OR(F102="",F102&lt;DATE(2000,1,1)),"缺少有效计划完成；","")&amp;IF('项目总控台账'!G101="","缺少总体状态；","")&amp;IF(AND(ISNUMBER(E102),ISNUMBER(F102),E102&gt;=DATE(2000,1,1),F102&gt;=DATE(2000,1,1),E102&gt;F102),"开始晚于完成；","")&amp;IF(AND('项目总控台账'!G101="已完成",'项目总控台账'!AB101&lt;1),"已完成但进度不足100%；",""))</f>
        <v/>
      </c>
      <c r="H102" s="124">
        <f>IF(B102="","",IF(G102="","通过","需整改"))</f>
        <v/>
      </c>
      <c r="I102" s="124">
        <f>IF(H102="需整改","回到项目总控台账第"&amp;J102&amp;"行补齐或修正","无需处理")</f>
        <v/>
      </c>
      <c r="J102" s="124" t="n">
        <v>101</v>
      </c>
    </row>
    <row r="103">
      <c r="A103" s="124" t="inlineStr">
        <is>
          <t>项目总控台账</t>
        </is>
      </c>
      <c r="B103" s="124">
        <f>'项目总控台账'!A102</f>
        <v/>
      </c>
      <c r="C103" s="124">
        <f>IF(AND('项目总控台账'!E102&lt;&gt;"",'项目总控台账'!E102&lt;&gt;"/"),'项目总控台账'!E102,IF(AND('项目总控台账'!D102&lt;&gt;"",'项目总控台账'!D102&lt;&gt;"/"),'项目总控台账'!D102,'项目总控台账'!C102))</f>
        <v/>
      </c>
      <c r="D103" s="124">
        <f>'项目总控台账'!H102</f>
        <v/>
      </c>
      <c r="E103" s="125">
        <f>'项目总控台账'!I102</f>
        <v/>
      </c>
      <c r="F103" s="125">
        <f>'项目总控台账'!J102</f>
        <v/>
      </c>
      <c r="G103" s="124">
        <f>IF(B103="","",IF(OR(C103="",C103="/"),"缺少任务名称；","")&amp;IF(OR(D103="",D103="/"),"缺少有效主责人；","")&amp;IF(OR(E103="",E103&lt;DATE(2000,1,1)),"缺少有效计划开始；","")&amp;IF(OR(F103="",F103&lt;DATE(2000,1,1)),"缺少有效计划完成；","")&amp;IF('项目总控台账'!G102="","缺少总体状态；","")&amp;IF(AND(ISNUMBER(E103),ISNUMBER(F103),E103&gt;=DATE(2000,1,1),F103&gt;=DATE(2000,1,1),E103&gt;F103),"开始晚于完成；","")&amp;IF(AND('项目总控台账'!G102="已完成",'项目总控台账'!AB102&lt;1),"已完成但进度不足100%；",""))</f>
        <v/>
      </c>
      <c r="H103" s="124">
        <f>IF(B103="","",IF(G103="","通过","需整改"))</f>
        <v/>
      </c>
      <c r="I103" s="124">
        <f>IF(H103="需整改","回到项目总控台账第"&amp;J103&amp;"行补齐或修正","无需处理")</f>
        <v/>
      </c>
      <c r="J103" s="124" t="n">
        <v>102</v>
      </c>
    </row>
    <row r="104">
      <c r="A104" s="124" t="inlineStr">
        <is>
          <t>项目总控台账</t>
        </is>
      </c>
      <c r="B104" s="124">
        <f>'项目总控台账'!A103</f>
        <v/>
      </c>
      <c r="C104" s="124">
        <f>IF(AND('项目总控台账'!E103&lt;&gt;"",'项目总控台账'!E103&lt;&gt;"/"),'项目总控台账'!E103,IF(AND('项目总控台账'!D103&lt;&gt;"",'项目总控台账'!D103&lt;&gt;"/"),'项目总控台账'!D103,'项目总控台账'!C103))</f>
        <v/>
      </c>
      <c r="D104" s="124">
        <f>'项目总控台账'!H103</f>
        <v/>
      </c>
      <c r="E104" s="125">
        <f>'项目总控台账'!I103</f>
        <v/>
      </c>
      <c r="F104" s="125">
        <f>'项目总控台账'!J103</f>
        <v/>
      </c>
      <c r="G104" s="124">
        <f>IF(B104="","",IF(OR(C104="",C104="/"),"缺少任务名称；","")&amp;IF(OR(D104="",D104="/"),"缺少有效主责人；","")&amp;IF(OR(E104="",E104&lt;DATE(2000,1,1)),"缺少有效计划开始；","")&amp;IF(OR(F104="",F104&lt;DATE(2000,1,1)),"缺少有效计划完成；","")&amp;IF('项目总控台账'!G103="","缺少总体状态；","")&amp;IF(AND(ISNUMBER(E104),ISNUMBER(F104),E104&gt;=DATE(2000,1,1),F104&gt;=DATE(2000,1,1),E104&gt;F104),"开始晚于完成；","")&amp;IF(AND('项目总控台账'!G103="已完成",'项目总控台账'!AB103&lt;1),"已完成但进度不足100%；",""))</f>
        <v/>
      </c>
      <c r="H104" s="124">
        <f>IF(B104="","",IF(G104="","通过","需整改"))</f>
        <v/>
      </c>
      <c r="I104" s="124">
        <f>IF(H104="需整改","回到项目总控台账第"&amp;J104&amp;"行补齐或修正","无需处理")</f>
        <v/>
      </c>
      <c r="J104" s="124" t="n">
        <v>103</v>
      </c>
    </row>
    <row r="105">
      <c r="A105" s="124" t="inlineStr">
        <is>
          <t>项目总控台账</t>
        </is>
      </c>
      <c r="B105" s="124">
        <f>'项目总控台账'!A104</f>
        <v/>
      </c>
      <c r="C105" s="124">
        <f>IF(AND('项目总控台账'!E104&lt;&gt;"",'项目总控台账'!E104&lt;&gt;"/"),'项目总控台账'!E104,IF(AND('项目总控台账'!D104&lt;&gt;"",'项目总控台账'!D104&lt;&gt;"/"),'项目总控台账'!D104,'项目总控台账'!C104))</f>
        <v/>
      </c>
      <c r="D105" s="124">
        <f>'项目总控台账'!H104</f>
        <v/>
      </c>
      <c r="E105" s="125">
        <f>'项目总控台账'!I104</f>
        <v/>
      </c>
      <c r="F105" s="125">
        <f>'项目总控台账'!J104</f>
        <v/>
      </c>
      <c r="G105" s="124">
        <f>IF(B105="","",IF(OR(C105="",C105="/"),"缺少任务名称；","")&amp;IF(OR(D105="",D105="/"),"缺少有效主责人；","")&amp;IF(OR(E105="",E105&lt;DATE(2000,1,1)),"缺少有效计划开始；","")&amp;IF(OR(F105="",F105&lt;DATE(2000,1,1)),"缺少有效计划完成；","")&amp;IF('项目总控台账'!G104="","缺少总体状态；","")&amp;IF(AND(ISNUMBER(E105),ISNUMBER(F105),E105&gt;=DATE(2000,1,1),F105&gt;=DATE(2000,1,1),E105&gt;F105),"开始晚于完成；","")&amp;IF(AND('项目总控台账'!G104="已完成",'项目总控台账'!AB104&lt;1),"已完成但进度不足100%；",""))</f>
        <v/>
      </c>
      <c r="H105" s="124">
        <f>IF(B105="","",IF(G105="","通过","需整改"))</f>
        <v/>
      </c>
      <c r="I105" s="124">
        <f>IF(H105="需整改","回到项目总控台账第"&amp;J105&amp;"行补齐或修正","无需处理")</f>
        <v/>
      </c>
      <c r="J105" s="124" t="n">
        <v>104</v>
      </c>
    </row>
    <row r="106">
      <c r="A106" s="124" t="inlineStr">
        <is>
          <t>项目总控台账</t>
        </is>
      </c>
      <c r="B106" s="124">
        <f>'项目总控台账'!A105</f>
        <v/>
      </c>
      <c r="C106" s="124">
        <f>IF(AND('项目总控台账'!E105&lt;&gt;"",'项目总控台账'!E105&lt;&gt;"/"),'项目总控台账'!E105,IF(AND('项目总控台账'!D105&lt;&gt;"",'项目总控台账'!D105&lt;&gt;"/"),'项目总控台账'!D105,'项目总控台账'!C105))</f>
        <v/>
      </c>
      <c r="D106" s="124">
        <f>'项目总控台账'!H105</f>
        <v/>
      </c>
      <c r="E106" s="125">
        <f>'项目总控台账'!I105</f>
        <v/>
      </c>
      <c r="F106" s="125">
        <f>'项目总控台账'!J105</f>
        <v/>
      </c>
      <c r="G106" s="124">
        <f>IF(B106="","",IF(OR(C106="",C106="/"),"缺少任务名称；","")&amp;IF(OR(D106="",D106="/"),"缺少有效主责人；","")&amp;IF(OR(E106="",E106&lt;DATE(2000,1,1)),"缺少有效计划开始；","")&amp;IF(OR(F106="",F106&lt;DATE(2000,1,1)),"缺少有效计划完成；","")&amp;IF('项目总控台账'!G105="","缺少总体状态；","")&amp;IF(AND(ISNUMBER(E106),ISNUMBER(F106),E106&gt;=DATE(2000,1,1),F106&gt;=DATE(2000,1,1),E106&gt;F106),"开始晚于完成；","")&amp;IF(AND('项目总控台账'!G105="已完成",'项目总控台账'!AB105&lt;1),"已完成但进度不足100%；",""))</f>
        <v/>
      </c>
      <c r="H106" s="124">
        <f>IF(B106="","",IF(G106="","通过","需整改"))</f>
        <v/>
      </c>
      <c r="I106" s="124">
        <f>IF(H106="需整改","回到项目总控台账第"&amp;J106&amp;"行补齐或修正","无需处理")</f>
        <v/>
      </c>
      <c r="J106" s="124" t="n">
        <v>105</v>
      </c>
    </row>
    <row r="107">
      <c r="A107" s="124" t="inlineStr">
        <is>
          <t>项目总控台账</t>
        </is>
      </c>
      <c r="B107" s="124">
        <f>'项目总控台账'!A106</f>
        <v/>
      </c>
      <c r="C107" s="124">
        <f>IF(AND('项目总控台账'!E106&lt;&gt;"",'项目总控台账'!E106&lt;&gt;"/"),'项目总控台账'!E106,IF(AND('项目总控台账'!D106&lt;&gt;"",'项目总控台账'!D106&lt;&gt;"/"),'项目总控台账'!D106,'项目总控台账'!C106))</f>
        <v/>
      </c>
      <c r="D107" s="124">
        <f>'项目总控台账'!H106</f>
        <v/>
      </c>
      <c r="E107" s="125">
        <f>'项目总控台账'!I106</f>
        <v/>
      </c>
      <c r="F107" s="125">
        <f>'项目总控台账'!J106</f>
        <v/>
      </c>
      <c r="G107" s="124">
        <f>IF(B107="","",IF(OR(C107="",C107="/"),"缺少任务名称；","")&amp;IF(OR(D107="",D107="/"),"缺少有效主责人；","")&amp;IF(OR(E107="",E107&lt;DATE(2000,1,1)),"缺少有效计划开始；","")&amp;IF(OR(F107="",F107&lt;DATE(2000,1,1)),"缺少有效计划完成；","")&amp;IF('项目总控台账'!G106="","缺少总体状态；","")&amp;IF(AND(ISNUMBER(E107),ISNUMBER(F107),E107&gt;=DATE(2000,1,1),F107&gt;=DATE(2000,1,1),E107&gt;F107),"开始晚于完成；","")&amp;IF(AND('项目总控台账'!G106="已完成",'项目总控台账'!AB106&lt;1),"已完成但进度不足100%；",""))</f>
        <v/>
      </c>
      <c r="H107" s="124">
        <f>IF(B107="","",IF(G107="","通过","需整改"))</f>
        <v/>
      </c>
      <c r="I107" s="124">
        <f>IF(H107="需整改","回到项目总控台账第"&amp;J107&amp;"行补齐或修正","无需处理")</f>
        <v/>
      </c>
      <c r="J107" s="124" t="n">
        <v>106</v>
      </c>
    </row>
    <row r="108">
      <c r="A108" s="124" t="inlineStr">
        <is>
          <t>项目总控台账</t>
        </is>
      </c>
      <c r="B108" s="124">
        <f>'项目总控台账'!A107</f>
        <v/>
      </c>
      <c r="C108" s="124">
        <f>IF(AND('项目总控台账'!E107&lt;&gt;"",'项目总控台账'!E107&lt;&gt;"/"),'项目总控台账'!E107,IF(AND('项目总控台账'!D107&lt;&gt;"",'项目总控台账'!D107&lt;&gt;"/"),'项目总控台账'!D107,'项目总控台账'!C107))</f>
        <v/>
      </c>
      <c r="D108" s="124">
        <f>'项目总控台账'!H107</f>
        <v/>
      </c>
      <c r="E108" s="125">
        <f>'项目总控台账'!I107</f>
        <v/>
      </c>
      <c r="F108" s="125">
        <f>'项目总控台账'!J107</f>
        <v/>
      </c>
      <c r="G108" s="124">
        <f>IF(B108="","",IF(OR(C108="",C108="/"),"缺少任务名称；","")&amp;IF(OR(D108="",D108="/"),"缺少有效主责人；","")&amp;IF(OR(E108="",E108&lt;DATE(2000,1,1)),"缺少有效计划开始；","")&amp;IF(OR(F108="",F108&lt;DATE(2000,1,1)),"缺少有效计划完成；","")&amp;IF('项目总控台账'!G107="","缺少总体状态；","")&amp;IF(AND(ISNUMBER(E108),ISNUMBER(F108),E108&gt;=DATE(2000,1,1),F108&gt;=DATE(2000,1,1),E108&gt;F108),"开始晚于完成；","")&amp;IF(AND('项目总控台账'!G107="已完成",'项目总控台账'!AB107&lt;1),"已完成但进度不足100%；",""))</f>
        <v/>
      </c>
      <c r="H108" s="124">
        <f>IF(B108="","",IF(G108="","通过","需整改"))</f>
        <v/>
      </c>
      <c r="I108" s="124">
        <f>IF(H108="需整改","回到项目总控台账第"&amp;J108&amp;"行补齐或修正","无需处理")</f>
        <v/>
      </c>
      <c r="J108" s="124" t="n">
        <v>107</v>
      </c>
    </row>
    <row r="109">
      <c r="A109" s="124" t="inlineStr">
        <is>
          <t>项目总控台账</t>
        </is>
      </c>
      <c r="B109" s="124">
        <f>'项目总控台账'!A108</f>
        <v/>
      </c>
      <c r="C109" s="124">
        <f>IF(AND('项目总控台账'!E108&lt;&gt;"",'项目总控台账'!E108&lt;&gt;"/"),'项目总控台账'!E108,IF(AND('项目总控台账'!D108&lt;&gt;"",'项目总控台账'!D108&lt;&gt;"/"),'项目总控台账'!D108,'项目总控台账'!C108))</f>
        <v/>
      </c>
      <c r="D109" s="124">
        <f>'项目总控台账'!H108</f>
        <v/>
      </c>
      <c r="E109" s="125">
        <f>'项目总控台账'!I108</f>
        <v/>
      </c>
      <c r="F109" s="125">
        <f>'项目总控台账'!J108</f>
        <v/>
      </c>
      <c r="G109" s="124">
        <f>IF(B109="","",IF(OR(C109="",C109="/"),"缺少任务名称；","")&amp;IF(OR(D109="",D109="/"),"缺少有效主责人；","")&amp;IF(OR(E109="",E109&lt;DATE(2000,1,1)),"缺少有效计划开始；","")&amp;IF(OR(F109="",F109&lt;DATE(2000,1,1)),"缺少有效计划完成；","")&amp;IF('项目总控台账'!G108="","缺少总体状态；","")&amp;IF(AND(ISNUMBER(E109),ISNUMBER(F109),E109&gt;=DATE(2000,1,1),F109&gt;=DATE(2000,1,1),E109&gt;F109),"开始晚于完成；","")&amp;IF(AND('项目总控台账'!G108="已完成",'项目总控台账'!AB108&lt;1),"已完成但进度不足100%；",""))</f>
        <v/>
      </c>
      <c r="H109" s="124">
        <f>IF(B109="","",IF(G109="","通过","需整改"))</f>
        <v/>
      </c>
      <c r="I109" s="124">
        <f>IF(H109="需整改","回到项目总控台账第"&amp;J109&amp;"行补齐或修正","无需处理")</f>
        <v/>
      </c>
      <c r="J109" s="124" t="n">
        <v>108</v>
      </c>
    </row>
    <row r="110">
      <c r="A110" s="124" t="inlineStr">
        <is>
          <t>项目总控台账</t>
        </is>
      </c>
      <c r="B110" s="124">
        <f>'项目总控台账'!A109</f>
        <v/>
      </c>
      <c r="C110" s="124">
        <f>IF(AND('项目总控台账'!E109&lt;&gt;"",'项目总控台账'!E109&lt;&gt;"/"),'项目总控台账'!E109,IF(AND('项目总控台账'!D109&lt;&gt;"",'项目总控台账'!D109&lt;&gt;"/"),'项目总控台账'!D109,'项目总控台账'!C109))</f>
        <v/>
      </c>
      <c r="D110" s="124">
        <f>'项目总控台账'!H109</f>
        <v/>
      </c>
      <c r="E110" s="125">
        <f>'项目总控台账'!I109</f>
        <v/>
      </c>
      <c r="F110" s="125">
        <f>'项目总控台账'!J109</f>
        <v/>
      </c>
      <c r="G110" s="124">
        <f>IF(B110="","",IF(OR(C110="",C110="/"),"缺少任务名称；","")&amp;IF(OR(D110="",D110="/"),"缺少有效主责人；","")&amp;IF(OR(E110="",E110&lt;DATE(2000,1,1)),"缺少有效计划开始；","")&amp;IF(OR(F110="",F110&lt;DATE(2000,1,1)),"缺少有效计划完成；","")&amp;IF('项目总控台账'!G109="","缺少总体状态；","")&amp;IF(AND(ISNUMBER(E110),ISNUMBER(F110),E110&gt;=DATE(2000,1,1),F110&gt;=DATE(2000,1,1),E110&gt;F110),"开始晚于完成；","")&amp;IF(AND('项目总控台账'!G109="已完成",'项目总控台账'!AB109&lt;1),"已完成但进度不足100%；",""))</f>
        <v/>
      </c>
      <c r="H110" s="124">
        <f>IF(B110="","",IF(G110="","通过","需整改"))</f>
        <v/>
      </c>
      <c r="I110" s="124">
        <f>IF(H110="需整改","回到项目总控台账第"&amp;J110&amp;"行补齐或修正","无需处理")</f>
        <v/>
      </c>
      <c r="J110" s="124" t="n">
        <v>109</v>
      </c>
    </row>
    <row r="111">
      <c r="A111" s="124" t="inlineStr">
        <is>
          <t>项目总控台账</t>
        </is>
      </c>
      <c r="B111" s="124">
        <f>'项目总控台账'!A110</f>
        <v/>
      </c>
      <c r="C111" s="124">
        <f>IF(AND('项目总控台账'!E110&lt;&gt;"",'项目总控台账'!E110&lt;&gt;"/"),'项目总控台账'!E110,IF(AND('项目总控台账'!D110&lt;&gt;"",'项目总控台账'!D110&lt;&gt;"/"),'项目总控台账'!D110,'项目总控台账'!C110))</f>
        <v/>
      </c>
      <c r="D111" s="124">
        <f>'项目总控台账'!H110</f>
        <v/>
      </c>
      <c r="E111" s="125">
        <f>'项目总控台账'!I110</f>
        <v/>
      </c>
      <c r="F111" s="125">
        <f>'项目总控台账'!J110</f>
        <v/>
      </c>
      <c r="G111" s="124">
        <f>IF(B111="","",IF(OR(C111="",C111="/"),"缺少任务名称；","")&amp;IF(OR(D111="",D111="/"),"缺少有效主责人；","")&amp;IF(OR(E111="",E111&lt;DATE(2000,1,1)),"缺少有效计划开始；","")&amp;IF(OR(F111="",F111&lt;DATE(2000,1,1)),"缺少有效计划完成；","")&amp;IF('项目总控台账'!G110="","缺少总体状态；","")&amp;IF(AND(ISNUMBER(E111),ISNUMBER(F111),E111&gt;=DATE(2000,1,1),F111&gt;=DATE(2000,1,1),E111&gt;F111),"开始晚于完成；","")&amp;IF(AND('项目总控台账'!G110="已完成",'项目总控台账'!AB110&lt;1),"已完成但进度不足100%；",""))</f>
        <v/>
      </c>
      <c r="H111" s="124">
        <f>IF(B111="","",IF(G111="","通过","需整改"))</f>
        <v/>
      </c>
      <c r="I111" s="124">
        <f>IF(H111="需整改","回到项目总控台账第"&amp;J111&amp;"行补齐或修正","无需处理")</f>
        <v/>
      </c>
      <c r="J111" s="124" t="n">
        <v>110</v>
      </c>
    </row>
    <row r="112">
      <c r="A112" s="124" t="inlineStr">
        <is>
          <t>项目总控台账</t>
        </is>
      </c>
      <c r="B112" s="124">
        <f>'项目总控台账'!A111</f>
        <v/>
      </c>
      <c r="C112" s="124">
        <f>IF(AND('项目总控台账'!E111&lt;&gt;"",'项目总控台账'!E111&lt;&gt;"/"),'项目总控台账'!E111,IF(AND('项目总控台账'!D111&lt;&gt;"",'项目总控台账'!D111&lt;&gt;"/"),'项目总控台账'!D111,'项目总控台账'!C111))</f>
        <v/>
      </c>
      <c r="D112" s="124">
        <f>'项目总控台账'!H111</f>
        <v/>
      </c>
      <c r="E112" s="125">
        <f>'项目总控台账'!I111</f>
        <v/>
      </c>
      <c r="F112" s="125">
        <f>'项目总控台账'!J111</f>
        <v/>
      </c>
      <c r="G112" s="124">
        <f>IF(B112="","",IF(OR(C112="",C112="/"),"缺少任务名称；","")&amp;IF(OR(D112="",D112="/"),"缺少有效主责人；","")&amp;IF(OR(E112="",E112&lt;DATE(2000,1,1)),"缺少有效计划开始；","")&amp;IF(OR(F112="",F112&lt;DATE(2000,1,1)),"缺少有效计划完成；","")&amp;IF('项目总控台账'!G111="","缺少总体状态；","")&amp;IF(AND(ISNUMBER(E112),ISNUMBER(F112),E112&gt;=DATE(2000,1,1),F112&gt;=DATE(2000,1,1),E112&gt;F112),"开始晚于完成；","")&amp;IF(AND('项目总控台账'!G111="已完成",'项目总控台账'!AB111&lt;1),"已完成但进度不足100%；",""))</f>
        <v/>
      </c>
      <c r="H112" s="124">
        <f>IF(B112="","",IF(G112="","通过","需整改"))</f>
        <v/>
      </c>
      <c r="I112" s="124">
        <f>IF(H112="需整改","回到项目总控台账第"&amp;J112&amp;"行补齐或修正","无需处理")</f>
        <v/>
      </c>
      <c r="J112" s="124" t="n">
        <v>111</v>
      </c>
    </row>
    <row r="113">
      <c r="A113" s="124" t="inlineStr">
        <is>
          <t>项目总控台账</t>
        </is>
      </c>
      <c r="B113" s="124">
        <f>'项目总控台账'!A112</f>
        <v/>
      </c>
      <c r="C113" s="124">
        <f>IF(AND('项目总控台账'!E112&lt;&gt;"",'项目总控台账'!E112&lt;&gt;"/"),'项目总控台账'!E112,IF(AND('项目总控台账'!D112&lt;&gt;"",'项目总控台账'!D112&lt;&gt;"/"),'项目总控台账'!D112,'项目总控台账'!C112))</f>
        <v/>
      </c>
      <c r="D113" s="124">
        <f>'项目总控台账'!H112</f>
        <v/>
      </c>
      <c r="E113" s="125">
        <f>'项目总控台账'!I112</f>
        <v/>
      </c>
      <c r="F113" s="125">
        <f>'项目总控台账'!J112</f>
        <v/>
      </c>
      <c r="G113" s="124">
        <f>IF(B113="","",IF(OR(C113="",C113="/"),"缺少任务名称；","")&amp;IF(OR(D113="",D113="/"),"缺少有效主责人；","")&amp;IF(OR(E113="",E113&lt;DATE(2000,1,1)),"缺少有效计划开始；","")&amp;IF(OR(F113="",F113&lt;DATE(2000,1,1)),"缺少有效计划完成；","")&amp;IF('项目总控台账'!G112="","缺少总体状态；","")&amp;IF(AND(ISNUMBER(E113),ISNUMBER(F113),E113&gt;=DATE(2000,1,1),F113&gt;=DATE(2000,1,1),E113&gt;F113),"开始晚于完成；","")&amp;IF(AND('项目总控台账'!G112="已完成",'项目总控台账'!AB112&lt;1),"已完成但进度不足100%；",""))</f>
        <v/>
      </c>
      <c r="H113" s="124">
        <f>IF(B113="","",IF(G113="","通过","需整改"))</f>
        <v/>
      </c>
      <c r="I113" s="124">
        <f>IF(H113="需整改","回到项目总控台账第"&amp;J113&amp;"行补齐或修正","无需处理")</f>
        <v/>
      </c>
      <c r="J113" s="124" t="n">
        <v>112</v>
      </c>
    </row>
    <row r="114">
      <c r="A114" s="124" t="inlineStr">
        <is>
          <t>项目总控台账</t>
        </is>
      </c>
      <c r="B114" s="124">
        <f>'项目总控台账'!A113</f>
        <v/>
      </c>
      <c r="C114" s="124">
        <f>IF(AND('项目总控台账'!E113&lt;&gt;"",'项目总控台账'!E113&lt;&gt;"/"),'项目总控台账'!E113,IF(AND('项目总控台账'!D113&lt;&gt;"",'项目总控台账'!D113&lt;&gt;"/"),'项目总控台账'!D113,'项目总控台账'!C113))</f>
        <v/>
      </c>
      <c r="D114" s="124">
        <f>'项目总控台账'!H113</f>
        <v/>
      </c>
      <c r="E114" s="125">
        <f>'项目总控台账'!I113</f>
        <v/>
      </c>
      <c r="F114" s="125">
        <f>'项目总控台账'!J113</f>
        <v/>
      </c>
      <c r="G114" s="124">
        <f>IF(B114="","",IF(OR(C114="",C114="/"),"缺少任务名称；","")&amp;IF(OR(D114="",D114="/"),"缺少有效主责人；","")&amp;IF(OR(E114="",E114&lt;DATE(2000,1,1)),"缺少有效计划开始；","")&amp;IF(OR(F114="",F114&lt;DATE(2000,1,1)),"缺少有效计划完成；","")&amp;IF('项目总控台账'!G113="","缺少总体状态；","")&amp;IF(AND(ISNUMBER(E114),ISNUMBER(F114),E114&gt;=DATE(2000,1,1),F114&gt;=DATE(2000,1,1),E114&gt;F114),"开始晚于完成；","")&amp;IF(AND('项目总控台账'!G113="已完成",'项目总控台账'!AB113&lt;1),"已完成但进度不足100%；",""))</f>
        <v/>
      </c>
      <c r="H114" s="124">
        <f>IF(B114="","",IF(G114="","通过","需整改"))</f>
        <v/>
      </c>
      <c r="I114" s="124">
        <f>IF(H114="需整改","回到项目总控台账第"&amp;J114&amp;"行补齐或修正","无需处理")</f>
        <v/>
      </c>
      <c r="J114" s="124" t="n">
        <v>113</v>
      </c>
    </row>
    <row r="115">
      <c r="A115" s="124" t="inlineStr">
        <is>
          <t>项目总控台账</t>
        </is>
      </c>
      <c r="B115" s="124">
        <f>'项目总控台账'!A114</f>
        <v/>
      </c>
      <c r="C115" s="124">
        <f>IF(AND('项目总控台账'!E114&lt;&gt;"",'项目总控台账'!E114&lt;&gt;"/"),'项目总控台账'!E114,IF(AND('项目总控台账'!D114&lt;&gt;"",'项目总控台账'!D114&lt;&gt;"/"),'项目总控台账'!D114,'项目总控台账'!C114))</f>
        <v/>
      </c>
      <c r="D115" s="124">
        <f>'项目总控台账'!H114</f>
        <v/>
      </c>
      <c r="E115" s="125">
        <f>'项目总控台账'!I114</f>
        <v/>
      </c>
      <c r="F115" s="125">
        <f>'项目总控台账'!J114</f>
        <v/>
      </c>
      <c r="G115" s="124">
        <f>IF(B115="","",IF(OR(C115="",C115="/"),"缺少任务名称；","")&amp;IF(OR(D115="",D115="/"),"缺少有效主责人；","")&amp;IF(OR(E115="",E115&lt;DATE(2000,1,1)),"缺少有效计划开始；","")&amp;IF(OR(F115="",F115&lt;DATE(2000,1,1)),"缺少有效计划完成；","")&amp;IF('项目总控台账'!G114="","缺少总体状态；","")&amp;IF(AND(ISNUMBER(E115),ISNUMBER(F115),E115&gt;=DATE(2000,1,1),F115&gt;=DATE(2000,1,1),E115&gt;F115),"开始晚于完成；","")&amp;IF(AND('项目总控台账'!G114="已完成",'项目总控台账'!AB114&lt;1),"已完成但进度不足100%；",""))</f>
        <v/>
      </c>
      <c r="H115" s="124">
        <f>IF(B115="","",IF(G115="","通过","需整改"))</f>
        <v/>
      </c>
      <c r="I115" s="124">
        <f>IF(H115="需整改","回到项目总控台账第"&amp;J115&amp;"行补齐或修正","无需处理")</f>
        <v/>
      </c>
      <c r="J115" s="124" t="n">
        <v>114</v>
      </c>
    </row>
    <row r="116">
      <c r="A116" s="124" t="inlineStr">
        <is>
          <t>项目总控台账</t>
        </is>
      </c>
      <c r="B116" s="124">
        <f>'项目总控台账'!A115</f>
        <v/>
      </c>
      <c r="C116" s="124">
        <f>IF(AND('项目总控台账'!E115&lt;&gt;"",'项目总控台账'!E115&lt;&gt;"/"),'项目总控台账'!E115,IF(AND('项目总控台账'!D115&lt;&gt;"",'项目总控台账'!D115&lt;&gt;"/"),'项目总控台账'!D115,'项目总控台账'!C115))</f>
        <v/>
      </c>
      <c r="D116" s="124">
        <f>'项目总控台账'!H115</f>
        <v/>
      </c>
      <c r="E116" s="125">
        <f>'项目总控台账'!I115</f>
        <v/>
      </c>
      <c r="F116" s="125">
        <f>'项目总控台账'!J115</f>
        <v/>
      </c>
      <c r="G116" s="124">
        <f>IF(B116="","",IF(OR(C116="",C116="/"),"缺少任务名称；","")&amp;IF(OR(D116="",D116="/"),"缺少有效主责人；","")&amp;IF(OR(E116="",E116&lt;DATE(2000,1,1)),"缺少有效计划开始；","")&amp;IF(OR(F116="",F116&lt;DATE(2000,1,1)),"缺少有效计划完成；","")&amp;IF('项目总控台账'!G115="","缺少总体状态；","")&amp;IF(AND(ISNUMBER(E116),ISNUMBER(F116),E116&gt;=DATE(2000,1,1),F116&gt;=DATE(2000,1,1),E116&gt;F116),"开始晚于完成；","")&amp;IF(AND('项目总控台账'!G115="已完成",'项目总控台账'!AB115&lt;1),"已完成但进度不足100%；",""))</f>
        <v/>
      </c>
      <c r="H116" s="124">
        <f>IF(B116="","",IF(G116="","通过","需整改"))</f>
        <v/>
      </c>
      <c r="I116" s="124">
        <f>IF(H116="需整改","回到项目总控台账第"&amp;J116&amp;"行补齐或修正","无需处理")</f>
        <v/>
      </c>
      <c r="J116" s="124" t="n">
        <v>115</v>
      </c>
    </row>
    <row r="117">
      <c r="A117" s="124" t="inlineStr">
        <is>
          <t>项目总控台账</t>
        </is>
      </c>
      <c r="B117" s="124">
        <f>'项目总控台账'!A116</f>
        <v/>
      </c>
      <c r="C117" s="124">
        <f>IF(AND('项目总控台账'!E116&lt;&gt;"",'项目总控台账'!E116&lt;&gt;"/"),'项目总控台账'!E116,IF(AND('项目总控台账'!D116&lt;&gt;"",'项目总控台账'!D116&lt;&gt;"/"),'项目总控台账'!D116,'项目总控台账'!C116))</f>
        <v/>
      </c>
      <c r="D117" s="124">
        <f>'项目总控台账'!H116</f>
        <v/>
      </c>
      <c r="E117" s="125">
        <f>'项目总控台账'!I116</f>
        <v/>
      </c>
      <c r="F117" s="125">
        <f>'项目总控台账'!J116</f>
        <v/>
      </c>
      <c r="G117" s="124">
        <f>IF(B117="","",IF(OR(C117="",C117="/"),"缺少任务名称；","")&amp;IF(OR(D117="",D117="/"),"缺少有效主责人；","")&amp;IF(OR(E117="",E117&lt;DATE(2000,1,1)),"缺少有效计划开始；","")&amp;IF(OR(F117="",F117&lt;DATE(2000,1,1)),"缺少有效计划完成；","")&amp;IF('项目总控台账'!G116="","缺少总体状态；","")&amp;IF(AND(ISNUMBER(E117),ISNUMBER(F117),E117&gt;=DATE(2000,1,1),F117&gt;=DATE(2000,1,1),E117&gt;F117),"开始晚于完成；","")&amp;IF(AND('项目总控台账'!G116="已完成",'项目总控台账'!AB116&lt;1),"已完成但进度不足100%；",""))</f>
        <v/>
      </c>
      <c r="H117" s="124">
        <f>IF(B117="","",IF(G117="","通过","需整改"))</f>
        <v/>
      </c>
      <c r="I117" s="124">
        <f>IF(H117="需整改","回到项目总控台账第"&amp;J117&amp;"行补齐或修正","无需处理")</f>
        <v/>
      </c>
      <c r="J117" s="124" t="n">
        <v>116</v>
      </c>
    </row>
    <row r="118">
      <c r="A118" s="124" t="inlineStr">
        <is>
          <t>项目总控台账</t>
        </is>
      </c>
      <c r="B118" s="124">
        <f>'项目总控台账'!A117</f>
        <v/>
      </c>
      <c r="C118" s="124">
        <f>IF(AND('项目总控台账'!E117&lt;&gt;"",'项目总控台账'!E117&lt;&gt;"/"),'项目总控台账'!E117,IF(AND('项目总控台账'!D117&lt;&gt;"",'项目总控台账'!D117&lt;&gt;"/"),'项目总控台账'!D117,'项目总控台账'!C117))</f>
        <v/>
      </c>
      <c r="D118" s="124">
        <f>'项目总控台账'!H117</f>
        <v/>
      </c>
      <c r="E118" s="125">
        <f>'项目总控台账'!I117</f>
        <v/>
      </c>
      <c r="F118" s="125">
        <f>'项目总控台账'!J117</f>
        <v/>
      </c>
      <c r="G118" s="124">
        <f>IF(B118="","",IF(OR(C118="",C118="/"),"缺少任务名称；","")&amp;IF(OR(D118="",D118="/"),"缺少有效主责人；","")&amp;IF(OR(E118="",E118&lt;DATE(2000,1,1)),"缺少有效计划开始；","")&amp;IF(OR(F118="",F118&lt;DATE(2000,1,1)),"缺少有效计划完成；","")&amp;IF('项目总控台账'!G117="","缺少总体状态；","")&amp;IF(AND(ISNUMBER(E118),ISNUMBER(F118),E118&gt;=DATE(2000,1,1),F118&gt;=DATE(2000,1,1),E118&gt;F118),"开始晚于完成；","")&amp;IF(AND('项目总控台账'!G117="已完成",'项目总控台账'!AB117&lt;1),"已完成但进度不足100%；",""))</f>
        <v/>
      </c>
      <c r="H118" s="124">
        <f>IF(B118="","",IF(G118="","通过","需整改"))</f>
        <v/>
      </c>
      <c r="I118" s="124">
        <f>IF(H118="需整改","回到项目总控台账第"&amp;J118&amp;"行补齐或修正","无需处理")</f>
        <v/>
      </c>
      <c r="J118" s="124" t="n">
        <v>117</v>
      </c>
    </row>
    <row r="119">
      <c r="A119" s="124" t="inlineStr">
        <is>
          <t>项目总控台账</t>
        </is>
      </c>
      <c r="B119" s="124">
        <f>'项目总控台账'!A118</f>
        <v/>
      </c>
      <c r="C119" s="124">
        <f>IF(AND('项目总控台账'!E118&lt;&gt;"",'项目总控台账'!E118&lt;&gt;"/"),'项目总控台账'!E118,IF(AND('项目总控台账'!D118&lt;&gt;"",'项目总控台账'!D118&lt;&gt;"/"),'项目总控台账'!D118,'项目总控台账'!C118))</f>
        <v/>
      </c>
      <c r="D119" s="124">
        <f>'项目总控台账'!H118</f>
        <v/>
      </c>
      <c r="E119" s="125">
        <f>'项目总控台账'!I118</f>
        <v/>
      </c>
      <c r="F119" s="125">
        <f>'项目总控台账'!J118</f>
        <v/>
      </c>
      <c r="G119" s="124">
        <f>IF(B119="","",IF(OR(C119="",C119="/"),"缺少任务名称；","")&amp;IF(OR(D119="",D119="/"),"缺少有效主责人；","")&amp;IF(OR(E119="",E119&lt;DATE(2000,1,1)),"缺少有效计划开始；","")&amp;IF(OR(F119="",F119&lt;DATE(2000,1,1)),"缺少有效计划完成；","")&amp;IF('项目总控台账'!G118="","缺少总体状态；","")&amp;IF(AND(ISNUMBER(E119),ISNUMBER(F119),E119&gt;=DATE(2000,1,1),F119&gt;=DATE(2000,1,1),E119&gt;F119),"开始晚于完成；","")&amp;IF(AND('项目总控台账'!G118="已完成",'项目总控台账'!AB118&lt;1),"已完成但进度不足100%；",""))</f>
        <v/>
      </c>
      <c r="H119" s="124">
        <f>IF(B119="","",IF(G119="","通过","需整改"))</f>
        <v/>
      </c>
      <c r="I119" s="124">
        <f>IF(H119="需整改","回到项目总控台账第"&amp;J119&amp;"行补齐或修正","无需处理")</f>
        <v/>
      </c>
      <c r="J119" s="124" t="n">
        <v>118</v>
      </c>
    </row>
    <row r="120">
      <c r="A120" s="124" t="inlineStr">
        <is>
          <t>项目总控台账</t>
        </is>
      </c>
      <c r="B120" s="124">
        <f>'项目总控台账'!A119</f>
        <v/>
      </c>
      <c r="C120" s="124">
        <f>IF(AND('项目总控台账'!E119&lt;&gt;"",'项目总控台账'!E119&lt;&gt;"/"),'项目总控台账'!E119,IF(AND('项目总控台账'!D119&lt;&gt;"",'项目总控台账'!D119&lt;&gt;"/"),'项目总控台账'!D119,'项目总控台账'!C119))</f>
        <v/>
      </c>
      <c r="D120" s="124">
        <f>'项目总控台账'!H119</f>
        <v/>
      </c>
      <c r="E120" s="125">
        <f>'项目总控台账'!I119</f>
        <v/>
      </c>
      <c r="F120" s="125">
        <f>'项目总控台账'!J119</f>
        <v/>
      </c>
      <c r="G120" s="124">
        <f>IF(B120="","",IF(OR(C120="",C120="/"),"缺少任务名称；","")&amp;IF(OR(D120="",D120="/"),"缺少有效主责人；","")&amp;IF(OR(E120="",E120&lt;DATE(2000,1,1)),"缺少有效计划开始；","")&amp;IF(OR(F120="",F120&lt;DATE(2000,1,1)),"缺少有效计划完成；","")&amp;IF('项目总控台账'!G119="","缺少总体状态；","")&amp;IF(AND(ISNUMBER(E120),ISNUMBER(F120),E120&gt;=DATE(2000,1,1),F120&gt;=DATE(2000,1,1),E120&gt;F120),"开始晚于完成；","")&amp;IF(AND('项目总控台账'!G119="已完成",'项目总控台账'!AB119&lt;1),"已完成但进度不足100%；",""))</f>
        <v/>
      </c>
      <c r="H120" s="124">
        <f>IF(B120="","",IF(G120="","通过","需整改"))</f>
        <v/>
      </c>
      <c r="I120" s="124">
        <f>IF(H120="需整改","回到项目总控台账第"&amp;J120&amp;"行补齐或修正","无需处理")</f>
        <v/>
      </c>
      <c r="J120" s="124" t="n">
        <v>119</v>
      </c>
    </row>
    <row r="121">
      <c r="A121" s="124" t="inlineStr">
        <is>
          <t>项目总控台账</t>
        </is>
      </c>
      <c r="B121" s="124">
        <f>'项目总控台账'!A120</f>
        <v/>
      </c>
      <c r="C121" s="124">
        <f>IF(AND('项目总控台账'!E120&lt;&gt;"",'项目总控台账'!E120&lt;&gt;"/"),'项目总控台账'!E120,IF(AND('项目总控台账'!D120&lt;&gt;"",'项目总控台账'!D120&lt;&gt;"/"),'项目总控台账'!D120,'项目总控台账'!C120))</f>
        <v/>
      </c>
      <c r="D121" s="124">
        <f>'项目总控台账'!H120</f>
        <v/>
      </c>
      <c r="E121" s="125">
        <f>'项目总控台账'!I120</f>
        <v/>
      </c>
      <c r="F121" s="125">
        <f>'项目总控台账'!J120</f>
        <v/>
      </c>
      <c r="G121" s="124">
        <f>IF(B121="","",IF(OR(C121="",C121="/"),"缺少任务名称；","")&amp;IF(OR(D121="",D121="/"),"缺少有效主责人；","")&amp;IF(OR(E121="",E121&lt;DATE(2000,1,1)),"缺少有效计划开始；","")&amp;IF(OR(F121="",F121&lt;DATE(2000,1,1)),"缺少有效计划完成；","")&amp;IF('项目总控台账'!G120="","缺少总体状态；","")&amp;IF(AND(ISNUMBER(E121),ISNUMBER(F121),E121&gt;=DATE(2000,1,1),F121&gt;=DATE(2000,1,1),E121&gt;F121),"开始晚于完成；","")&amp;IF(AND('项目总控台账'!G120="已完成",'项目总控台账'!AB120&lt;1),"已完成但进度不足100%；",""))</f>
        <v/>
      </c>
      <c r="H121" s="124">
        <f>IF(B121="","",IF(G121="","通过","需整改"))</f>
        <v/>
      </c>
      <c r="I121" s="124">
        <f>IF(H121="需整改","回到项目总控台账第"&amp;J121&amp;"行补齐或修正","无需处理")</f>
        <v/>
      </c>
      <c r="J121" s="124" t="n">
        <v>120</v>
      </c>
    </row>
    <row r="122">
      <c r="A122" s="124" t="inlineStr">
        <is>
          <t>项目总控台账</t>
        </is>
      </c>
      <c r="B122" s="124">
        <f>'项目总控台账'!A121</f>
        <v/>
      </c>
      <c r="C122" s="124">
        <f>IF(AND('项目总控台账'!E121&lt;&gt;"",'项目总控台账'!E121&lt;&gt;"/"),'项目总控台账'!E121,IF(AND('项目总控台账'!D121&lt;&gt;"",'项目总控台账'!D121&lt;&gt;"/"),'项目总控台账'!D121,'项目总控台账'!C121))</f>
        <v/>
      </c>
      <c r="D122" s="124">
        <f>'项目总控台账'!H121</f>
        <v/>
      </c>
      <c r="E122" s="125">
        <f>'项目总控台账'!I121</f>
        <v/>
      </c>
      <c r="F122" s="125">
        <f>'项目总控台账'!J121</f>
        <v/>
      </c>
      <c r="G122" s="124">
        <f>IF(B122="","",IF(OR(C122="",C122="/"),"缺少任务名称；","")&amp;IF(OR(D122="",D122="/"),"缺少有效主责人；","")&amp;IF(OR(E122="",E122&lt;DATE(2000,1,1)),"缺少有效计划开始；","")&amp;IF(OR(F122="",F122&lt;DATE(2000,1,1)),"缺少有效计划完成；","")&amp;IF('项目总控台账'!G121="","缺少总体状态；","")&amp;IF(AND(ISNUMBER(E122),ISNUMBER(F122),E122&gt;=DATE(2000,1,1),F122&gt;=DATE(2000,1,1),E122&gt;F122),"开始晚于完成；","")&amp;IF(AND('项目总控台账'!G121="已完成",'项目总控台账'!AB121&lt;1),"已完成但进度不足100%；",""))</f>
        <v/>
      </c>
      <c r="H122" s="124">
        <f>IF(B122="","",IF(G122="","通过","需整改"))</f>
        <v/>
      </c>
      <c r="I122" s="124">
        <f>IF(H122="需整改","回到项目总控台账第"&amp;J122&amp;"行补齐或修正","无需处理")</f>
        <v/>
      </c>
      <c r="J122" s="124" t="n">
        <v>121</v>
      </c>
    </row>
    <row r="123">
      <c r="A123" s="124" t="inlineStr">
        <is>
          <t>项目总控台账</t>
        </is>
      </c>
      <c r="B123" s="124">
        <f>'项目总控台账'!A122</f>
        <v/>
      </c>
      <c r="C123" s="124">
        <f>IF(AND('项目总控台账'!E122&lt;&gt;"",'项目总控台账'!E122&lt;&gt;"/"),'项目总控台账'!E122,IF(AND('项目总控台账'!D122&lt;&gt;"",'项目总控台账'!D122&lt;&gt;"/"),'项目总控台账'!D122,'项目总控台账'!C122))</f>
        <v/>
      </c>
      <c r="D123" s="124">
        <f>'项目总控台账'!H122</f>
        <v/>
      </c>
      <c r="E123" s="125">
        <f>'项目总控台账'!I122</f>
        <v/>
      </c>
      <c r="F123" s="125">
        <f>'项目总控台账'!J122</f>
        <v/>
      </c>
      <c r="G123" s="124">
        <f>IF(B123="","",IF(OR(C123="",C123="/"),"缺少任务名称；","")&amp;IF(OR(D123="",D123="/"),"缺少有效主责人；","")&amp;IF(OR(E123="",E123&lt;DATE(2000,1,1)),"缺少有效计划开始；","")&amp;IF(OR(F123="",F123&lt;DATE(2000,1,1)),"缺少有效计划完成；","")&amp;IF('项目总控台账'!G122="","缺少总体状态；","")&amp;IF(AND(ISNUMBER(E123),ISNUMBER(F123),E123&gt;=DATE(2000,1,1),F123&gt;=DATE(2000,1,1),E123&gt;F123),"开始晚于完成；","")&amp;IF(AND('项目总控台账'!G122="已完成",'项目总控台账'!AB122&lt;1),"已完成但进度不足100%；",""))</f>
        <v/>
      </c>
      <c r="H123" s="124">
        <f>IF(B123="","",IF(G123="","通过","需整改"))</f>
        <v/>
      </c>
      <c r="I123" s="124">
        <f>IF(H123="需整改","回到项目总控台账第"&amp;J123&amp;"行补齐或修正","无需处理")</f>
        <v/>
      </c>
      <c r="J123" s="124" t="n">
        <v>122</v>
      </c>
    </row>
    <row r="124">
      <c r="A124" s="124" t="inlineStr">
        <is>
          <t>项目总控台账</t>
        </is>
      </c>
      <c r="B124" s="124">
        <f>'项目总控台账'!A123</f>
        <v/>
      </c>
      <c r="C124" s="124">
        <f>IF(AND('项目总控台账'!E123&lt;&gt;"",'项目总控台账'!E123&lt;&gt;"/"),'项目总控台账'!E123,IF(AND('项目总控台账'!D123&lt;&gt;"",'项目总控台账'!D123&lt;&gt;"/"),'项目总控台账'!D123,'项目总控台账'!C123))</f>
        <v/>
      </c>
      <c r="D124" s="124">
        <f>'项目总控台账'!H123</f>
        <v/>
      </c>
      <c r="E124" s="125">
        <f>'项目总控台账'!I123</f>
        <v/>
      </c>
      <c r="F124" s="125">
        <f>'项目总控台账'!J123</f>
        <v/>
      </c>
      <c r="G124" s="124">
        <f>IF(B124="","",IF(OR(C124="",C124="/"),"缺少任务名称；","")&amp;IF(OR(D124="",D124="/"),"缺少有效主责人；","")&amp;IF(OR(E124="",E124&lt;DATE(2000,1,1)),"缺少有效计划开始；","")&amp;IF(OR(F124="",F124&lt;DATE(2000,1,1)),"缺少有效计划完成；","")&amp;IF('项目总控台账'!G123="","缺少总体状态；","")&amp;IF(AND(ISNUMBER(E124),ISNUMBER(F124),E124&gt;=DATE(2000,1,1),F124&gt;=DATE(2000,1,1),E124&gt;F124),"开始晚于完成；","")&amp;IF(AND('项目总控台账'!G123="已完成",'项目总控台账'!AB123&lt;1),"已完成但进度不足100%；",""))</f>
        <v/>
      </c>
      <c r="H124" s="124">
        <f>IF(B124="","",IF(G124="","通过","需整改"))</f>
        <v/>
      </c>
      <c r="I124" s="124">
        <f>IF(H124="需整改","回到项目总控台账第"&amp;J124&amp;"行补齐或修正","无需处理")</f>
        <v/>
      </c>
      <c r="J124" s="124" t="n">
        <v>123</v>
      </c>
    </row>
    <row r="125">
      <c r="A125" s="124" t="inlineStr">
        <is>
          <t>项目总控台账</t>
        </is>
      </c>
      <c r="B125" s="124">
        <f>'项目总控台账'!A124</f>
        <v/>
      </c>
      <c r="C125" s="124">
        <f>IF(AND('项目总控台账'!E124&lt;&gt;"",'项目总控台账'!E124&lt;&gt;"/"),'项目总控台账'!E124,IF(AND('项目总控台账'!D124&lt;&gt;"",'项目总控台账'!D124&lt;&gt;"/"),'项目总控台账'!D124,'项目总控台账'!C124))</f>
        <v/>
      </c>
      <c r="D125" s="124">
        <f>'项目总控台账'!H124</f>
        <v/>
      </c>
      <c r="E125" s="125">
        <f>'项目总控台账'!I124</f>
        <v/>
      </c>
      <c r="F125" s="125">
        <f>'项目总控台账'!J124</f>
        <v/>
      </c>
      <c r="G125" s="124">
        <f>IF(B125="","",IF(OR(C125="",C125="/"),"缺少任务名称；","")&amp;IF(OR(D125="",D125="/"),"缺少有效主责人；","")&amp;IF(OR(E125="",E125&lt;DATE(2000,1,1)),"缺少有效计划开始；","")&amp;IF(OR(F125="",F125&lt;DATE(2000,1,1)),"缺少有效计划完成；","")&amp;IF('项目总控台账'!G124="","缺少总体状态；","")&amp;IF(AND(ISNUMBER(E125),ISNUMBER(F125),E125&gt;=DATE(2000,1,1),F125&gt;=DATE(2000,1,1),E125&gt;F125),"开始晚于完成；","")&amp;IF(AND('项目总控台账'!G124="已完成",'项目总控台账'!AB124&lt;1),"已完成但进度不足100%；",""))</f>
        <v/>
      </c>
      <c r="H125" s="124">
        <f>IF(B125="","",IF(G125="","通过","需整改"))</f>
        <v/>
      </c>
      <c r="I125" s="124">
        <f>IF(H125="需整改","回到项目总控台账第"&amp;J125&amp;"行补齐或修正","无需处理")</f>
        <v/>
      </c>
      <c r="J125" s="124" t="n">
        <v>124</v>
      </c>
    </row>
    <row r="126">
      <c r="A126" s="124" t="inlineStr">
        <is>
          <t>项目总控台账</t>
        </is>
      </c>
      <c r="B126" s="124">
        <f>'项目总控台账'!A125</f>
        <v/>
      </c>
      <c r="C126" s="124">
        <f>IF(AND('项目总控台账'!E125&lt;&gt;"",'项目总控台账'!E125&lt;&gt;"/"),'项目总控台账'!E125,IF(AND('项目总控台账'!D125&lt;&gt;"",'项目总控台账'!D125&lt;&gt;"/"),'项目总控台账'!D125,'项目总控台账'!C125))</f>
        <v/>
      </c>
      <c r="D126" s="124">
        <f>'项目总控台账'!H125</f>
        <v/>
      </c>
      <c r="E126" s="125">
        <f>'项目总控台账'!I125</f>
        <v/>
      </c>
      <c r="F126" s="125">
        <f>'项目总控台账'!J125</f>
        <v/>
      </c>
      <c r="G126" s="124">
        <f>IF(B126="","",IF(OR(C126="",C126="/"),"缺少任务名称；","")&amp;IF(OR(D126="",D126="/"),"缺少有效主责人；","")&amp;IF(OR(E126="",E126&lt;DATE(2000,1,1)),"缺少有效计划开始；","")&amp;IF(OR(F126="",F126&lt;DATE(2000,1,1)),"缺少有效计划完成；","")&amp;IF('项目总控台账'!G125="","缺少总体状态；","")&amp;IF(AND(ISNUMBER(E126),ISNUMBER(F126),E126&gt;=DATE(2000,1,1),F126&gt;=DATE(2000,1,1),E126&gt;F126),"开始晚于完成；","")&amp;IF(AND('项目总控台账'!G125="已完成",'项目总控台账'!AB125&lt;1),"已完成但进度不足100%；",""))</f>
        <v/>
      </c>
      <c r="H126" s="124">
        <f>IF(B126="","",IF(G126="","通过","需整改"))</f>
        <v/>
      </c>
      <c r="I126" s="124">
        <f>IF(H126="需整改","回到项目总控台账第"&amp;J126&amp;"行补齐或修正","无需处理")</f>
        <v/>
      </c>
      <c r="J126" s="124" t="n">
        <v>125</v>
      </c>
    </row>
    <row r="127">
      <c r="A127" s="124" t="inlineStr">
        <is>
          <t>项目总控台账</t>
        </is>
      </c>
      <c r="B127" s="124">
        <f>'项目总控台账'!A126</f>
        <v/>
      </c>
      <c r="C127" s="124">
        <f>IF(AND('项目总控台账'!E126&lt;&gt;"",'项目总控台账'!E126&lt;&gt;"/"),'项目总控台账'!E126,IF(AND('项目总控台账'!D126&lt;&gt;"",'项目总控台账'!D126&lt;&gt;"/"),'项目总控台账'!D126,'项目总控台账'!C126))</f>
        <v/>
      </c>
      <c r="D127" s="124">
        <f>'项目总控台账'!H126</f>
        <v/>
      </c>
      <c r="E127" s="125">
        <f>'项目总控台账'!I126</f>
        <v/>
      </c>
      <c r="F127" s="125">
        <f>'项目总控台账'!J126</f>
        <v/>
      </c>
      <c r="G127" s="124">
        <f>IF(B127="","",IF(OR(C127="",C127="/"),"缺少任务名称；","")&amp;IF(OR(D127="",D127="/"),"缺少有效主责人；","")&amp;IF(OR(E127="",E127&lt;DATE(2000,1,1)),"缺少有效计划开始；","")&amp;IF(OR(F127="",F127&lt;DATE(2000,1,1)),"缺少有效计划完成；","")&amp;IF('项目总控台账'!G126="","缺少总体状态；","")&amp;IF(AND(ISNUMBER(E127),ISNUMBER(F127),E127&gt;=DATE(2000,1,1),F127&gt;=DATE(2000,1,1),E127&gt;F127),"开始晚于完成；","")&amp;IF(AND('项目总控台账'!G126="已完成",'项目总控台账'!AB126&lt;1),"已完成但进度不足100%；",""))</f>
        <v/>
      </c>
      <c r="H127" s="124">
        <f>IF(B127="","",IF(G127="","通过","需整改"))</f>
        <v/>
      </c>
      <c r="I127" s="124">
        <f>IF(H127="需整改","回到项目总控台账第"&amp;J127&amp;"行补齐或修正","无需处理")</f>
        <v/>
      </c>
      <c r="J127" s="124" t="n">
        <v>126</v>
      </c>
    </row>
    <row r="128">
      <c r="A128" s="124" t="inlineStr">
        <is>
          <t>项目总控台账</t>
        </is>
      </c>
      <c r="B128" s="124">
        <f>'项目总控台账'!A127</f>
        <v/>
      </c>
      <c r="C128" s="124">
        <f>IF(AND('项目总控台账'!E127&lt;&gt;"",'项目总控台账'!E127&lt;&gt;"/"),'项目总控台账'!E127,IF(AND('项目总控台账'!D127&lt;&gt;"",'项目总控台账'!D127&lt;&gt;"/"),'项目总控台账'!D127,'项目总控台账'!C127))</f>
        <v/>
      </c>
      <c r="D128" s="124">
        <f>'项目总控台账'!H127</f>
        <v/>
      </c>
      <c r="E128" s="125">
        <f>'项目总控台账'!I127</f>
        <v/>
      </c>
      <c r="F128" s="125">
        <f>'项目总控台账'!J127</f>
        <v/>
      </c>
      <c r="G128" s="124">
        <f>IF(B128="","",IF(OR(C128="",C128="/"),"缺少任务名称；","")&amp;IF(OR(D128="",D128="/"),"缺少有效主责人；","")&amp;IF(OR(E128="",E128&lt;DATE(2000,1,1)),"缺少有效计划开始；","")&amp;IF(OR(F128="",F128&lt;DATE(2000,1,1)),"缺少有效计划完成；","")&amp;IF('项目总控台账'!G127="","缺少总体状态；","")&amp;IF(AND(ISNUMBER(E128),ISNUMBER(F128),E128&gt;=DATE(2000,1,1),F128&gt;=DATE(2000,1,1),E128&gt;F128),"开始晚于完成；","")&amp;IF(AND('项目总控台账'!G127="已完成",'项目总控台账'!AB127&lt;1),"已完成但进度不足100%；",""))</f>
        <v/>
      </c>
      <c r="H128" s="124">
        <f>IF(B128="","",IF(G128="","通过","需整改"))</f>
        <v/>
      </c>
      <c r="I128" s="124">
        <f>IF(H128="需整改","回到项目总控台账第"&amp;J128&amp;"行补齐或修正","无需处理")</f>
        <v/>
      </c>
      <c r="J128" s="124" t="n">
        <v>127</v>
      </c>
    </row>
    <row r="129">
      <c r="A129" s="124" t="inlineStr">
        <is>
          <t>项目总控台账</t>
        </is>
      </c>
      <c r="B129" s="124">
        <f>'项目总控台账'!A128</f>
        <v/>
      </c>
      <c r="C129" s="124">
        <f>IF(AND('项目总控台账'!E128&lt;&gt;"",'项目总控台账'!E128&lt;&gt;"/"),'项目总控台账'!E128,IF(AND('项目总控台账'!D128&lt;&gt;"",'项目总控台账'!D128&lt;&gt;"/"),'项目总控台账'!D128,'项目总控台账'!C128))</f>
        <v/>
      </c>
      <c r="D129" s="124">
        <f>'项目总控台账'!H128</f>
        <v/>
      </c>
      <c r="E129" s="125">
        <f>'项目总控台账'!I128</f>
        <v/>
      </c>
      <c r="F129" s="125">
        <f>'项目总控台账'!J128</f>
        <v/>
      </c>
      <c r="G129" s="124">
        <f>IF(B129="","",IF(OR(C129="",C129="/"),"缺少任务名称；","")&amp;IF(OR(D129="",D129="/"),"缺少有效主责人；","")&amp;IF(OR(E129="",E129&lt;DATE(2000,1,1)),"缺少有效计划开始；","")&amp;IF(OR(F129="",F129&lt;DATE(2000,1,1)),"缺少有效计划完成；","")&amp;IF('项目总控台账'!G128="","缺少总体状态；","")&amp;IF(AND(ISNUMBER(E129),ISNUMBER(F129),E129&gt;=DATE(2000,1,1),F129&gt;=DATE(2000,1,1),E129&gt;F129),"开始晚于完成；","")&amp;IF(AND('项目总控台账'!G128="已完成",'项目总控台账'!AB128&lt;1),"已完成但进度不足100%；",""))</f>
        <v/>
      </c>
      <c r="H129" s="124">
        <f>IF(B129="","",IF(G129="","通过","需整改"))</f>
        <v/>
      </c>
      <c r="I129" s="124">
        <f>IF(H129="需整改","回到项目总控台账第"&amp;J129&amp;"行补齐或修正","无需处理")</f>
        <v/>
      </c>
      <c r="J129" s="124" t="n">
        <v>128</v>
      </c>
    </row>
    <row r="130">
      <c r="A130" s="124" t="inlineStr">
        <is>
          <t>项目总控台账</t>
        </is>
      </c>
      <c r="B130" s="124">
        <f>'项目总控台账'!A129</f>
        <v/>
      </c>
      <c r="C130" s="124">
        <f>IF(AND('项目总控台账'!E129&lt;&gt;"",'项目总控台账'!E129&lt;&gt;"/"),'项目总控台账'!E129,IF(AND('项目总控台账'!D129&lt;&gt;"",'项目总控台账'!D129&lt;&gt;"/"),'项目总控台账'!D129,'项目总控台账'!C129))</f>
        <v/>
      </c>
      <c r="D130" s="124">
        <f>'项目总控台账'!H129</f>
        <v/>
      </c>
      <c r="E130" s="125">
        <f>'项目总控台账'!I129</f>
        <v/>
      </c>
      <c r="F130" s="125">
        <f>'项目总控台账'!J129</f>
        <v/>
      </c>
      <c r="G130" s="124">
        <f>IF(B130="","",IF(OR(C130="",C130="/"),"缺少任务名称；","")&amp;IF(OR(D130="",D130="/"),"缺少有效主责人；","")&amp;IF(OR(E130="",E130&lt;DATE(2000,1,1)),"缺少有效计划开始；","")&amp;IF(OR(F130="",F130&lt;DATE(2000,1,1)),"缺少有效计划完成；","")&amp;IF('项目总控台账'!G129="","缺少总体状态；","")&amp;IF(AND(ISNUMBER(E130),ISNUMBER(F130),E130&gt;=DATE(2000,1,1),F130&gt;=DATE(2000,1,1),E130&gt;F130),"开始晚于完成；","")&amp;IF(AND('项目总控台账'!G129="已完成",'项目总控台账'!AB129&lt;1),"已完成但进度不足100%；",""))</f>
        <v/>
      </c>
      <c r="H130" s="124">
        <f>IF(B130="","",IF(G130="","通过","需整改"))</f>
        <v/>
      </c>
      <c r="I130" s="124">
        <f>IF(H130="需整改","回到项目总控台账第"&amp;J130&amp;"行补齐或修正","无需处理")</f>
        <v/>
      </c>
      <c r="J130" s="124" t="n">
        <v>129</v>
      </c>
    </row>
    <row r="131">
      <c r="A131" s="124" t="inlineStr">
        <is>
          <t>项目总控台账</t>
        </is>
      </c>
      <c r="B131" s="124">
        <f>'项目总控台账'!A130</f>
        <v/>
      </c>
      <c r="C131" s="124">
        <f>IF(AND('项目总控台账'!E130&lt;&gt;"",'项目总控台账'!E130&lt;&gt;"/"),'项目总控台账'!E130,IF(AND('项目总控台账'!D130&lt;&gt;"",'项目总控台账'!D130&lt;&gt;"/"),'项目总控台账'!D130,'项目总控台账'!C130))</f>
        <v/>
      </c>
      <c r="D131" s="124">
        <f>'项目总控台账'!H130</f>
        <v/>
      </c>
      <c r="E131" s="125">
        <f>'项目总控台账'!I130</f>
        <v/>
      </c>
      <c r="F131" s="125">
        <f>'项目总控台账'!J130</f>
        <v/>
      </c>
      <c r="G131" s="124">
        <f>IF(B131="","",IF(OR(C131="",C131="/"),"缺少任务名称；","")&amp;IF(OR(D131="",D131="/"),"缺少有效主责人；","")&amp;IF(OR(E131="",E131&lt;DATE(2000,1,1)),"缺少有效计划开始；","")&amp;IF(OR(F131="",F131&lt;DATE(2000,1,1)),"缺少有效计划完成；","")&amp;IF('项目总控台账'!G130="","缺少总体状态；","")&amp;IF(AND(ISNUMBER(E131),ISNUMBER(F131),E131&gt;=DATE(2000,1,1),F131&gt;=DATE(2000,1,1),E131&gt;F131),"开始晚于完成；","")&amp;IF(AND('项目总控台账'!G130="已完成",'项目总控台账'!AB130&lt;1),"已完成但进度不足100%；",""))</f>
        <v/>
      </c>
      <c r="H131" s="124">
        <f>IF(B131="","",IF(G131="","通过","需整改"))</f>
        <v/>
      </c>
      <c r="I131" s="124">
        <f>IF(H131="需整改","回到项目总控台账第"&amp;J131&amp;"行补齐或修正","无需处理")</f>
        <v/>
      </c>
      <c r="J131" s="124" t="n">
        <v>130</v>
      </c>
    </row>
    <row r="132">
      <c r="A132" s="124" t="inlineStr">
        <is>
          <t>项目总控台账</t>
        </is>
      </c>
      <c r="B132" s="124">
        <f>'项目总控台账'!A131</f>
        <v/>
      </c>
      <c r="C132" s="124">
        <f>IF(AND('项目总控台账'!E131&lt;&gt;"",'项目总控台账'!E131&lt;&gt;"/"),'项目总控台账'!E131,IF(AND('项目总控台账'!D131&lt;&gt;"",'项目总控台账'!D131&lt;&gt;"/"),'项目总控台账'!D131,'项目总控台账'!C131))</f>
        <v/>
      </c>
      <c r="D132" s="124">
        <f>'项目总控台账'!H131</f>
        <v/>
      </c>
      <c r="E132" s="125">
        <f>'项目总控台账'!I131</f>
        <v/>
      </c>
      <c r="F132" s="125">
        <f>'项目总控台账'!J131</f>
        <v/>
      </c>
      <c r="G132" s="124">
        <f>IF(B132="","",IF(OR(C132="",C132="/"),"缺少任务名称；","")&amp;IF(OR(D132="",D132="/"),"缺少有效主责人；","")&amp;IF(OR(E132="",E132&lt;DATE(2000,1,1)),"缺少有效计划开始；","")&amp;IF(OR(F132="",F132&lt;DATE(2000,1,1)),"缺少有效计划完成；","")&amp;IF('项目总控台账'!G131="","缺少总体状态；","")&amp;IF(AND(ISNUMBER(E132),ISNUMBER(F132),E132&gt;=DATE(2000,1,1),F132&gt;=DATE(2000,1,1),E132&gt;F132),"开始晚于完成；","")&amp;IF(AND('项目总控台账'!G131="已完成",'项目总控台账'!AB131&lt;1),"已完成但进度不足100%；",""))</f>
        <v/>
      </c>
      <c r="H132" s="124">
        <f>IF(B132="","",IF(G132="","通过","需整改"))</f>
        <v/>
      </c>
      <c r="I132" s="124">
        <f>IF(H132="需整改","回到项目总控台账第"&amp;J132&amp;"行补齐或修正","无需处理")</f>
        <v/>
      </c>
      <c r="J132" s="124" t="n">
        <v>131</v>
      </c>
    </row>
    <row r="133">
      <c r="A133" s="124" t="inlineStr">
        <is>
          <t>项目总控台账</t>
        </is>
      </c>
      <c r="B133" s="124">
        <f>'项目总控台账'!A132</f>
        <v/>
      </c>
      <c r="C133" s="124">
        <f>IF(AND('项目总控台账'!E132&lt;&gt;"",'项目总控台账'!E132&lt;&gt;"/"),'项目总控台账'!E132,IF(AND('项目总控台账'!D132&lt;&gt;"",'项目总控台账'!D132&lt;&gt;"/"),'项目总控台账'!D132,'项目总控台账'!C132))</f>
        <v/>
      </c>
      <c r="D133" s="124">
        <f>'项目总控台账'!H132</f>
        <v/>
      </c>
      <c r="E133" s="125">
        <f>'项目总控台账'!I132</f>
        <v/>
      </c>
      <c r="F133" s="125">
        <f>'项目总控台账'!J132</f>
        <v/>
      </c>
      <c r="G133" s="124">
        <f>IF(B133="","",IF(OR(C133="",C133="/"),"缺少任务名称；","")&amp;IF(OR(D133="",D133="/"),"缺少有效主责人；","")&amp;IF(OR(E133="",E133&lt;DATE(2000,1,1)),"缺少有效计划开始；","")&amp;IF(OR(F133="",F133&lt;DATE(2000,1,1)),"缺少有效计划完成；","")&amp;IF('项目总控台账'!G132="","缺少总体状态；","")&amp;IF(AND(ISNUMBER(E133),ISNUMBER(F133),E133&gt;=DATE(2000,1,1),F133&gt;=DATE(2000,1,1),E133&gt;F133),"开始晚于完成；","")&amp;IF(AND('项目总控台账'!G132="已完成",'项目总控台账'!AB132&lt;1),"已完成但进度不足100%；",""))</f>
        <v/>
      </c>
      <c r="H133" s="124">
        <f>IF(B133="","",IF(G133="","通过","需整改"))</f>
        <v/>
      </c>
      <c r="I133" s="124">
        <f>IF(H133="需整改","回到项目总控台账第"&amp;J133&amp;"行补齐或修正","无需处理")</f>
        <v/>
      </c>
      <c r="J133" s="124" t="n">
        <v>132</v>
      </c>
    </row>
    <row r="134">
      <c r="A134" s="124" t="inlineStr">
        <is>
          <t>项目总控台账</t>
        </is>
      </c>
      <c r="B134" s="124">
        <f>'项目总控台账'!A133</f>
        <v/>
      </c>
      <c r="C134" s="124">
        <f>IF(AND('项目总控台账'!E133&lt;&gt;"",'项目总控台账'!E133&lt;&gt;"/"),'项目总控台账'!E133,IF(AND('项目总控台账'!D133&lt;&gt;"",'项目总控台账'!D133&lt;&gt;"/"),'项目总控台账'!D133,'项目总控台账'!C133))</f>
        <v/>
      </c>
      <c r="D134" s="124">
        <f>'项目总控台账'!H133</f>
        <v/>
      </c>
      <c r="E134" s="125">
        <f>'项目总控台账'!I133</f>
        <v/>
      </c>
      <c r="F134" s="125">
        <f>'项目总控台账'!J133</f>
        <v/>
      </c>
      <c r="G134" s="124">
        <f>IF(B134="","",IF(OR(C134="",C134="/"),"缺少任务名称；","")&amp;IF(OR(D134="",D134="/"),"缺少有效主责人；","")&amp;IF(OR(E134="",E134&lt;DATE(2000,1,1)),"缺少有效计划开始；","")&amp;IF(OR(F134="",F134&lt;DATE(2000,1,1)),"缺少有效计划完成；","")&amp;IF('项目总控台账'!G133="","缺少总体状态；","")&amp;IF(AND(ISNUMBER(E134),ISNUMBER(F134),E134&gt;=DATE(2000,1,1),F134&gt;=DATE(2000,1,1),E134&gt;F134),"开始晚于完成；","")&amp;IF(AND('项目总控台账'!G133="已完成",'项目总控台账'!AB133&lt;1),"已完成但进度不足100%；",""))</f>
        <v/>
      </c>
      <c r="H134" s="124">
        <f>IF(B134="","",IF(G134="","通过","需整改"))</f>
        <v/>
      </c>
      <c r="I134" s="124">
        <f>IF(H134="需整改","回到项目总控台账第"&amp;J134&amp;"行补齐或修正","无需处理")</f>
        <v/>
      </c>
      <c r="J134" s="124" t="n">
        <v>133</v>
      </c>
    </row>
    <row r="135">
      <c r="A135" s="124" t="inlineStr">
        <is>
          <t>项目总控台账</t>
        </is>
      </c>
      <c r="B135" s="124">
        <f>'项目总控台账'!A134</f>
        <v/>
      </c>
      <c r="C135" s="124">
        <f>IF(AND('项目总控台账'!E134&lt;&gt;"",'项目总控台账'!E134&lt;&gt;"/"),'项目总控台账'!E134,IF(AND('项目总控台账'!D134&lt;&gt;"",'项目总控台账'!D134&lt;&gt;"/"),'项目总控台账'!D134,'项目总控台账'!C134))</f>
        <v/>
      </c>
      <c r="D135" s="124">
        <f>'项目总控台账'!H134</f>
        <v/>
      </c>
      <c r="E135" s="125">
        <f>'项目总控台账'!I134</f>
        <v/>
      </c>
      <c r="F135" s="125">
        <f>'项目总控台账'!J134</f>
        <v/>
      </c>
      <c r="G135" s="124">
        <f>IF(B135="","",IF(OR(C135="",C135="/"),"缺少任务名称；","")&amp;IF(OR(D135="",D135="/"),"缺少有效主责人；","")&amp;IF(OR(E135="",E135&lt;DATE(2000,1,1)),"缺少有效计划开始；","")&amp;IF(OR(F135="",F135&lt;DATE(2000,1,1)),"缺少有效计划完成；","")&amp;IF('项目总控台账'!G134="","缺少总体状态；","")&amp;IF(AND(ISNUMBER(E135),ISNUMBER(F135),E135&gt;=DATE(2000,1,1),F135&gt;=DATE(2000,1,1),E135&gt;F135),"开始晚于完成；","")&amp;IF(AND('项目总控台账'!G134="已完成",'项目总控台账'!AB134&lt;1),"已完成但进度不足100%；",""))</f>
        <v/>
      </c>
      <c r="H135" s="124">
        <f>IF(B135="","",IF(G135="","通过","需整改"))</f>
        <v/>
      </c>
      <c r="I135" s="124">
        <f>IF(H135="需整改","回到项目总控台账第"&amp;J135&amp;"行补齐或修正","无需处理")</f>
        <v/>
      </c>
      <c r="J135" s="124" t="n">
        <v>134</v>
      </c>
    </row>
    <row r="136">
      <c r="A136" s="124" t="inlineStr">
        <is>
          <t>项目总控台账</t>
        </is>
      </c>
      <c r="B136" s="124">
        <f>'项目总控台账'!A135</f>
        <v/>
      </c>
      <c r="C136" s="124">
        <f>IF(AND('项目总控台账'!E135&lt;&gt;"",'项目总控台账'!E135&lt;&gt;"/"),'项目总控台账'!E135,IF(AND('项目总控台账'!D135&lt;&gt;"",'项目总控台账'!D135&lt;&gt;"/"),'项目总控台账'!D135,'项目总控台账'!C135))</f>
        <v/>
      </c>
      <c r="D136" s="124">
        <f>'项目总控台账'!H135</f>
        <v/>
      </c>
      <c r="E136" s="125">
        <f>'项目总控台账'!I135</f>
        <v/>
      </c>
      <c r="F136" s="125">
        <f>'项目总控台账'!J135</f>
        <v/>
      </c>
      <c r="G136" s="124">
        <f>IF(B136="","",IF(OR(C136="",C136="/"),"缺少任务名称；","")&amp;IF(OR(D136="",D136="/"),"缺少有效主责人；","")&amp;IF(OR(E136="",E136&lt;DATE(2000,1,1)),"缺少有效计划开始；","")&amp;IF(OR(F136="",F136&lt;DATE(2000,1,1)),"缺少有效计划完成；","")&amp;IF('项目总控台账'!G135="","缺少总体状态；","")&amp;IF(AND(ISNUMBER(E136),ISNUMBER(F136),E136&gt;=DATE(2000,1,1),F136&gt;=DATE(2000,1,1),E136&gt;F136),"开始晚于完成；","")&amp;IF(AND('项目总控台账'!G135="已完成",'项目总控台账'!AB135&lt;1),"已完成但进度不足100%；",""))</f>
        <v/>
      </c>
      <c r="H136" s="124">
        <f>IF(B136="","",IF(G136="","通过","需整改"))</f>
        <v/>
      </c>
      <c r="I136" s="124">
        <f>IF(H136="需整改","回到项目总控台账第"&amp;J136&amp;"行补齐或修正","无需处理")</f>
        <v/>
      </c>
      <c r="J136" s="124" t="n">
        <v>135</v>
      </c>
    </row>
    <row r="137">
      <c r="A137" s="124" t="inlineStr">
        <is>
          <t>项目总控台账</t>
        </is>
      </c>
      <c r="B137" s="124">
        <f>'项目总控台账'!A136</f>
        <v/>
      </c>
      <c r="C137" s="124">
        <f>IF(AND('项目总控台账'!E136&lt;&gt;"",'项目总控台账'!E136&lt;&gt;"/"),'项目总控台账'!E136,IF(AND('项目总控台账'!D136&lt;&gt;"",'项目总控台账'!D136&lt;&gt;"/"),'项目总控台账'!D136,'项目总控台账'!C136))</f>
        <v/>
      </c>
      <c r="D137" s="124">
        <f>'项目总控台账'!H136</f>
        <v/>
      </c>
      <c r="E137" s="125">
        <f>'项目总控台账'!I136</f>
        <v/>
      </c>
      <c r="F137" s="125">
        <f>'项目总控台账'!J136</f>
        <v/>
      </c>
      <c r="G137" s="124">
        <f>IF(B137="","",IF(OR(C137="",C137="/"),"缺少任务名称；","")&amp;IF(OR(D137="",D137="/"),"缺少有效主责人；","")&amp;IF(OR(E137="",E137&lt;DATE(2000,1,1)),"缺少有效计划开始；","")&amp;IF(OR(F137="",F137&lt;DATE(2000,1,1)),"缺少有效计划完成；","")&amp;IF('项目总控台账'!G136="","缺少总体状态；","")&amp;IF(AND(ISNUMBER(E137),ISNUMBER(F137),E137&gt;=DATE(2000,1,1),F137&gt;=DATE(2000,1,1),E137&gt;F137),"开始晚于完成；","")&amp;IF(AND('项目总控台账'!G136="已完成",'项目总控台账'!AB136&lt;1),"已完成但进度不足100%；",""))</f>
        <v/>
      </c>
      <c r="H137" s="124">
        <f>IF(B137="","",IF(G137="","通过","需整改"))</f>
        <v/>
      </c>
      <c r="I137" s="124">
        <f>IF(H137="需整改","回到项目总控台账第"&amp;J137&amp;"行补齐或修正","无需处理")</f>
        <v/>
      </c>
      <c r="J137" s="124" t="n">
        <v>136</v>
      </c>
    </row>
    <row r="138">
      <c r="A138" s="124" t="inlineStr">
        <is>
          <t>项目总控台账</t>
        </is>
      </c>
      <c r="B138" s="124">
        <f>'项目总控台账'!A137</f>
        <v/>
      </c>
      <c r="C138" s="124">
        <f>IF(AND('项目总控台账'!E137&lt;&gt;"",'项目总控台账'!E137&lt;&gt;"/"),'项目总控台账'!E137,IF(AND('项目总控台账'!D137&lt;&gt;"",'项目总控台账'!D137&lt;&gt;"/"),'项目总控台账'!D137,'项目总控台账'!C137))</f>
        <v/>
      </c>
      <c r="D138" s="124">
        <f>'项目总控台账'!H137</f>
        <v/>
      </c>
      <c r="E138" s="125">
        <f>'项目总控台账'!I137</f>
        <v/>
      </c>
      <c r="F138" s="125">
        <f>'项目总控台账'!J137</f>
        <v/>
      </c>
      <c r="G138" s="124">
        <f>IF(B138="","",IF(OR(C138="",C138="/"),"缺少任务名称；","")&amp;IF(OR(D138="",D138="/"),"缺少有效主责人；","")&amp;IF(OR(E138="",E138&lt;DATE(2000,1,1)),"缺少有效计划开始；","")&amp;IF(OR(F138="",F138&lt;DATE(2000,1,1)),"缺少有效计划完成；","")&amp;IF('项目总控台账'!G137="","缺少总体状态；","")&amp;IF(AND(ISNUMBER(E138),ISNUMBER(F138),E138&gt;=DATE(2000,1,1),F138&gt;=DATE(2000,1,1),E138&gt;F138),"开始晚于完成；","")&amp;IF(AND('项目总控台账'!G137="已完成",'项目总控台账'!AB137&lt;1),"已完成但进度不足100%；",""))</f>
        <v/>
      </c>
      <c r="H138" s="124">
        <f>IF(B138="","",IF(G138="","通过","需整改"))</f>
        <v/>
      </c>
      <c r="I138" s="124">
        <f>IF(H138="需整改","回到项目总控台账第"&amp;J138&amp;"行补齐或修正","无需处理")</f>
        <v/>
      </c>
      <c r="J138" s="124" t="n">
        <v>137</v>
      </c>
    </row>
    <row r="139">
      <c r="A139" s="124" t="inlineStr">
        <is>
          <t>项目总控台账</t>
        </is>
      </c>
      <c r="B139" s="124">
        <f>'项目总控台账'!A138</f>
        <v/>
      </c>
      <c r="C139" s="124">
        <f>IF(AND('项目总控台账'!E138&lt;&gt;"",'项目总控台账'!E138&lt;&gt;"/"),'项目总控台账'!E138,IF(AND('项目总控台账'!D138&lt;&gt;"",'项目总控台账'!D138&lt;&gt;"/"),'项目总控台账'!D138,'项目总控台账'!C138))</f>
        <v/>
      </c>
      <c r="D139" s="124">
        <f>'项目总控台账'!H138</f>
        <v/>
      </c>
      <c r="E139" s="125">
        <f>'项目总控台账'!I138</f>
        <v/>
      </c>
      <c r="F139" s="125">
        <f>'项目总控台账'!J138</f>
        <v/>
      </c>
      <c r="G139" s="124">
        <f>IF(B139="","",IF(OR(C139="",C139="/"),"缺少任务名称；","")&amp;IF(OR(D139="",D139="/"),"缺少有效主责人；","")&amp;IF(OR(E139="",E139&lt;DATE(2000,1,1)),"缺少有效计划开始；","")&amp;IF(OR(F139="",F139&lt;DATE(2000,1,1)),"缺少有效计划完成；","")&amp;IF('项目总控台账'!G138="","缺少总体状态；","")&amp;IF(AND(ISNUMBER(E139),ISNUMBER(F139),E139&gt;=DATE(2000,1,1),F139&gt;=DATE(2000,1,1),E139&gt;F139),"开始晚于完成；","")&amp;IF(AND('项目总控台账'!G138="已完成",'项目总控台账'!AB138&lt;1),"已完成但进度不足100%；",""))</f>
        <v/>
      </c>
      <c r="H139" s="124">
        <f>IF(B139="","",IF(G139="","通过","需整改"))</f>
        <v/>
      </c>
      <c r="I139" s="124">
        <f>IF(H139="需整改","回到项目总控台账第"&amp;J139&amp;"行补齐或修正","无需处理")</f>
        <v/>
      </c>
      <c r="J139" s="124" t="n">
        <v>138</v>
      </c>
    </row>
    <row r="140">
      <c r="A140" s="124" t="inlineStr">
        <is>
          <t>项目总控台账</t>
        </is>
      </c>
      <c r="B140" s="124">
        <f>'项目总控台账'!A139</f>
        <v/>
      </c>
      <c r="C140" s="124">
        <f>IF(AND('项目总控台账'!E139&lt;&gt;"",'项目总控台账'!E139&lt;&gt;"/"),'项目总控台账'!E139,IF(AND('项目总控台账'!D139&lt;&gt;"",'项目总控台账'!D139&lt;&gt;"/"),'项目总控台账'!D139,'项目总控台账'!C139))</f>
        <v/>
      </c>
      <c r="D140" s="124">
        <f>'项目总控台账'!H139</f>
        <v/>
      </c>
      <c r="E140" s="125">
        <f>'项目总控台账'!I139</f>
        <v/>
      </c>
      <c r="F140" s="125">
        <f>'项目总控台账'!J139</f>
        <v/>
      </c>
      <c r="G140" s="124">
        <f>IF(B140="","",IF(OR(C140="",C140="/"),"缺少任务名称；","")&amp;IF(OR(D140="",D140="/"),"缺少有效主责人；","")&amp;IF(OR(E140="",E140&lt;DATE(2000,1,1)),"缺少有效计划开始；","")&amp;IF(OR(F140="",F140&lt;DATE(2000,1,1)),"缺少有效计划完成；","")&amp;IF('项目总控台账'!G139="","缺少总体状态；","")&amp;IF(AND(ISNUMBER(E140),ISNUMBER(F140),E140&gt;=DATE(2000,1,1),F140&gt;=DATE(2000,1,1),E140&gt;F140),"开始晚于完成；","")&amp;IF(AND('项目总控台账'!G139="已完成",'项目总控台账'!AB139&lt;1),"已完成但进度不足100%；",""))</f>
        <v/>
      </c>
      <c r="H140" s="124">
        <f>IF(B140="","",IF(G140="","通过","需整改"))</f>
        <v/>
      </c>
      <c r="I140" s="124">
        <f>IF(H140="需整改","回到项目总控台账第"&amp;J140&amp;"行补齐或修正","无需处理")</f>
        <v/>
      </c>
      <c r="J140" s="124" t="n">
        <v>139</v>
      </c>
    </row>
    <row r="141">
      <c r="A141" s="124" t="inlineStr">
        <is>
          <t>项目总控台账</t>
        </is>
      </c>
      <c r="B141" s="124">
        <f>'项目总控台账'!A140</f>
        <v/>
      </c>
      <c r="C141" s="124">
        <f>IF(AND('项目总控台账'!E140&lt;&gt;"",'项目总控台账'!E140&lt;&gt;"/"),'项目总控台账'!E140,IF(AND('项目总控台账'!D140&lt;&gt;"",'项目总控台账'!D140&lt;&gt;"/"),'项目总控台账'!D140,'项目总控台账'!C140))</f>
        <v/>
      </c>
      <c r="D141" s="124">
        <f>'项目总控台账'!H140</f>
        <v/>
      </c>
      <c r="E141" s="125">
        <f>'项目总控台账'!I140</f>
        <v/>
      </c>
      <c r="F141" s="125">
        <f>'项目总控台账'!J140</f>
        <v/>
      </c>
      <c r="G141" s="124">
        <f>IF(B141="","",IF(OR(C141="",C141="/"),"缺少任务名称；","")&amp;IF(OR(D141="",D141="/"),"缺少有效主责人；","")&amp;IF(OR(E141="",E141&lt;DATE(2000,1,1)),"缺少有效计划开始；","")&amp;IF(OR(F141="",F141&lt;DATE(2000,1,1)),"缺少有效计划完成；","")&amp;IF('项目总控台账'!G140="","缺少总体状态；","")&amp;IF(AND(ISNUMBER(E141),ISNUMBER(F141),E141&gt;=DATE(2000,1,1),F141&gt;=DATE(2000,1,1),E141&gt;F141),"开始晚于完成；","")&amp;IF(AND('项目总控台账'!G140="已完成",'项目总控台账'!AB140&lt;1),"已完成但进度不足100%；",""))</f>
        <v/>
      </c>
      <c r="H141" s="124">
        <f>IF(B141="","",IF(G141="","通过","需整改"))</f>
        <v/>
      </c>
      <c r="I141" s="124">
        <f>IF(H141="需整改","回到项目总控台账第"&amp;J141&amp;"行补齐或修正","无需处理")</f>
        <v/>
      </c>
      <c r="J141" s="124" t="n">
        <v>140</v>
      </c>
    </row>
    <row r="142">
      <c r="A142" s="124" t="inlineStr">
        <is>
          <t>项目总控台账</t>
        </is>
      </c>
      <c r="B142" s="124">
        <f>'项目总控台账'!A141</f>
        <v/>
      </c>
      <c r="C142" s="124">
        <f>IF(AND('项目总控台账'!E141&lt;&gt;"",'项目总控台账'!E141&lt;&gt;"/"),'项目总控台账'!E141,IF(AND('项目总控台账'!D141&lt;&gt;"",'项目总控台账'!D141&lt;&gt;"/"),'项目总控台账'!D141,'项目总控台账'!C141))</f>
        <v/>
      </c>
      <c r="D142" s="124">
        <f>'项目总控台账'!H141</f>
        <v/>
      </c>
      <c r="E142" s="125">
        <f>'项目总控台账'!I141</f>
        <v/>
      </c>
      <c r="F142" s="125">
        <f>'项目总控台账'!J141</f>
        <v/>
      </c>
      <c r="G142" s="124">
        <f>IF(B142="","",IF(OR(C142="",C142="/"),"缺少任务名称；","")&amp;IF(OR(D142="",D142="/"),"缺少有效主责人；","")&amp;IF(OR(E142="",E142&lt;DATE(2000,1,1)),"缺少有效计划开始；","")&amp;IF(OR(F142="",F142&lt;DATE(2000,1,1)),"缺少有效计划完成；","")&amp;IF('项目总控台账'!G141="","缺少总体状态；","")&amp;IF(AND(ISNUMBER(E142),ISNUMBER(F142),E142&gt;=DATE(2000,1,1),F142&gt;=DATE(2000,1,1),E142&gt;F142),"开始晚于完成；","")&amp;IF(AND('项目总控台账'!G141="已完成",'项目总控台账'!AB141&lt;1),"已完成但进度不足100%；",""))</f>
        <v/>
      </c>
      <c r="H142" s="124">
        <f>IF(B142="","",IF(G142="","通过","需整改"))</f>
        <v/>
      </c>
      <c r="I142" s="124">
        <f>IF(H142="需整改","回到项目总控台账第"&amp;J142&amp;"行补齐或修正","无需处理")</f>
        <v/>
      </c>
      <c r="J142" s="124" t="n">
        <v>141</v>
      </c>
    </row>
    <row r="143">
      <c r="A143" s="124" t="inlineStr">
        <is>
          <t>项目总控台账</t>
        </is>
      </c>
      <c r="B143" s="124">
        <f>'项目总控台账'!A142</f>
        <v/>
      </c>
      <c r="C143" s="124">
        <f>IF(AND('项目总控台账'!E142&lt;&gt;"",'项目总控台账'!E142&lt;&gt;"/"),'项目总控台账'!E142,IF(AND('项目总控台账'!D142&lt;&gt;"",'项目总控台账'!D142&lt;&gt;"/"),'项目总控台账'!D142,'项目总控台账'!C142))</f>
        <v/>
      </c>
      <c r="D143" s="124">
        <f>'项目总控台账'!H142</f>
        <v/>
      </c>
      <c r="E143" s="125">
        <f>'项目总控台账'!I142</f>
        <v/>
      </c>
      <c r="F143" s="125">
        <f>'项目总控台账'!J142</f>
        <v/>
      </c>
      <c r="G143" s="124">
        <f>IF(B143="","",IF(OR(C143="",C143="/"),"缺少任务名称；","")&amp;IF(OR(D143="",D143="/"),"缺少有效主责人；","")&amp;IF(OR(E143="",E143&lt;DATE(2000,1,1)),"缺少有效计划开始；","")&amp;IF(OR(F143="",F143&lt;DATE(2000,1,1)),"缺少有效计划完成；","")&amp;IF('项目总控台账'!G142="","缺少总体状态；","")&amp;IF(AND(ISNUMBER(E143),ISNUMBER(F143),E143&gt;=DATE(2000,1,1),F143&gt;=DATE(2000,1,1),E143&gt;F143),"开始晚于完成；","")&amp;IF(AND('项目总控台账'!G142="已完成",'项目总控台账'!AB142&lt;1),"已完成但进度不足100%；",""))</f>
        <v/>
      </c>
      <c r="H143" s="124">
        <f>IF(B143="","",IF(G143="","通过","需整改"))</f>
        <v/>
      </c>
      <c r="I143" s="124">
        <f>IF(H143="需整改","回到项目总控台账第"&amp;J143&amp;"行补齐或修正","无需处理")</f>
        <v/>
      </c>
      <c r="J143" s="124" t="n">
        <v>142</v>
      </c>
    </row>
    <row r="144">
      <c r="A144" s="124" t="inlineStr">
        <is>
          <t>项目总控台账</t>
        </is>
      </c>
      <c r="B144" s="124">
        <f>'项目总控台账'!A143</f>
        <v/>
      </c>
      <c r="C144" s="124">
        <f>IF(AND('项目总控台账'!E143&lt;&gt;"",'项目总控台账'!E143&lt;&gt;"/"),'项目总控台账'!E143,IF(AND('项目总控台账'!D143&lt;&gt;"",'项目总控台账'!D143&lt;&gt;"/"),'项目总控台账'!D143,'项目总控台账'!C143))</f>
        <v/>
      </c>
      <c r="D144" s="124">
        <f>'项目总控台账'!H143</f>
        <v/>
      </c>
      <c r="E144" s="125">
        <f>'项目总控台账'!I143</f>
        <v/>
      </c>
      <c r="F144" s="125">
        <f>'项目总控台账'!J143</f>
        <v/>
      </c>
      <c r="G144" s="124">
        <f>IF(B144="","",IF(OR(C144="",C144="/"),"缺少任务名称；","")&amp;IF(OR(D144="",D144="/"),"缺少有效主责人；","")&amp;IF(OR(E144="",E144&lt;DATE(2000,1,1)),"缺少有效计划开始；","")&amp;IF(OR(F144="",F144&lt;DATE(2000,1,1)),"缺少有效计划完成；","")&amp;IF('项目总控台账'!G143="","缺少总体状态；","")&amp;IF(AND(ISNUMBER(E144),ISNUMBER(F144),E144&gt;=DATE(2000,1,1),F144&gt;=DATE(2000,1,1),E144&gt;F144),"开始晚于完成；","")&amp;IF(AND('项目总控台账'!G143="已完成",'项目总控台账'!AB143&lt;1),"已完成但进度不足100%；",""))</f>
        <v/>
      </c>
      <c r="H144" s="124">
        <f>IF(B144="","",IF(G144="","通过","需整改"))</f>
        <v/>
      </c>
      <c r="I144" s="124">
        <f>IF(H144="需整改","回到项目总控台账第"&amp;J144&amp;"行补齐或修正","无需处理")</f>
        <v/>
      </c>
      <c r="J144" s="124" t="n">
        <v>143</v>
      </c>
    </row>
    <row r="145">
      <c r="A145" s="124" t="inlineStr">
        <is>
          <t>项目总控台账</t>
        </is>
      </c>
      <c r="B145" s="124">
        <f>'项目总控台账'!A144</f>
        <v/>
      </c>
      <c r="C145" s="124">
        <f>IF(AND('项目总控台账'!E144&lt;&gt;"",'项目总控台账'!E144&lt;&gt;"/"),'项目总控台账'!E144,IF(AND('项目总控台账'!D144&lt;&gt;"",'项目总控台账'!D144&lt;&gt;"/"),'项目总控台账'!D144,'项目总控台账'!C144))</f>
        <v/>
      </c>
      <c r="D145" s="124">
        <f>'项目总控台账'!H144</f>
        <v/>
      </c>
      <c r="E145" s="125">
        <f>'项目总控台账'!I144</f>
        <v/>
      </c>
      <c r="F145" s="125">
        <f>'项目总控台账'!J144</f>
        <v/>
      </c>
      <c r="G145" s="124">
        <f>IF(B145="","",IF(OR(C145="",C145="/"),"缺少任务名称；","")&amp;IF(OR(D145="",D145="/"),"缺少有效主责人；","")&amp;IF(OR(E145="",E145&lt;DATE(2000,1,1)),"缺少有效计划开始；","")&amp;IF(OR(F145="",F145&lt;DATE(2000,1,1)),"缺少有效计划完成；","")&amp;IF('项目总控台账'!G144="","缺少总体状态；","")&amp;IF(AND(ISNUMBER(E145),ISNUMBER(F145),E145&gt;=DATE(2000,1,1),F145&gt;=DATE(2000,1,1),E145&gt;F145),"开始晚于完成；","")&amp;IF(AND('项目总控台账'!G144="已完成",'项目总控台账'!AB144&lt;1),"已完成但进度不足100%；",""))</f>
        <v/>
      </c>
      <c r="H145" s="124">
        <f>IF(B145="","",IF(G145="","通过","需整改"))</f>
        <v/>
      </c>
      <c r="I145" s="124">
        <f>IF(H145="需整改","回到项目总控台账第"&amp;J145&amp;"行补齐或修正","无需处理")</f>
        <v/>
      </c>
      <c r="J145" s="124" t="n">
        <v>144</v>
      </c>
    </row>
    <row r="146">
      <c r="A146" s="124" t="inlineStr">
        <is>
          <t>项目总控台账</t>
        </is>
      </c>
      <c r="B146" s="124">
        <f>'项目总控台账'!A145</f>
        <v/>
      </c>
      <c r="C146" s="124">
        <f>IF(AND('项目总控台账'!E145&lt;&gt;"",'项目总控台账'!E145&lt;&gt;"/"),'项目总控台账'!E145,IF(AND('项目总控台账'!D145&lt;&gt;"",'项目总控台账'!D145&lt;&gt;"/"),'项目总控台账'!D145,'项目总控台账'!C145))</f>
        <v/>
      </c>
      <c r="D146" s="124">
        <f>'项目总控台账'!H145</f>
        <v/>
      </c>
      <c r="E146" s="125">
        <f>'项目总控台账'!I145</f>
        <v/>
      </c>
      <c r="F146" s="125">
        <f>'项目总控台账'!J145</f>
        <v/>
      </c>
      <c r="G146" s="124">
        <f>IF(B146="","",IF(OR(C146="",C146="/"),"缺少任务名称；","")&amp;IF(OR(D146="",D146="/"),"缺少有效主责人；","")&amp;IF(OR(E146="",E146&lt;DATE(2000,1,1)),"缺少有效计划开始；","")&amp;IF(OR(F146="",F146&lt;DATE(2000,1,1)),"缺少有效计划完成；","")&amp;IF('项目总控台账'!G145="","缺少总体状态；","")&amp;IF(AND(ISNUMBER(E146),ISNUMBER(F146),E146&gt;=DATE(2000,1,1),F146&gt;=DATE(2000,1,1),E146&gt;F146),"开始晚于完成；","")&amp;IF(AND('项目总控台账'!G145="已完成",'项目总控台账'!AB145&lt;1),"已完成但进度不足100%；",""))</f>
        <v/>
      </c>
      <c r="H146" s="124">
        <f>IF(B146="","",IF(G146="","通过","需整改"))</f>
        <v/>
      </c>
      <c r="I146" s="124">
        <f>IF(H146="需整改","回到项目总控台账第"&amp;J146&amp;"行补齐或修正","无需处理")</f>
        <v/>
      </c>
      <c r="J146" s="124" t="n">
        <v>145</v>
      </c>
    </row>
    <row r="147">
      <c r="A147" s="124" t="inlineStr">
        <is>
          <t>项目总控台账</t>
        </is>
      </c>
      <c r="B147" s="124">
        <f>'项目总控台账'!A146</f>
        <v/>
      </c>
      <c r="C147" s="124">
        <f>IF(AND('项目总控台账'!E146&lt;&gt;"",'项目总控台账'!E146&lt;&gt;"/"),'项目总控台账'!E146,IF(AND('项目总控台账'!D146&lt;&gt;"",'项目总控台账'!D146&lt;&gt;"/"),'项目总控台账'!D146,'项目总控台账'!C146))</f>
        <v/>
      </c>
      <c r="D147" s="124">
        <f>'项目总控台账'!H146</f>
        <v/>
      </c>
      <c r="E147" s="125">
        <f>'项目总控台账'!I146</f>
        <v/>
      </c>
      <c r="F147" s="125">
        <f>'项目总控台账'!J146</f>
        <v/>
      </c>
      <c r="G147" s="124">
        <f>IF(B147="","",IF(OR(C147="",C147="/"),"缺少任务名称；","")&amp;IF(OR(D147="",D147="/"),"缺少有效主责人；","")&amp;IF(OR(E147="",E147&lt;DATE(2000,1,1)),"缺少有效计划开始；","")&amp;IF(OR(F147="",F147&lt;DATE(2000,1,1)),"缺少有效计划完成；","")&amp;IF('项目总控台账'!G146="","缺少总体状态；","")&amp;IF(AND(ISNUMBER(E147),ISNUMBER(F147),E147&gt;=DATE(2000,1,1),F147&gt;=DATE(2000,1,1),E147&gt;F147),"开始晚于完成；","")&amp;IF(AND('项目总控台账'!G146="已完成",'项目总控台账'!AB146&lt;1),"已完成但进度不足100%；",""))</f>
        <v/>
      </c>
      <c r="H147" s="124">
        <f>IF(B147="","",IF(G147="","通过","需整改"))</f>
        <v/>
      </c>
      <c r="I147" s="124">
        <f>IF(H147="需整改","回到项目总控台账第"&amp;J147&amp;"行补齐或修正","无需处理")</f>
        <v/>
      </c>
      <c r="J147" s="124" t="n">
        <v>146</v>
      </c>
    </row>
    <row r="148">
      <c r="A148" s="124" t="inlineStr">
        <is>
          <t>项目总控台账</t>
        </is>
      </c>
      <c r="B148" s="124">
        <f>'项目总控台账'!A147</f>
        <v/>
      </c>
      <c r="C148" s="124">
        <f>IF(AND('项目总控台账'!E147&lt;&gt;"",'项目总控台账'!E147&lt;&gt;"/"),'项目总控台账'!E147,IF(AND('项目总控台账'!D147&lt;&gt;"",'项目总控台账'!D147&lt;&gt;"/"),'项目总控台账'!D147,'项目总控台账'!C147))</f>
        <v/>
      </c>
      <c r="D148" s="124">
        <f>'项目总控台账'!H147</f>
        <v/>
      </c>
      <c r="E148" s="125">
        <f>'项目总控台账'!I147</f>
        <v/>
      </c>
      <c r="F148" s="125">
        <f>'项目总控台账'!J147</f>
        <v/>
      </c>
      <c r="G148" s="124">
        <f>IF(B148="","",IF(OR(C148="",C148="/"),"缺少任务名称；","")&amp;IF(OR(D148="",D148="/"),"缺少有效主责人；","")&amp;IF(OR(E148="",E148&lt;DATE(2000,1,1)),"缺少有效计划开始；","")&amp;IF(OR(F148="",F148&lt;DATE(2000,1,1)),"缺少有效计划完成；","")&amp;IF('项目总控台账'!G147="","缺少总体状态；","")&amp;IF(AND(ISNUMBER(E148),ISNUMBER(F148),E148&gt;=DATE(2000,1,1),F148&gt;=DATE(2000,1,1),E148&gt;F148),"开始晚于完成；","")&amp;IF(AND('项目总控台账'!G147="已完成",'项目总控台账'!AB147&lt;1),"已完成但进度不足100%；",""))</f>
        <v/>
      </c>
      <c r="H148" s="124">
        <f>IF(B148="","",IF(G148="","通过","需整改"))</f>
        <v/>
      </c>
      <c r="I148" s="124">
        <f>IF(H148="需整改","回到项目总控台账第"&amp;J148&amp;"行补齐或修正","无需处理")</f>
        <v/>
      </c>
      <c r="J148" s="124" t="n">
        <v>147</v>
      </c>
    </row>
    <row r="149">
      <c r="A149" s="124" t="inlineStr">
        <is>
          <t>项目总控台账</t>
        </is>
      </c>
      <c r="B149" s="124">
        <f>'项目总控台账'!A148</f>
        <v/>
      </c>
      <c r="C149" s="124">
        <f>IF(AND('项目总控台账'!E148&lt;&gt;"",'项目总控台账'!E148&lt;&gt;"/"),'项目总控台账'!E148,IF(AND('项目总控台账'!D148&lt;&gt;"",'项目总控台账'!D148&lt;&gt;"/"),'项目总控台账'!D148,'项目总控台账'!C148))</f>
        <v/>
      </c>
      <c r="D149" s="124">
        <f>'项目总控台账'!H148</f>
        <v/>
      </c>
      <c r="E149" s="125">
        <f>'项目总控台账'!I148</f>
        <v/>
      </c>
      <c r="F149" s="125">
        <f>'项目总控台账'!J148</f>
        <v/>
      </c>
      <c r="G149" s="124">
        <f>IF(B149="","",IF(OR(C149="",C149="/"),"缺少任务名称；","")&amp;IF(OR(D149="",D149="/"),"缺少有效主责人；","")&amp;IF(OR(E149="",E149&lt;DATE(2000,1,1)),"缺少有效计划开始；","")&amp;IF(OR(F149="",F149&lt;DATE(2000,1,1)),"缺少有效计划完成；","")&amp;IF('项目总控台账'!G148="","缺少总体状态；","")&amp;IF(AND(ISNUMBER(E149),ISNUMBER(F149),E149&gt;=DATE(2000,1,1),F149&gt;=DATE(2000,1,1),E149&gt;F149),"开始晚于完成；","")&amp;IF(AND('项目总控台账'!G148="已完成",'项目总控台账'!AB148&lt;1),"已完成但进度不足100%；",""))</f>
        <v/>
      </c>
      <c r="H149" s="124">
        <f>IF(B149="","",IF(G149="","通过","需整改"))</f>
        <v/>
      </c>
      <c r="I149" s="124">
        <f>IF(H149="需整改","回到项目总控台账第"&amp;J149&amp;"行补齐或修正","无需处理")</f>
        <v/>
      </c>
      <c r="J149" s="124" t="n">
        <v>148</v>
      </c>
    </row>
  </sheetData>
  <autoFilter ref="A4:J149"/>
  <mergeCells count="2">
    <mergeCell ref="A1:J1"/>
    <mergeCell ref="A2:J2"/>
  </mergeCells>
  <conditionalFormatting sqref="H5:H149">
    <cfRule type="expression" priority="1" dxfId="5">
      <formula>$H5="需整改"</formula>
    </cfRule>
    <cfRule type="expression" priority="2" dxfId="9">
      <formula>$H5="通过"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M5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style="1" min="1" max="1"/>
    <col width="13" customWidth="1" style="1" min="2" max="2"/>
    <col width="24" customWidth="1" style="1" min="3" max="3"/>
    <col width="34" customWidth="1" style="1" min="4" max="4"/>
    <col width="34" customWidth="1" style="1" min="5" max="5"/>
    <col width="28" customWidth="1" style="1" min="6" max="6"/>
    <col width="14" customWidth="1" style="1" min="7" max="7"/>
    <col width="13" customWidth="1" style="1" min="8" max="8"/>
    <col width="12" customWidth="1" style="1" min="9" max="9"/>
    <col width="11" customWidth="1" style="1" min="10" max="10"/>
    <col width="22" customWidth="1" style="1" min="11" max="11"/>
    <col width="28" customWidth="1" style="1" min="12" max="12"/>
    <col width="13" customWidth="1" style="1" min="13" max="13"/>
  </cols>
  <sheetData>
    <row r="1" ht="28" customHeight="1" s="1">
      <c r="A1" s="114" t="inlineStr">
        <is>
          <t>待决策事项</t>
        </is>
      </c>
    </row>
    <row r="2" ht="22" customHeight="1" s="1">
      <c r="A2" s="115" t="inlineStr">
        <is>
          <t>记录超出项目团队权限、需要管理层或业务方明确取舍的事项。黄色单元格需要人工维护。</t>
        </is>
      </c>
    </row>
    <row r="3">
      <c r="A3" s="116" t="n"/>
      <c r="B3" s="116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</row>
    <row r="4" ht="28" customHeight="1" s="1">
      <c r="A4" s="122" t="inlineStr">
        <is>
          <t>决策ID</t>
        </is>
      </c>
      <c r="B4" s="122" t="inlineStr">
        <is>
          <t>提出日期</t>
        </is>
      </c>
      <c r="C4" s="122" t="inlineStr">
        <is>
          <t>决策主题</t>
        </is>
      </c>
      <c r="D4" s="122" t="inlineStr">
        <is>
          <t>背景与现状</t>
        </is>
      </c>
      <c r="E4" s="122" t="inlineStr">
        <is>
          <t>可选方案</t>
        </is>
      </c>
      <c r="F4" s="122" t="inlineStr">
        <is>
          <t>建议方案</t>
        </is>
      </c>
      <c r="G4" s="122" t="inlineStr">
        <is>
          <t>决策人</t>
        </is>
      </c>
      <c r="H4" s="122" t="inlineStr">
        <is>
          <t>需要日期</t>
        </is>
      </c>
      <c r="I4" s="122" t="inlineStr">
        <is>
          <t>当前状态</t>
        </is>
      </c>
      <c r="J4" s="122" t="inlineStr">
        <is>
          <t>逾期天数</t>
        </is>
      </c>
      <c r="K4" s="122" t="inlineStr">
        <is>
          <t>影响范围</t>
        </is>
      </c>
      <c r="L4" s="122" t="inlineStr">
        <is>
          <t>决策结果</t>
        </is>
      </c>
      <c r="M4" s="122" t="inlineStr">
        <is>
          <t>关闭日期</t>
        </is>
      </c>
    </row>
    <row r="5">
      <c r="A5" s="124">
        <f>IF(C5="","","D-"&amp;TEXT(ROW()-4,"000"))</f>
        <v/>
      </c>
      <c r="B5" s="126" t="n"/>
      <c r="C5" s="127" t="n"/>
      <c r="D5" s="127" t="n"/>
      <c r="E5" s="127" t="n"/>
      <c r="F5" s="127" t="n"/>
      <c r="G5" s="127" t="n"/>
      <c r="H5" s="126" t="n"/>
      <c r="I5" s="127" t="n"/>
      <c r="J5" s="124">
        <f>IF(OR(H5="",I5="已决策"),0,MAX(0,'项目驾驶舱'!$B$3-H5))</f>
        <v/>
      </c>
      <c r="K5" s="127" t="n"/>
      <c r="L5" s="127" t="n"/>
      <c r="M5" s="126" t="n"/>
    </row>
    <row r="6">
      <c r="A6" s="124">
        <f>IF(C6="","","D-"&amp;TEXT(ROW()-4,"000"))</f>
        <v/>
      </c>
      <c r="B6" s="126" t="n"/>
      <c r="C6" s="127" t="n"/>
      <c r="D6" s="127" t="n"/>
      <c r="E6" s="127" t="n"/>
      <c r="F6" s="127" t="n"/>
      <c r="G6" s="127" t="n"/>
      <c r="H6" s="126" t="n"/>
      <c r="I6" s="127" t="n"/>
      <c r="J6" s="124">
        <f>IF(OR(H6="",I6="已决策"),0,MAX(0,'项目驾驶舱'!$B$3-H6))</f>
        <v/>
      </c>
      <c r="K6" s="127" t="n"/>
      <c r="L6" s="127" t="n"/>
      <c r="M6" s="126" t="n"/>
    </row>
    <row r="7">
      <c r="A7" s="124">
        <f>IF(C7="","","D-"&amp;TEXT(ROW()-4,"000"))</f>
        <v/>
      </c>
      <c r="B7" s="126" t="n"/>
      <c r="C7" s="127" t="n"/>
      <c r="D7" s="127" t="n"/>
      <c r="E7" s="127" t="n"/>
      <c r="F7" s="127" t="n"/>
      <c r="G7" s="127" t="n"/>
      <c r="H7" s="126" t="n"/>
      <c r="I7" s="127" t="n"/>
      <c r="J7" s="124">
        <f>IF(OR(H7="",I7="已决策"),0,MAX(0,'项目驾驶舱'!$B$3-H7))</f>
        <v/>
      </c>
      <c r="K7" s="127" t="n"/>
      <c r="L7" s="127" t="n"/>
      <c r="M7" s="126" t="n"/>
    </row>
    <row r="8">
      <c r="A8" s="124">
        <f>IF(C8="","","D-"&amp;TEXT(ROW()-4,"000"))</f>
        <v/>
      </c>
      <c r="B8" s="126" t="n"/>
      <c r="C8" s="127" t="n"/>
      <c r="D8" s="127" t="n"/>
      <c r="E8" s="127" t="n"/>
      <c r="F8" s="127" t="n"/>
      <c r="G8" s="127" t="n"/>
      <c r="H8" s="126" t="n"/>
      <c r="I8" s="127" t="n"/>
      <c r="J8" s="124">
        <f>IF(OR(H8="",I8="已决策"),0,MAX(0,'项目驾驶舱'!$B$3-H8))</f>
        <v/>
      </c>
      <c r="K8" s="127" t="n"/>
      <c r="L8" s="127" t="n"/>
      <c r="M8" s="126" t="n"/>
    </row>
    <row r="9">
      <c r="A9" s="124">
        <f>IF(C9="","","D-"&amp;TEXT(ROW()-4,"000"))</f>
        <v/>
      </c>
      <c r="B9" s="126" t="n"/>
      <c r="C9" s="127" t="n"/>
      <c r="D9" s="127" t="n"/>
      <c r="E9" s="127" t="n"/>
      <c r="F9" s="127" t="n"/>
      <c r="G9" s="127" t="n"/>
      <c r="H9" s="126" t="n"/>
      <c r="I9" s="127" t="n"/>
      <c r="J9" s="124">
        <f>IF(OR(H9="",I9="已决策"),0,MAX(0,'项目驾驶舱'!$B$3-H9))</f>
        <v/>
      </c>
      <c r="K9" s="127" t="n"/>
      <c r="L9" s="127" t="n"/>
      <c r="M9" s="126" t="n"/>
    </row>
    <row r="10">
      <c r="A10" s="124">
        <f>IF(C10="","","D-"&amp;TEXT(ROW()-4,"000"))</f>
        <v/>
      </c>
      <c r="B10" s="126" t="n"/>
      <c r="C10" s="127" t="n"/>
      <c r="D10" s="127" t="n"/>
      <c r="E10" s="127" t="n"/>
      <c r="F10" s="127" t="n"/>
      <c r="G10" s="127" t="n"/>
      <c r="H10" s="126" t="n"/>
      <c r="I10" s="127" t="n"/>
      <c r="J10" s="124">
        <f>IF(OR(H10="",I10="已决策"),0,MAX(0,'项目驾驶舱'!$B$3-H10))</f>
        <v/>
      </c>
      <c r="K10" s="127" t="n"/>
      <c r="L10" s="127" t="n"/>
      <c r="M10" s="126" t="n"/>
    </row>
    <row r="11">
      <c r="A11" s="124">
        <f>IF(C11="","","D-"&amp;TEXT(ROW()-4,"000"))</f>
        <v/>
      </c>
      <c r="B11" s="126" t="n"/>
      <c r="C11" s="127" t="n"/>
      <c r="D11" s="127" t="n"/>
      <c r="E11" s="127" t="n"/>
      <c r="F11" s="127" t="n"/>
      <c r="G11" s="127" t="n"/>
      <c r="H11" s="126" t="n"/>
      <c r="I11" s="127" t="n"/>
      <c r="J11" s="124">
        <f>IF(OR(H11="",I11="已决策"),0,MAX(0,'项目驾驶舱'!$B$3-H11))</f>
        <v/>
      </c>
      <c r="K11" s="127" t="n"/>
      <c r="L11" s="127" t="n"/>
      <c r="M11" s="126" t="n"/>
    </row>
    <row r="12">
      <c r="A12" s="124">
        <f>IF(C12="","","D-"&amp;TEXT(ROW()-4,"000"))</f>
        <v/>
      </c>
      <c r="B12" s="126" t="n"/>
      <c r="C12" s="127" t="n"/>
      <c r="D12" s="127" t="n"/>
      <c r="E12" s="127" t="n"/>
      <c r="F12" s="127" t="n"/>
      <c r="G12" s="127" t="n"/>
      <c r="H12" s="126" t="n"/>
      <c r="I12" s="127" t="n"/>
      <c r="J12" s="124">
        <f>IF(OR(H12="",I12="已决策"),0,MAX(0,'项目驾驶舱'!$B$3-H12))</f>
        <v/>
      </c>
      <c r="K12" s="127" t="n"/>
      <c r="L12" s="127" t="n"/>
      <c r="M12" s="126" t="n"/>
    </row>
    <row r="13">
      <c r="A13" s="124">
        <f>IF(C13="","","D-"&amp;TEXT(ROW()-4,"000"))</f>
        <v/>
      </c>
      <c r="B13" s="126" t="n"/>
      <c r="C13" s="127" t="n"/>
      <c r="D13" s="127" t="n"/>
      <c r="E13" s="127" t="n"/>
      <c r="F13" s="127" t="n"/>
      <c r="G13" s="127" t="n"/>
      <c r="H13" s="126" t="n"/>
      <c r="I13" s="127" t="n"/>
      <c r="J13" s="124">
        <f>IF(OR(H13="",I13="已决策"),0,MAX(0,'项目驾驶舱'!$B$3-H13))</f>
        <v/>
      </c>
      <c r="K13" s="127" t="n"/>
      <c r="L13" s="127" t="n"/>
      <c r="M13" s="126" t="n"/>
    </row>
    <row r="14">
      <c r="A14" s="124">
        <f>IF(C14="","","D-"&amp;TEXT(ROW()-4,"000"))</f>
        <v/>
      </c>
      <c r="B14" s="126" t="n"/>
      <c r="C14" s="127" t="n"/>
      <c r="D14" s="127" t="n"/>
      <c r="E14" s="127" t="n"/>
      <c r="F14" s="127" t="n"/>
      <c r="G14" s="127" t="n"/>
      <c r="H14" s="126" t="n"/>
      <c r="I14" s="127" t="n"/>
      <c r="J14" s="124">
        <f>IF(OR(H14="",I14="已决策"),0,MAX(0,'项目驾驶舱'!$B$3-H14))</f>
        <v/>
      </c>
      <c r="K14" s="127" t="n"/>
      <c r="L14" s="127" t="n"/>
      <c r="M14" s="126" t="n"/>
    </row>
    <row r="15">
      <c r="A15" s="124">
        <f>IF(C15="","","D-"&amp;TEXT(ROW()-4,"000"))</f>
        <v/>
      </c>
      <c r="B15" s="126" t="n"/>
      <c r="C15" s="127" t="n"/>
      <c r="D15" s="127" t="n"/>
      <c r="E15" s="127" t="n"/>
      <c r="F15" s="127" t="n"/>
      <c r="G15" s="127" t="n"/>
      <c r="H15" s="126" t="n"/>
      <c r="I15" s="127" t="n"/>
      <c r="J15" s="124">
        <f>IF(OR(H15="",I15="已决策"),0,MAX(0,'项目驾驶舱'!$B$3-H15))</f>
        <v/>
      </c>
      <c r="K15" s="127" t="n"/>
      <c r="L15" s="127" t="n"/>
      <c r="M15" s="126" t="n"/>
    </row>
    <row r="16">
      <c r="A16" s="124">
        <f>IF(C16="","","D-"&amp;TEXT(ROW()-4,"000"))</f>
        <v/>
      </c>
      <c r="B16" s="126" t="n"/>
      <c r="C16" s="127" t="n"/>
      <c r="D16" s="127" t="n"/>
      <c r="E16" s="127" t="n"/>
      <c r="F16" s="127" t="n"/>
      <c r="G16" s="127" t="n"/>
      <c r="H16" s="126" t="n"/>
      <c r="I16" s="127" t="n"/>
      <c r="J16" s="124">
        <f>IF(OR(H16="",I16="已决策"),0,MAX(0,'项目驾驶舱'!$B$3-H16))</f>
        <v/>
      </c>
      <c r="K16" s="127" t="n"/>
      <c r="L16" s="127" t="n"/>
      <c r="M16" s="126" t="n"/>
    </row>
    <row r="17">
      <c r="A17" s="124">
        <f>IF(C17="","","D-"&amp;TEXT(ROW()-4,"000"))</f>
        <v/>
      </c>
      <c r="B17" s="126" t="n"/>
      <c r="C17" s="127" t="n"/>
      <c r="D17" s="127" t="n"/>
      <c r="E17" s="127" t="n"/>
      <c r="F17" s="127" t="n"/>
      <c r="G17" s="127" t="n"/>
      <c r="H17" s="126" t="n"/>
      <c r="I17" s="127" t="n"/>
      <c r="J17" s="124">
        <f>IF(OR(H17="",I17="已决策"),0,MAX(0,'项目驾驶舱'!$B$3-H17))</f>
        <v/>
      </c>
      <c r="K17" s="127" t="n"/>
      <c r="L17" s="127" t="n"/>
      <c r="M17" s="126" t="n"/>
    </row>
    <row r="18">
      <c r="A18" s="124">
        <f>IF(C18="","","D-"&amp;TEXT(ROW()-4,"000"))</f>
        <v/>
      </c>
      <c r="B18" s="126" t="n"/>
      <c r="C18" s="127" t="n"/>
      <c r="D18" s="127" t="n"/>
      <c r="E18" s="127" t="n"/>
      <c r="F18" s="127" t="n"/>
      <c r="G18" s="127" t="n"/>
      <c r="H18" s="126" t="n"/>
      <c r="I18" s="127" t="n"/>
      <c r="J18" s="124">
        <f>IF(OR(H18="",I18="已决策"),0,MAX(0,'项目驾驶舱'!$B$3-H18))</f>
        <v/>
      </c>
      <c r="K18" s="127" t="n"/>
      <c r="L18" s="127" t="n"/>
      <c r="M18" s="126" t="n"/>
    </row>
    <row r="19">
      <c r="A19" s="124">
        <f>IF(C19="","","D-"&amp;TEXT(ROW()-4,"000"))</f>
        <v/>
      </c>
      <c r="B19" s="126" t="n"/>
      <c r="C19" s="127" t="n"/>
      <c r="D19" s="127" t="n"/>
      <c r="E19" s="127" t="n"/>
      <c r="F19" s="127" t="n"/>
      <c r="G19" s="127" t="n"/>
      <c r="H19" s="126" t="n"/>
      <c r="I19" s="127" t="n"/>
      <c r="J19" s="124">
        <f>IF(OR(H19="",I19="已决策"),0,MAX(0,'项目驾驶舱'!$B$3-H19))</f>
        <v/>
      </c>
      <c r="K19" s="127" t="n"/>
      <c r="L19" s="127" t="n"/>
      <c r="M19" s="126" t="n"/>
    </row>
    <row r="20">
      <c r="A20" s="124">
        <f>IF(C20="","","D-"&amp;TEXT(ROW()-4,"000"))</f>
        <v/>
      </c>
      <c r="B20" s="126" t="n"/>
      <c r="C20" s="127" t="n"/>
      <c r="D20" s="127" t="n"/>
      <c r="E20" s="127" t="n"/>
      <c r="F20" s="127" t="n"/>
      <c r="G20" s="127" t="n"/>
      <c r="H20" s="126" t="n"/>
      <c r="I20" s="127" t="n"/>
      <c r="J20" s="124">
        <f>IF(OR(H20="",I20="已决策"),0,MAX(0,'项目驾驶舱'!$B$3-H20))</f>
        <v/>
      </c>
      <c r="K20" s="127" t="n"/>
      <c r="L20" s="127" t="n"/>
      <c r="M20" s="126" t="n"/>
    </row>
    <row r="21">
      <c r="A21" s="124">
        <f>IF(C21="","","D-"&amp;TEXT(ROW()-4,"000"))</f>
        <v/>
      </c>
      <c r="B21" s="126" t="n"/>
      <c r="C21" s="127" t="n"/>
      <c r="D21" s="127" t="n"/>
      <c r="E21" s="127" t="n"/>
      <c r="F21" s="127" t="n"/>
      <c r="G21" s="127" t="n"/>
      <c r="H21" s="126" t="n"/>
      <c r="I21" s="127" t="n"/>
      <c r="J21" s="124">
        <f>IF(OR(H21="",I21="已决策"),0,MAX(0,'项目驾驶舱'!$B$3-H21))</f>
        <v/>
      </c>
      <c r="K21" s="127" t="n"/>
      <c r="L21" s="127" t="n"/>
      <c r="M21" s="126" t="n"/>
    </row>
    <row r="22">
      <c r="A22" s="124">
        <f>IF(C22="","","D-"&amp;TEXT(ROW()-4,"000"))</f>
        <v/>
      </c>
      <c r="B22" s="126" t="n"/>
      <c r="C22" s="127" t="n"/>
      <c r="D22" s="127" t="n"/>
      <c r="E22" s="127" t="n"/>
      <c r="F22" s="127" t="n"/>
      <c r="G22" s="127" t="n"/>
      <c r="H22" s="126" t="n"/>
      <c r="I22" s="127" t="n"/>
      <c r="J22" s="124">
        <f>IF(OR(H22="",I22="已决策"),0,MAX(0,'项目驾驶舱'!$B$3-H22))</f>
        <v/>
      </c>
      <c r="K22" s="127" t="n"/>
      <c r="L22" s="127" t="n"/>
      <c r="M22" s="126" t="n"/>
    </row>
    <row r="23">
      <c r="A23" s="124">
        <f>IF(C23="","","D-"&amp;TEXT(ROW()-4,"000"))</f>
        <v/>
      </c>
      <c r="B23" s="126" t="n"/>
      <c r="C23" s="127" t="n"/>
      <c r="D23" s="127" t="n"/>
      <c r="E23" s="127" t="n"/>
      <c r="F23" s="127" t="n"/>
      <c r="G23" s="127" t="n"/>
      <c r="H23" s="126" t="n"/>
      <c r="I23" s="127" t="n"/>
      <c r="J23" s="124">
        <f>IF(OR(H23="",I23="已决策"),0,MAX(0,'项目驾驶舱'!$B$3-H23))</f>
        <v/>
      </c>
      <c r="K23" s="127" t="n"/>
      <c r="L23" s="127" t="n"/>
      <c r="M23" s="126" t="n"/>
    </row>
    <row r="24">
      <c r="A24" s="124">
        <f>IF(C24="","","D-"&amp;TEXT(ROW()-4,"000"))</f>
        <v/>
      </c>
      <c r="B24" s="126" t="n"/>
      <c r="C24" s="127" t="n"/>
      <c r="D24" s="127" t="n"/>
      <c r="E24" s="127" t="n"/>
      <c r="F24" s="127" t="n"/>
      <c r="G24" s="127" t="n"/>
      <c r="H24" s="126" t="n"/>
      <c r="I24" s="127" t="n"/>
      <c r="J24" s="124">
        <f>IF(OR(H24="",I24="已决策"),0,MAX(0,'项目驾驶舱'!$B$3-H24))</f>
        <v/>
      </c>
      <c r="K24" s="127" t="n"/>
      <c r="L24" s="127" t="n"/>
      <c r="M24" s="126" t="n"/>
    </row>
    <row r="25">
      <c r="A25" s="124">
        <f>IF(C25="","","D-"&amp;TEXT(ROW()-4,"000"))</f>
        <v/>
      </c>
      <c r="B25" s="126" t="n"/>
      <c r="C25" s="127" t="n"/>
      <c r="D25" s="127" t="n"/>
      <c r="E25" s="127" t="n"/>
      <c r="F25" s="127" t="n"/>
      <c r="G25" s="127" t="n"/>
      <c r="H25" s="126" t="n"/>
      <c r="I25" s="127" t="n"/>
      <c r="J25" s="124">
        <f>IF(OR(H25="",I25="已决策"),0,MAX(0,'项目驾驶舱'!$B$3-H25))</f>
        <v/>
      </c>
      <c r="K25" s="127" t="n"/>
      <c r="L25" s="127" t="n"/>
      <c r="M25" s="126" t="n"/>
    </row>
    <row r="26">
      <c r="A26" s="124">
        <f>IF(C26="","","D-"&amp;TEXT(ROW()-4,"000"))</f>
        <v/>
      </c>
      <c r="B26" s="126" t="n"/>
      <c r="C26" s="127" t="n"/>
      <c r="D26" s="127" t="n"/>
      <c r="E26" s="127" t="n"/>
      <c r="F26" s="127" t="n"/>
      <c r="G26" s="127" t="n"/>
      <c r="H26" s="126" t="n"/>
      <c r="I26" s="127" t="n"/>
      <c r="J26" s="124">
        <f>IF(OR(H26="",I26="已决策"),0,MAX(0,'项目驾驶舱'!$B$3-H26))</f>
        <v/>
      </c>
      <c r="K26" s="127" t="n"/>
      <c r="L26" s="127" t="n"/>
      <c r="M26" s="126" t="n"/>
    </row>
    <row r="27">
      <c r="A27" s="124">
        <f>IF(C27="","","D-"&amp;TEXT(ROW()-4,"000"))</f>
        <v/>
      </c>
      <c r="B27" s="126" t="n"/>
      <c r="C27" s="127" t="n"/>
      <c r="D27" s="127" t="n"/>
      <c r="E27" s="127" t="n"/>
      <c r="F27" s="127" t="n"/>
      <c r="G27" s="127" t="n"/>
      <c r="H27" s="126" t="n"/>
      <c r="I27" s="127" t="n"/>
      <c r="J27" s="124">
        <f>IF(OR(H27="",I27="已决策"),0,MAX(0,'项目驾驶舱'!$B$3-H27))</f>
        <v/>
      </c>
      <c r="K27" s="127" t="n"/>
      <c r="L27" s="127" t="n"/>
      <c r="M27" s="126" t="n"/>
    </row>
    <row r="28">
      <c r="A28" s="124">
        <f>IF(C28="","","D-"&amp;TEXT(ROW()-4,"000"))</f>
        <v/>
      </c>
      <c r="B28" s="126" t="n"/>
      <c r="C28" s="127" t="n"/>
      <c r="D28" s="127" t="n"/>
      <c r="E28" s="127" t="n"/>
      <c r="F28" s="127" t="n"/>
      <c r="G28" s="127" t="n"/>
      <c r="H28" s="126" t="n"/>
      <c r="I28" s="127" t="n"/>
      <c r="J28" s="124">
        <f>IF(OR(H28="",I28="已决策"),0,MAX(0,'项目驾驶舱'!$B$3-H28))</f>
        <v/>
      </c>
      <c r="K28" s="127" t="n"/>
      <c r="L28" s="127" t="n"/>
      <c r="M28" s="126" t="n"/>
    </row>
    <row r="29">
      <c r="A29" s="124">
        <f>IF(C29="","","D-"&amp;TEXT(ROW()-4,"000"))</f>
        <v/>
      </c>
      <c r="B29" s="126" t="n"/>
      <c r="C29" s="127" t="n"/>
      <c r="D29" s="127" t="n"/>
      <c r="E29" s="127" t="n"/>
      <c r="F29" s="127" t="n"/>
      <c r="G29" s="127" t="n"/>
      <c r="H29" s="126" t="n"/>
      <c r="I29" s="127" t="n"/>
      <c r="J29" s="124">
        <f>IF(OR(H29="",I29="已决策"),0,MAX(0,'项目驾驶舱'!$B$3-H29))</f>
        <v/>
      </c>
      <c r="K29" s="127" t="n"/>
      <c r="L29" s="127" t="n"/>
      <c r="M29" s="126" t="n"/>
    </row>
    <row r="30">
      <c r="A30" s="124">
        <f>IF(C30="","","D-"&amp;TEXT(ROW()-4,"000"))</f>
        <v/>
      </c>
      <c r="B30" s="126" t="n"/>
      <c r="C30" s="127" t="n"/>
      <c r="D30" s="127" t="n"/>
      <c r="E30" s="127" t="n"/>
      <c r="F30" s="127" t="n"/>
      <c r="G30" s="127" t="n"/>
      <c r="H30" s="126" t="n"/>
      <c r="I30" s="127" t="n"/>
      <c r="J30" s="124">
        <f>IF(OR(H30="",I30="已决策"),0,MAX(0,'项目驾驶舱'!$B$3-H30))</f>
        <v/>
      </c>
      <c r="K30" s="127" t="n"/>
      <c r="L30" s="127" t="n"/>
      <c r="M30" s="126" t="n"/>
    </row>
    <row r="31">
      <c r="A31" s="124">
        <f>IF(C31="","","D-"&amp;TEXT(ROW()-4,"000"))</f>
        <v/>
      </c>
      <c r="B31" s="126" t="n"/>
      <c r="C31" s="127" t="n"/>
      <c r="D31" s="127" t="n"/>
      <c r="E31" s="127" t="n"/>
      <c r="F31" s="127" t="n"/>
      <c r="G31" s="127" t="n"/>
      <c r="H31" s="126" t="n"/>
      <c r="I31" s="127" t="n"/>
      <c r="J31" s="124">
        <f>IF(OR(H31="",I31="已决策"),0,MAX(0,'项目驾驶舱'!$B$3-H31))</f>
        <v/>
      </c>
      <c r="K31" s="127" t="n"/>
      <c r="L31" s="127" t="n"/>
      <c r="M31" s="126" t="n"/>
    </row>
    <row r="32">
      <c r="A32" s="124">
        <f>IF(C32="","","D-"&amp;TEXT(ROW()-4,"000"))</f>
        <v/>
      </c>
      <c r="B32" s="126" t="n"/>
      <c r="C32" s="127" t="n"/>
      <c r="D32" s="127" t="n"/>
      <c r="E32" s="127" t="n"/>
      <c r="F32" s="127" t="n"/>
      <c r="G32" s="127" t="n"/>
      <c r="H32" s="126" t="n"/>
      <c r="I32" s="127" t="n"/>
      <c r="J32" s="124">
        <f>IF(OR(H32="",I32="已决策"),0,MAX(0,'项目驾驶舱'!$B$3-H32))</f>
        <v/>
      </c>
      <c r="K32" s="127" t="n"/>
      <c r="L32" s="127" t="n"/>
      <c r="M32" s="126" t="n"/>
    </row>
    <row r="33">
      <c r="A33" s="124">
        <f>IF(C33="","","D-"&amp;TEXT(ROW()-4,"000"))</f>
        <v/>
      </c>
      <c r="B33" s="126" t="n"/>
      <c r="C33" s="127" t="n"/>
      <c r="D33" s="127" t="n"/>
      <c r="E33" s="127" t="n"/>
      <c r="F33" s="127" t="n"/>
      <c r="G33" s="127" t="n"/>
      <c r="H33" s="126" t="n"/>
      <c r="I33" s="127" t="n"/>
      <c r="J33" s="124">
        <f>IF(OR(H33="",I33="已决策"),0,MAX(0,'项目驾驶舱'!$B$3-H33))</f>
        <v/>
      </c>
      <c r="K33" s="127" t="n"/>
      <c r="L33" s="127" t="n"/>
      <c r="M33" s="126" t="n"/>
    </row>
    <row r="34">
      <c r="A34" s="124">
        <f>IF(C34="","","D-"&amp;TEXT(ROW()-4,"000"))</f>
        <v/>
      </c>
      <c r="B34" s="126" t="n"/>
      <c r="C34" s="127" t="n"/>
      <c r="D34" s="127" t="n"/>
      <c r="E34" s="127" t="n"/>
      <c r="F34" s="127" t="n"/>
      <c r="G34" s="127" t="n"/>
      <c r="H34" s="126" t="n"/>
      <c r="I34" s="127" t="n"/>
      <c r="J34" s="124">
        <f>IF(OR(H34="",I34="已决策"),0,MAX(0,'项目驾驶舱'!$B$3-H34))</f>
        <v/>
      </c>
      <c r="K34" s="127" t="n"/>
      <c r="L34" s="127" t="n"/>
      <c r="M34" s="126" t="n"/>
    </row>
    <row r="35">
      <c r="A35" s="124">
        <f>IF(C35="","","D-"&amp;TEXT(ROW()-4,"000"))</f>
        <v/>
      </c>
      <c r="B35" s="126" t="n"/>
      <c r="C35" s="127" t="n"/>
      <c r="D35" s="127" t="n"/>
      <c r="E35" s="127" t="n"/>
      <c r="F35" s="127" t="n"/>
      <c r="G35" s="127" t="n"/>
      <c r="H35" s="126" t="n"/>
      <c r="I35" s="127" t="n"/>
      <c r="J35" s="124">
        <f>IF(OR(H35="",I35="已决策"),0,MAX(0,'项目驾驶舱'!$B$3-H35))</f>
        <v/>
      </c>
      <c r="K35" s="127" t="n"/>
      <c r="L35" s="127" t="n"/>
      <c r="M35" s="126" t="n"/>
    </row>
    <row r="36">
      <c r="A36" s="124">
        <f>IF(C36="","","D-"&amp;TEXT(ROW()-4,"000"))</f>
        <v/>
      </c>
      <c r="B36" s="126" t="n"/>
      <c r="C36" s="127" t="n"/>
      <c r="D36" s="127" t="n"/>
      <c r="E36" s="127" t="n"/>
      <c r="F36" s="127" t="n"/>
      <c r="G36" s="127" t="n"/>
      <c r="H36" s="126" t="n"/>
      <c r="I36" s="127" t="n"/>
      <c r="J36" s="124">
        <f>IF(OR(H36="",I36="已决策"),0,MAX(0,'项目驾驶舱'!$B$3-H36))</f>
        <v/>
      </c>
      <c r="K36" s="127" t="n"/>
      <c r="L36" s="127" t="n"/>
      <c r="M36" s="126" t="n"/>
    </row>
    <row r="37">
      <c r="A37" s="124">
        <f>IF(C37="","","D-"&amp;TEXT(ROW()-4,"000"))</f>
        <v/>
      </c>
      <c r="B37" s="126" t="n"/>
      <c r="C37" s="127" t="n"/>
      <c r="D37" s="127" t="n"/>
      <c r="E37" s="127" t="n"/>
      <c r="F37" s="127" t="n"/>
      <c r="G37" s="127" t="n"/>
      <c r="H37" s="126" t="n"/>
      <c r="I37" s="127" t="n"/>
      <c r="J37" s="124">
        <f>IF(OR(H37="",I37="已决策"),0,MAX(0,'项目驾驶舱'!$B$3-H37))</f>
        <v/>
      </c>
      <c r="K37" s="127" t="n"/>
      <c r="L37" s="127" t="n"/>
      <c r="M37" s="126" t="n"/>
    </row>
    <row r="38">
      <c r="A38" s="124">
        <f>IF(C38="","","D-"&amp;TEXT(ROW()-4,"000"))</f>
        <v/>
      </c>
      <c r="B38" s="126" t="n"/>
      <c r="C38" s="127" t="n"/>
      <c r="D38" s="127" t="n"/>
      <c r="E38" s="127" t="n"/>
      <c r="F38" s="127" t="n"/>
      <c r="G38" s="127" t="n"/>
      <c r="H38" s="126" t="n"/>
      <c r="I38" s="127" t="n"/>
      <c r="J38" s="124">
        <f>IF(OR(H38="",I38="已决策"),0,MAX(0,'项目驾驶舱'!$B$3-H38))</f>
        <v/>
      </c>
      <c r="K38" s="127" t="n"/>
      <c r="L38" s="127" t="n"/>
      <c r="M38" s="126" t="n"/>
    </row>
    <row r="39">
      <c r="A39" s="124">
        <f>IF(C39="","","D-"&amp;TEXT(ROW()-4,"000"))</f>
        <v/>
      </c>
      <c r="B39" s="126" t="n"/>
      <c r="C39" s="127" t="n"/>
      <c r="D39" s="127" t="n"/>
      <c r="E39" s="127" t="n"/>
      <c r="F39" s="127" t="n"/>
      <c r="G39" s="127" t="n"/>
      <c r="H39" s="126" t="n"/>
      <c r="I39" s="127" t="n"/>
      <c r="J39" s="124">
        <f>IF(OR(H39="",I39="已决策"),0,MAX(0,'项目驾驶舱'!$B$3-H39))</f>
        <v/>
      </c>
      <c r="K39" s="127" t="n"/>
      <c r="L39" s="127" t="n"/>
      <c r="M39" s="126" t="n"/>
    </row>
    <row r="40">
      <c r="A40" s="124">
        <f>IF(C40="","","D-"&amp;TEXT(ROW()-4,"000"))</f>
        <v/>
      </c>
      <c r="B40" s="126" t="n"/>
      <c r="C40" s="127" t="n"/>
      <c r="D40" s="127" t="n"/>
      <c r="E40" s="127" t="n"/>
      <c r="F40" s="127" t="n"/>
      <c r="G40" s="127" t="n"/>
      <c r="H40" s="126" t="n"/>
      <c r="I40" s="127" t="n"/>
      <c r="J40" s="124">
        <f>IF(OR(H40="",I40="已决策"),0,MAX(0,'项目驾驶舱'!$B$3-H40))</f>
        <v/>
      </c>
      <c r="K40" s="127" t="n"/>
      <c r="L40" s="127" t="n"/>
      <c r="M40" s="126" t="n"/>
    </row>
    <row r="41">
      <c r="A41" s="124">
        <f>IF(C41="","","D-"&amp;TEXT(ROW()-4,"000"))</f>
        <v/>
      </c>
      <c r="B41" s="126" t="n"/>
      <c r="C41" s="127" t="n"/>
      <c r="D41" s="127" t="n"/>
      <c r="E41" s="127" t="n"/>
      <c r="F41" s="127" t="n"/>
      <c r="G41" s="127" t="n"/>
      <c r="H41" s="126" t="n"/>
      <c r="I41" s="127" t="n"/>
      <c r="J41" s="124">
        <f>IF(OR(H41="",I41="已决策"),0,MAX(0,'项目驾驶舱'!$B$3-H41))</f>
        <v/>
      </c>
      <c r="K41" s="127" t="n"/>
      <c r="L41" s="127" t="n"/>
      <c r="M41" s="126" t="n"/>
    </row>
    <row r="42">
      <c r="A42" s="124">
        <f>IF(C42="","","D-"&amp;TEXT(ROW()-4,"000"))</f>
        <v/>
      </c>
      <c r="B42" s="126" t="n"/>
      <c r="C42" s="127" t="n"/>
      <c r="D42" s="127" t="n"/>
      <c r="E42" s="127" t="n"/>
      <c r="F42" s="127" t="n"/>
      <c r="G42" s="127" t="n"/>
      <c r="H42" s="126" t="n"/>
      <c r="I42" s="127" t="n"/>
      <c r="J42" s="124">
        <f>IF(OR(H42="",I42="已决策"),0,MAX(0,'项目驾驶舱'!$B$3-H42))</f>
        <v/>
      </c>
      <c r="K42" s="127" t="n"/>
      <c r="L42" s="127" t="n"/>
      <c r="M42" s="126" t="n"/>
    </row>
    <row r="43">
      <c r="A43" s="124">
        <f>IF(C43="","","D-"&amp;TEXT(ROW()-4,"000"))</f>
        <v/>
      </c>
      <c r="B43" s="126" t="n"/>
      <c r="C43" s="127" t="n"/>
      <c r="D43" s="127" t="n"/>
      <c r="E43" s="127" t="n"/>
      <c r="F43" s="127" t="n"/>
      <c r="G43" s="127" t="n"/>
      <c r="H43" s="126" t="n"/>
      <c r="I43" s="127" t="n"/>
      <c r="J43" s="124">
        <f>IF(OR(H43="",I43="已决策"),0,MAX(0,'项目驾驶舱'!$B$3-H43))</f>
        <v/>
      </c>
      <c r="K43" s="127" t="n"/>
      <c r="L43" s="127" t="n"/>
      <c r="M43" s="126" t="n"/>
    </row>
    <row r="44">
      <c r="A44" s="124">
        <f>IF(C44="","","D-"&amp;TEXT(ROW()-4,"000"))</f>
        <v/>
      </c>
      <c r="B44" s="126" t="n"/>
      <c r="C44" s="127" t="n"/>
      <c r="D44" s="127" t="n"/>
      <c r="E44" s="127" t="n"/>
      <c r="F44" s="127" t="n"/>
      <c r="G44" s="127" t="n"/>
      <c r="H44" s="126" t="n"/>
      <c r="I44" s="127" t="n"/>
      <c r="J44" s="124">
        <f>IF(OR(H44="",I44="已决策"),0,MAX(0,'项目驾驶舱'!$B$3-H44))</f>
        <v/>
      </c>
      <c r="K44" s="127" t="n"/>
      <c r="L44" s="127" t="n"/>
      <c r="M44" s="126" t="n"/>
    </row>
    <row r="45">
      <c r="A45" s="124">
        <f>IF(C45="","","D-"&amp;TEXT(ROW()-4,"000"))</f>
        <v/>
      </c>
      <c r="B45" s="126" t="n"/>
      <c r="C45" s="127" t="n"/>
      <c r="D45" s="127" t="n"/>
      <c r="E45" s="127" t="n"/>
      <c r="F45" s="127" t="n"/>
      <c r="G45" s="127" t="n"/>
      <c r="H45" s="126" t="n"/>
      <c r="I45" s="127" t="n"/>
      <c r="J45" s="124">
        <f>IF(OR(H45="",I45="已决策"),0,MAX(0,'项目驾驶舱'!$B$3-H45))</f>
        <v/>
      </c>
      <c r="K45" s="127" t="n"/>
      <c r="L45" s="127" t="n"/>
      <c r="M45" s="126" t="n"/>
    </row>
    <row r="46">
      <c r="A46" s="124">
        <f>IF(C46="","","D-"&amp;TEXT(ROW()-4,"000"))</f>
        <v/>
      </c>
      <c r="B46" s="126" t="n"/>
      <c r="C46" s="127" t="n"/>
      <c r="D46" s="127" t="n"/>
      <c r="E46" s="127" t="n"/>
      <c r="F46" s="127" t="n"/>
      <c r="G46" s="127" t="n"/>
      <c r="H46" s="126" t="n"/>
      <c r="I46" s="127" t="n"/>
      <c r="J46" s="124">
        <f>IF(OR(H46="",I46="已决策"),0,MAX(0,'项目驾驶舱'!$B$3-H46))</f>
        <v/>
      </c>
      <c r="K46" s="127" t="n"/>
      <c r="L46" s="127" t="n"/>
      <c r="M46" s="126" t="n"/>
    </row>
    <row r="47">
      <c r="A47" s="124">
        <f>IF(C47="","","D-"&amp;TEXT(ROW()-4,"000"))</f>
        <v/>
      </c>
      <c r="B47" s="126" t="n"/>
      <c r="C47" s="127" t="n"/>
      <c r="D47" s="127" t="n"/>
      <c r="E47" s="127" t="n"/>
      <c r="F47" s="127" t="n"/>
      <c r="G47" s="127" t="n"/>
      <c r="H47" s="126" t="n"/>
      <c r="I47" s="127" t="n"/>
      <c r="J47" s="124">
        <f>IF(OR(H47="",I47="已决策"),0,MAX(0,'项目驾驶舱'!$B$3-H47))</f>
        <v/>
      </c>
      <c r="K47" s="127" t="n"/>
      <c r="L47" s="127" t="n"/>
      <c r="M47" s="126" t="n"/>
    </row>
    <row r="48">
      <c r="A48" s="124">
        <f>IF(C48="","","D-"&amp;TEXT(ROW()-4,"000"))</f>
        <v/>
      </c>
      <c r="B48" s="126" t="n"/>
      <c r="C48" s="127" t="n"/>
      <c r="D48" s="127" t="n"/>
      <c r="E48" s="127" t="n"/>
      <c r="F48" s="127" t="n"/>
      <c r="G48" s="127" t="n"/>
      <c r="H48" s="126" t="n"/>
      <c r="I48" s="127" t="n"/>
      <c r="J48" s="124">
        <f>IF(OR(H48="",I48="已决策"),0,MAX(0,'项目驾驶舱'!$B$3-H48))</f>
        <v/>
      </c>
      <c r="K48" s="127" t="n"/>
      <c r="L48" s="127" t="n"/>
      <c r="M48" s="126" t="n"/>
    </row>
    <row r="49">
      <c r="A49" s="124">
        <f>IF(C49="","","D-"&amp;TEXT(ROW()-4,"000"))</f>
        <v/>
      </c>
      <c r="B49" s="126" t="n"/>
      <c r="C49" s="127" t="n"/>
      <c r="D49" s="127" t="n"/>
      <c r="E49" s="127" t="n"/>
      <c r="F49" s="127" t="n"/>
      <c r="G49" s="127" t="n"/>
      <c r="H49" s="126" t="n"/>
      <c r="I49" s="127" t="n"/>
      <c r="J49" s="124">
        <f>IF(OR(H49="",I49="已决策"),0,MAX(0,'项目驾驶舱'!$B$3-H49))</f>
        <v/>
      </c>
      <c r="K49" s="127" t="n"/>
      <c r="L49" s="127" t="n"/>
      <c r="M49" s="126" t="n"/>
    </row>
    <row r="50">
      <c r="A50" s="124">
        <f>IF(C50="","","D-"&amp;TEXT(ROW()-4,"000"))</f>
        <v/>
      </c>
      <c r="B50" s="126" t="n"/>
      <c r="C50" s="127" t="n"/>
      <c r="D50" s="127" t="n"/>
      <c r="E50" s="127" t="n"/>
      <c r="F50" s="127" t="n"/>
      <c r="G50" s="127" t="n"/>
      <c r="H50" s="126" t="n"/>
      <c r="I50" s="127" t="n"/>
      <c r="J50" s="124">
        <f>IF(OR(H50="",I50="已决策"),0,MAX(0,'项目驾驶舱'!$B$3-H50))</f>
        <v/>
      </c>
      <c r="K50" s="127" t="n"/>
      <c r="L50" s="127" t="n"/>
      <c r="M50" s="126" t="n"/>
    </row>
    <row r="51">
      <c r="A51" s="124">
        <f>IF(C51="","","D-"&amp;TEXT(ROW()-4,"000"))</f>
        <v/>
      </c>
      <c r="B51" s="126" t="n"/>
      <c r="C51" s="127" t="n"/>
      <c r="D51" s="127" t="n"/>
      <c r="E51" s="127" t="n"/>
      <c r="F51" s="127" t="n"/>
      <c r="G51" s="127" t="n"/>
      <c r="H51" s="126" t="n"/>
      <c r="I51" s="127" t="n"/>
      <c r="J51" s="124">
        <f>IF(OR(H51="",I51="已决策"),0,MAX(0,'项目驾驶舱'!$B$3-H51))</f>
        <v/>
      </c>
      <c r="K51" s="127" t="n"/>
      <c r="L51" s="127" t="n"/>
      <c r="M51" s="126" t="n"/>
    </row>
    <row r="52">
      <c r="A52" s="124">
        <f>IF(C52="","","D-"&amp;TEXT(ROW()-4,"000"))</f>
        <v/>
      </c>
      <c r="B52" s="126" t="n"/>
      <c r="C52" s="127" t="n"/>
      <c r="D52" s="127" t="n"/>
      <c r="E52" s="127" t="n"/>
      <c r="F52" s="127" t="n"/>
      <c r="G52" s="127" t="n"/>
      <c r="H52" s="126" t="n"/>
      <c r="I52" s="127" t="n"/>
      <c r="J52" s="124">
        <f>IF(OR(H52="",I52="已决策"),0,MAX(0,'项目驾驶舱'!$B$3-H52))</f>
        <v/>
      </c>
      <c r="K52" s="127" t="n"/>
      <c r="L52" s="127" t="n"/>
      <c r="M52" s="126" t="n"/>
    </row>
    <row r="53">
      <c r="A53" s="124">
        <f>IF(C53="","","D-"&amp;TEXT(ROW()-4,"000"))</f>
        <v/>
      </c>
      <c r="B53" s="126" t="n"/>
      <c r="C53" s="127" t="n"/>
      <c r="D53" s="127" t="n"/>
      <c r="E53" s="127" t="n"/>
      <c r="F53" s="127" t="n"/>
      <c r="G53" s="127" t="n"/>
      <c r="H53" s="126" t="n"/>
      <c r="I53" s="127" t="n"/>
      <c r="J53" s="124">
        <f>IF(OR(H53="",I53="已决策"),0,MAX(0,'项目驾驶舱'!$B$3-H53))</f>
        <v/>
      </c>
      <c r="K53" s="127" t="n"/>
      <c r="L53" s="127" t="n"/>
      <c r="M53" s="126" t="n"/>
    </row>
    <row r="54">
      <c r="A54" s="124">
        <f>IF(C54="","","D-"&amp;TEXT(ROW()-4,"000"))</f>
        <v/>
      </c>
      <c r="B54" s="126" t="n"/>
      <c r="C54" s="127" t="n"/>
      <c r="D54" s="127" t="n"/>
      <c r="E54" s="127" t="n"/>
      <c r="F54" s="127" t="n"/>
      <c r="G54" s="127" t="n"/>
      <c r="H54" s="126" t="n"/>
      <c r="I54" s="127" t="n"/>
      <c r="J54" s="124">
        <f>IF(OR(H54="",I54="已决策"),0,MAX(0,'项目驾驶舱'!$B$3-H54))</f>
        <v/>
      </c>
      <c r="K54" s="127" t="n"/>
      <c r="L54" s="127" t="n"/>
      <c r="M54" s="126" t="n"/>
    </row>
  </sheetData>
  <autoFilter ref="A4:M54"/>
  <mergeCells count="2">
    <mergeCell ref="A2:M2"/>
    <mergeCell ref="A1:M1"/>
  </mergeCells>
  <conditionalFormatting sqref="J5:J54">
    <cfRule type="expression" priority="1" dxfId="5">
      <formula>$J5&gt;0</formula>
    </cfRule>
  </conditionalFormatting>
  <dataValidations count="1">
    <dataValidation sqref="I5:I54" showDropDown="0" showInputMessage="0" showErrorMessage="0" allowBlank="1" type="list">
      <formula1>"待提出,待决策,已决策,已关闭"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70AD47"/>
    <outlinePr summaryBelow="1" summaryRight="1"/>
    <pageSetUpPr fitToPage="1"/>
  </sheetPr>
  <dimension ref="A1:M149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style="1" min="1" max="1"/>
    <col width="11" customWidth="1" style="1" min="2" max="2"/>
    <col width="28" customWidth="1" style="1" min="3" max="3"/>
    <col width="13" customWidth="1" style="1" min="4" max="4"/>
    <col width="13" customWidth="1" style="1" min="5" max="5"/>
    <col width="16" customWidth="1" style="1" min="6" max="6"/>
    <col width="13" customWidth="1" style="1" min="7" max="7"/>
    <col width="12" customWidth="1" style="1" min="8" max="8"/>
    <col width="13" customWidth="1" style="1" min="9" max="9"/>
    <col width="30" customWidth="1" style="1" min="10" max="10"/>
    <col width="34" customWidth="1" style="1" min="11" max="11"/>
    <col width="13" customWidth="1" style="1" min="12" max="12"/>
    <col width="24" customWidth="1" style="1" min="13" max="13"/>
  </cols>
  <sheetData>
    <row r="1" ht="28" customHeight="1" s="1">
      <c r="A1" s="114" t="inlineStr">
        <is>
          <t>两周督办</t>
        </is>
      </c>
    </row>
    <row r="2" ht="22" customHeight="1" s="1">
      <c r="A2" s="115" t="inlineStr">
        <is>
          <t>自动识别未来14天到期及已经逾期的未完成任务。使用“是否纳入”筛选出需要督办的记录。</t>
        </is>
      </c>
    </row>
    <row r="3">
      <c r="A3" s="116" t="n"/>
      <c r="B3" s="116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</row>
    <row r="4" ht="28" customHeight="1" s="1">
      <c r="A4" s="122" t="inlineStr">
        <is>
          <t>是否纳入</t>
        </is>
      </c>
      <c r="B4" s="122" t="inlineStr">
        <is>
          <t>任务ID</t>
        </is>
      </c>
      <c r="C4" s="122" t="inlineStr">
        <is>
          <t>任务名称</t>
        </is>
      </c>
      <c r="D4" s="122" t="inlineStr">
        <is>
          <t>批次</t>
        </is>
      </c>
      <c r="E4" s="122" t="inlineStr">
        <is>
          <t>总体状态</t>
        </is>
      </c>
      <c r="F4" s="122" t="inlineStr">
        <is>
          <t>主责人</t>
        </is>
      </c>
      <c r="G4" s="122" t="inlineStr">
        <is>
          <t>计划完成</t>
        </is>
      </c>
      <c r="H4" s="122" t="inlineStr">
        <is>
          <t>距截止天数</t>
        </is>
      </c>
      <c r="I4" s="122" t="inlineStr">
        <is>
          <t>延期状态</t>
        </is>
      </c>
      <c r="J4" s="122" t="inlineStr">
        <is>
          <t>当前问题/阻塞</t>
        </is>
      </c>
      <c r="K4" s="122" t="inlineStr">
        <is>
          <t>建议动作</t>
        </is>
      </c>
      <c r="L4" s="122" t="inlineStr">
        <is>
          <t>承诺完成</t>
        </is>
      </c>
      <c r="M4" s="122" t="inlineStr">
        <is>
          <t>完成证据</t>
        </is>
      </c>
    </row>
    <row r="5">
      <c r="A5" s="124">
        <f>IF(B5="","",IF(AND(E5&lt;&gt;"已完成",ISNUMBER(G5),G5&lt;='项目驾驶舱'!$B$3+14),"是","否"))</f>
        <v/>
      </c>
      <c r="B5" s="124">
        <f>'项目总控台账'!A4</f>
        <v/>
      </c>
      <c r="C5" s="124">
        <f>IF(AND('项目总控台账'!E4&lt;&gt;"",'项目总控台账'!E4&lt;&gt;"/"),'项目总控台账'!E4,IF(AND('项目总控台账'!D4&lt;&gt;"",'项目总控台账'!D4&lt;&gt;"/"),'项目总控台账'!D4,'项目总控台账'!C4))</f>
        <v/>
      </c>
      <c r="D5" s="124">
        <f>'项目总控台账'!F4</f>
        <v/>
      </c>
      <c r="E5" s="124">
        <f>'项目总控台账'!G4</f>
        <v/>
      </c>
      <c r="F5" s="124">
        <f>'项目总控台账'!H4</f>
        <v/>
      </c>
      <c r="G5" s="125">
        <f>'项目总控台账'!J4</f>
        <v/>
      </c>
      <c r="H5" s="124">
        <f>IF(G5="","",G5-'项目驾驶舱'!$B$3)</f>
        <v/>
      </c>
      <c r="I5" s="124">
        <f>'项目总控台账'!AC4</f>
        <v/>
      </c>
      <c r="J5" s="124">
        <f>'项目总控台账'!AD4</f>
        <v/>
      </c>
      <c r="K5" s="124">
        <f>IF(A5&lt;&gt;"是","",IF(OR(E5="暂停",E5="挂起"),"确认暂停原因、恢复条件和责任人",IF(H5&lt;0,"立即确认延期原因、影响及补救计划",IF(H5&lt;=7,"本周确认交付承诺和完成证据","提前检查依赖与风险"))))</f>
        <v/>
      </c>
      <c r="L5" s="126" t="n"/>
      <c r="M5" s="127" t="n"/>
    </row>
    <row r="6">
      <c r="A6" s="124">
        <f>IF(B6="","",IF(AND(E6&lt;&gt;"已完成",ISNUMBER(G6),G6&lt;='项目驾驶舱'!$B$3+14),"是","否"))</f>
        <v/>
      </c>
      <c r="B6" s="124">
        <f>'项目总控台账'!A5</f>
        <v/>
      </c>
      <c r="C6" s="124">
        <f>IF(AND('项目总控台账'!E5&lt;&gt;"",'项目总控台账'!E5&lt;&gt;"/"),'项目总控台账'!E5,IF(AND('项目总控台账'!D5&lt;&gt;"",'项目总控台账'!D5&lt;&gt;"/"),'项目总控台账'!D5,'项目总控台账'!C5))</f>
        <v/>
      </c>
      <c r="D6" s="124">
        <f>'项目总控台账'!F5</f>
        <v/>
      </c>
      <c r="E6" s="124">
        <f>'项目总控台账'!G5</f>
        <v/>
      </c>
      <c r="F6" s="124">
        <f>'项目总控台账'!H5</f>
        <v/>
      </c>
      <c r="G6" s="125">
        <f>'项目总控台账'!J5</f>
        <v/>
      </c>
      <c r="H6" s="124">
        <f>IF(G6="","",G6-'项目驾驶舱'!$B$3)</f>
        <v/>
      </c>
      <c r="I6" s="124">
        <f>'项目总控台账'!AC5</f>
        <v/>
      </c>
      <c r="J6" s="124">
        <f>'项目总控台账'!AD5</f>
        <v/>
      </c>
      <c r="K6" s="124">
        <f>IF(A6&lt;&gt;"是","",IF(OR(E6="暂停",E6="挂起"),"确认暂停原因、恢复条件和责任人",IF(H6&lt;0,"立即确认延期原因、影响及补救计划",IF(H6&lt;=7,"本周确认交付承诺和完成证据","提前检查依赖与风险"))))</f>
        <v/>
      </c>
      <c r="L6" s="126" t="n"/>
      <c r="M6" s="127" t="n"/>
    </row>
    <row r="7">
      <c r="A7" s="124">
        <f>IF(B7="","",IF(AND(E7&lt;&gt;"已完成",ISNUMBER(G7),G7&lt;='项目驾驶舱'!$B$3+14),"是","否"))</f>
        <v/>
      </c>
      <c r="B7" s="124">
        <f>'项目总控台账'!A6</f>
        <v/>
      </c>
      <c r="C7" s="124">
        <f>IF(AND('项目总控台账'!E6&lt;&gt;"",'项目总控台账'!E6&lt;&gt;"/"),'项目总控台账'!E6,IF(AND('项目总控台账'!D6&lt;&gt;"",'项目总控台账'!D6&lt;&gt;"/"),'项目总控台账'!D6,'项目总控台账'!C6))</f>
        <v/>
      </c>
      <c r="D7" s="124">
        <f>'项目总控台账'!F6</f>
        <v/>
      </c>
      <c r="E7" s="124">
        <f>'项目总控台账'!G6</f>
        <v/>
      </c>
      <c r="F7" s="124">
        <f>'项目总控台账'!H6</f>
        <v/>
      </c>
      <c r="G7" s="125">
        <f>'项目总控台账'!J6</f>
        <v/>
      </c>
      <c r="H7" s="124">
        <f>IF(G7="","",G7-'项目驾驶舱'!$B$3)</f>
        <v/>
      </c>
      <c r="I7" s="124">
        <f>'项目总控台账'!AC6</f>
        <v/>
      </c>
      <c r="J7" s="124">
        <f>'项目总控台账'!AD6</f>
        <v/>
      </c>
      <c r="K7" s="124">
        <f>IF(A7&lt;&gt;"是","",IF(OR(E7="暂停",E7="挂起"),"确认暂停原因、恢复条件和责任人",IF(H7&lt;0,"立即确认延期原因、影响及补救计划",IF(H7&lt;=7,"本周确认交付承诺和完成证据","提前检查依赖与风险"))))</f>
        <v/>
      </c>
      <c r="L7" s="126" t="n"/>
      <c r="M7" s="127" t="n"/>
    </row>
    <row r="8">
      <c r="A8" s="124">
        <f>IF(B8="","",IF(AND(E8&lt;&gt;"已完成",ISNUMBER(G8),G8&lt;='项目驾驶舱'!$B$3+14),"是","否"))</f>
        <v/>
      </c>
      <c r="B8" s="124">
        <f>'项目总控台账'!A7</f>
        <v/>
      </c>
      <c r="C8" s="124">
        <f>IF(AND('项目总控台账'!E7&lt;&gt;"",'项目总控台账'!E7&lt;&gt;"/"),'项目总控台账'!E7,IF(AND('项目总控台账'!D7&lt;&gt;"",'项目总控台账'!D7&lt;&gt;"/"),'项目总控台账'!D7,'项目总控台账'!C7))</f>
        <v/>
      </c>
      <c r="D8" s="124">
        <f>'项目总控台账'!F7</f>
        <v/>
      </c>
      <c r="E8" s="124">
        <f>'项目总控台账'!G7</f>
        <v/>
      </c>
      <c r="F8" s="124">
        <f>'项目总控台账'!H7</f>
        <v/>
      </c>
      <c r="G8" s="125">
        <f>'项目总控台账'!J7</f>
        <v/>
      </c>
      <c r="H8" s="124">
        <f>IF(G8="","",G8-'项目驾驶舱'!$B$3)</f>
        <v/>
      </c>
      <c r="I8" s="124">
        <f>'项目总控台账'!AC7</f>
        <v/>
      </c>
      <c r="J8" s="124">
        <f>'项目总控台账'!AD7</f>
        <v/>
      </c>
      <c r="K8" s="124">
        <f>IF(A8&lt;&gt;"是","",IF(OR(E8="暂停",E8="挂起"),"确认暂停原因、恢复条件和责任人",IF(H8&lt;0,"立即确认延期原因、影响及补救计划",IF(H8&lt;=7,"本周确认交付承诺和完成证据","提前检查依赖与风险"))))</f>
        <v/>
      </c>
      <c r="L8" s="126" t="n"/>
      <c r="M8" s="127" t="n"/>
    </row>
    <row r="9">
      <c r="A9" s="124">
        <f>IF(B9="","",IF(AND(E9&lt;&gt;"已完成",ISNUMBER(G9),G9&lt;='项目驾驶舱'!$B$3+14),"是","否"))</f>
        <v/>
      </c>
      <c r="B9" s="124">
        <f>'项目总控台账'!A8</f>
        <v/>
      </c>
      <c r="C9" s="124">
        <f>IF(AND('项目总控台账'!E8&lt;&gt;"",'项目总控台账'!E8&lt;&gt;"/"),'项目总控台账'!E8,IF(AND('项目总控台账'!D8&lt;&gt;"",'项目总控台账'!D8&lt;&gt;"/"),'项目总控台账'!D8,'项目总控台账'!C8))</f>
        <v/>
      </c>
      <c r="D9" s="124">
        <f>'项目总控台账'!F8</f>
        <v/>
      </c>
      <c r="E9" s="124">
        <f>'项目总控台账'!G8</f>
        <v/>
      </c>
      <c r="F9" s="124">
        <f>'项目总控台账'!H8</f>
        <v/>
      </c>
      <c r="G9" s="125">
        <f>'项目总控台账'!J8</f>
        <v/>
      </c>
      <c r="H9" s="124">
        <f>IF(G9="","",G9-'项目驾驶舱'!$B$3)</f>
        <v/>
      </c>
      <c r="I9" s="124">
        <f>'项目总控台账'!AC8</f>
        <v/>
      </c>
      <c r="J9" s="124">
        <f>'项目总控台账'!AD8</f>
        <v/>
      </c>
      <c r="K9" s="124">
        <f>IF(A9&lt;&gt;"是","",IF(OR(E9="暂停",E9="挂起"),"确认暂停原因、恢复条件和责任人",IF(H9&lt;0,"立即确认延期原因、影响及补救计划",IF(H9&lt;=7,"本周确认交付承诺和完成证据","提前检查依赖与风险"))))</f>
        <v/>
      </c>
      <c r="L9" s="126" t="n"/>
      <c r="M9" s="127" t="n"/>
    </row>
    <row r="10">
      <c r="A10" s="124">
        <f>IF(B10="","",IF(AND(E10&lt;&gt;"已完成",ISNUMBER(G10),G10&lt;='项目驾驶舱'!$B$3+14),"是","否"))</f>
        <v/>
      </c>
      <c r="B10" s="124">
        <f>'项目总控台账'!A9</f>
        <v/>
      </c>
      <c r="C10" s="124">
        <f>IF(AND('项目总控台账'!E9&lt;&gt;"",'项目总控台账'!E9&lt;&gt;"/"),'项目总控台账'!E9,IF(AND('项目总控台账'!D9&lt;&gt;"",'项目总控台账'!D9&lt;&gt;"/"),'项目总控台账'!D9,'项目总控台账'!C9))</f>
        <v/>
      </c>
      <c r="D10" s="124">
        <f>'项目总控台账'!F9</f>
        <v/>
      </c>
      <c r="E10" s="124">
        <f>'项目总控台账'!G9</f>
        <v/>
      </c>
      <c r="F10" s="124">
        <f>'项目总控台账'!H9</f>
        <v/>
      </c>
      <c r="G10" s="125">
        <f>'项目总控台账'!J9</f>
        <v/>
      </c>
      <c r="H10" s="124">
        <f>IF(G10="","",G10-'项目驾驶舱'!$B$3)</f>
        <v/>
      </c>
      <c r="I10" s="124">
        <f>'项目总控台账'!AC9</f>
        <v/>
      </c>
      <c r="J10" s="124">
        <f>'项目总控台账'!AD9</f>
        <v/>
      </c>
      <c r="K10" s="124">
        <f>IF(A10&lt;&gt;"是","",IF(OR(E10="暂停",E10="挂起"),"确认暂停原因、恢复条件和责任人",IF(H10&lt;0,"立即确认延期原因、影响及补救计划",IF(H10&lt;=7,"本周确认交付承诺和完成证据","提前检查依赖与风险"))))</f>
        <v/>
      </c>
      <c r="L10" s="126" t="n"/>
      <c r="M10" s="127" t="n"/>
    </row>
    <row r="11">
      <c r="A11" s="124">
        <f>IF(B11="","",IF(AND(E11&lt;&gt;"已完成",ISNUMBER(G11),G11&lt;='项目驾驶舱'!$B$3+14),"是","否"))</f>
        <v/>
      </c>
      <c r="B11" s="124">
        <f>'项目总控台账'!A10</f>
        <v/>
      </c>
      <c r="C11" s="124">
        <f>IF(AND('项目总控台账'!E10&lt;&gt;"",'项目总控台账'!E10&lt;&gt;"/"),'项目总控台账'!E10,IF(AND('项目总控台账'!D10&lt;&gt;"",'项目总控台账'!D10&lt;&gt;"/"),'项目总控台账'!D10,'项目总控台账'!C10))</f>
        <v/>
      </c>
      <c r="D11" s="124">
        <f>'项目总控台账'!F10</f>
        <v/>
      </c>
      <c r="E11" s="124">
        <f>'项目总控台账'!G10</f>
        <v/>
      </c>
      <c r="F11" s="124">
        <f>'项目总控台账'!H10</f>
        <v/>
      </c>
      <c r="G11" s="125">
        <f>'项目总控台账'!J10</f>
        <v/>
      </c>
      <c r="H11" s="124">
        <f>IF(G11="","",G11-'项目驾驶舱'!$B$3)</f>
        <v/>
      </c>
      <c r="I11" s="124">
        <f>'项目总控台账'!AC10</f>
        <v/>
      </c>
      <c r="J11" s="124">
        <f>'项目总控台账'!AD10</f>
        <v/>
      </c>
      <c r="K11" s="124">
        <f>IF(A11&lt;&gt;"是","",IF(OR(E11="暂停",E11="挂起"),"确认暂停原因、恢复条件和责任人",IF(H11&lt;0,"立即确认延期原因、影响及补救计划",IF(H11&lt;=7,"本周确认交付承诺和完成证据","提前检查依赖与风险"))))</f>
        <v/>
      </c>
      <c r="L11" s="126" t="n"/>
      <c r="M11" s="127" t="n"/>
    </row>
    <row r="12">
      <c r="A12" s="124">
        <f>IF(B12="","",IF(AND(E12&lt;&gt;"已完成",ISNUMBER(G12),G12&lt;='项目驾驶舱'!$B$3+14),"是","否"))</f>
        <v/>
      </c>
      <c r="B12" s="124">
        <f>'项目总控台账'!A11</f>
        <v/>
      </c>
      <c r="C12" s="124">
        <f>IF(AND('项目总控台账'!E11&lt;&gt;"",'项目总控台账'!E11&lt;&gt;"/"),'项目总控台账'!E11,IF(AND('项目总控台账'!D11&lt;&gt;"",'项目总控台账'!D11&lt;&gt;"/"),'项目总控台账'!D11,'项目总控台账'!C11))</f>
        <v/>
      </c>
      <c r="D12" s="124">
        <f>'项目总控台账'!F11</f>
        <v/>
      </c>
      <c r="E12" s="124">
        <f>'项目总控台账'!G11</f>
        <v/>
      </c>
      <c r="F12" s="124">
        <f>'项目总控台账'!H11</f>
        <v/>
      </c>
      <c r="G12" s="125">
        <f>'项目总控台账'!J11</f>
        <v/>
      </c>
      <c r="H12" s="124">
        <f>IF(G12="","",G12-'项目驾驶舱'!$B$3)</f>
        <v/>
      </c>
      <c r="I12" s="124">
        <f>'项目总控台账'!AC11</f>
        <v/>
      </c>
      <c r="J12" s="124">
        <f>'项目总控台账'!AD11</f>
        <v/>
      </c>
      <c r="K12" s="124">
        <f>IF(A12&lt;&gt;"是","",IF(OR(E12="暂停",E12="挂起"),"确认暂停原因、恢复条件和责任人",IF(H12&lt;0,"立即确认延期原因、影响及补救计划",IF(H12&lt;=7,"本周确认交付承诺和完成证据","提前检查依赖与风险"))))</f>
        <v/>
      </c>
      <c r="L12" s="126" t="n"/>
      <c r="M12" s="127" t="n"/>
    </row>
    <row r="13">
      <c r="A13" s="124">
        <f>IF(B13="","",IF(AND(E13&lt;&gt;"已完成",ISNUMBER(G13),G13&lt;='项目驾驶舱'!$B$3+14),"是","否"))</f>
        <v/>
      </c>
      <c r="B13" s="124">
        <f>'项目总控台账'!A12</f>
        <v/>
      </c>
      <c r="C13" s="124">
        <f>IF(AND('项目总控台账'!E12&lt;&gt;"",'项目总控台账'!E12&lt;&gt;"/"),'项目总控台账'!E12,IF(AND('项目总控台账'!D12&lt;&gt;"",'项目总控台账'!D12&lt;&gt;"/"),'项目总控台账'!D12,'项目总控台账'!C12))</f>
        <v/>
      </c>
      <c r="D13" s="124">
        <f>'项目总控台账'!F12</f>
        <v/>
      </c>
      <c r="E13" s="124">
        <f>'项目总控台账'!G12</f>
        <v/>
      </c>
      <c r="F13" s="124">
        <f>'项目总控台账'!H12</f>
        <v/>
      </c>
      <c r="G13" s="125">
        <f>'项目总控台账'!J12</f>
        <v/>
      </c>
      <c r="H13" s="124">
        <f>IF(G13="","",G13-'项目驾驶舱'!$B$3)</f>
        <v/>
      </c>
      <c r="I13" s="124">
        <f>'项目总控台账'!AC12</f>
        <v/>
      </c>
      <c r="J13" s="124">
        <f>'项目总控台账'!AD12</f>
        <v/>
      </c>
      <c r="K13" s="124">
        <f>IF(A13&lt;&gt;"是","",IF(OR(E13="暂停",E13="挂起"),"确认暂停原因、恢复条件和责任人",IF(H13&lt;0,"立即确认延期原因、影响及补救计划",IF(H13&lt;=7,"本周确认交付承诺和完成证据","提前检查依赖与风险"))))</f>
        <v/>
      </c>
      <c r="L13" s="126" t="n"/>
      <c r="M13" s="127" t="n"/>
    </row>
    <row r="14">
      <c r="A14" s="124">
        <f>IF(B14="","",IF(AND(E14&lt;&gt;"已完成",ISNUMBER(G14),G14&lt;='项目驾驶舱'!$B$3+14),"是","否"))</f>
        <v/>
      </c>
      <c r="B14" s="124">
        <f>'项目总控台账'!A13</f>
        <v/>
      </c>
      <c r="C14" s="124">
        <f>IF(AND('项目总控台账'!E13&lt;&gt;"",'项目总控台账'!E13&lt;&gt;"/"),'项目总控台账'!E13,IF(AND('项目总控台账'!D13&lt;&gt;"",'项目总控台账'!D13&lt;&gt;"/"),'项目总控台账'!D13,'项目总控台账'!C13))</f>
        <v/>
      </c>
      <c r="D14" s="124">
        <f>'项目总控台账'!F13</f>
        <v/>
      </c>
      <c r="E14" s="124">
        <f>'项目总控台账'!G13</f>
        <v/>
      </c>
      <c r="F14" s="124">
        <f>'项目总控台账'!H13</f>
        <v/>
      </c>
      <c r="G14" s="125">
        <f>'项目总控台账'!J13</f>
        <v/>
      </c>
      <c r="H14" s="124">
        <f>IF(G14="","",G14-'项目驾驶舱'!$B$3)</f>
        <v/>
      </c>
      <c r="I14" s="124">
        <f>'项目总控台账'!AC13</f>
        <v/>
      </c>
      <c r="J14" s="124">
        <f>'项目总控台账'!AD13</f>
        <v/>
      </c>
      <c r="K14" s="124">
        <f>IF(A14&lt;&gt;"是","",IF(OR(E14="暂停",E14="挂起"),"确认暂停原因、恢复条件和责任人",IF(H14&lt;0,"立即确认延期原因、影响及补救计划",IF(H14&lt;=7,"本周确认交付承诺和完成证据","提前检查依赖与风险"))))</f>
        <v/>
      </c>
      <c r="L14" s="126" t="n"/>
      <c r="M14" s="127" t="n"/>
    </row>
    <row r="15">
      <c r="A15" s="124">
        <f>IF(B15="","",IF(AND(E15&lt;&gt;"已完成",ISNUMBER(G15),G15&lt;='项目驾驶舱'!$B$3+14),"是","否"))</f>
        <v/>
      </c>
      <c r="B15" s="124">
        <f>'项目总控台账'!A14</f>
        <v/>
      </c>
      <c r="C15" s="124">
        <f>IF(AND('项目总控台账'!E14&lt;&gt;"",'项目总控台账'!E14&lt;&gt;"/"),'项目总控台账'!E14,IF(AND('项目总控台账'!D14&lt;&gt;"",'项目总控台账'!D14&lt;&gt;"/"),'项目总控台账'!D14,'项目总控台账'!C14))</f>
        <v/>
      </c>
      <c r="D15" s="124">
        <f>'项目总控台账'!F14</f>
        <v/>
      </c>
      <c r="E15" s="124">
        <f>'项目总控台账'!G14</f>
        <v/>
      </c>
      <c r="F15" s="124">
        <f>'项目总控台账'!H14</f>
        <v/>
      </c>
      <c r="G15" s="125">
        <f>'项目总控台账'!J14</f>
        <v/>
      </c>
      <c r="H15" s="124">
        <f>IF(G15="","",G15-'项目驾驶舱'!$B$3)</f>
        <v/>
      </c>
      <c r="I15" s="124">
        <f>'项目总控台账'!AC14</f>
        <v/>
      </c>
      <c r="J15" s="124">
        <f>'项目总控台账'!AD14</f>
        <v/>
      </c>
      <c r="K15" s="124">
        <f>IF(A15&lt;&gt;"是","",IF(OR(E15="暂停",E15="挂起"),"确认暂停原因、恢复条件和责任人",IF(H15&lt;0,"立即确认延期原因、影响及补救计划",IF(H15&lt;=7,"本周确认交付承诺和完成证据","提前检查依赖与风险"))))</f>
        <v/>
      </c>
      <c r="L15" s="126" t="n"/>
      <c r="M15" s="127" t="n"/>
    </row>
    <row r="16">
      <c r="A16" s="124">
        <f>IF(B16="","",IF(AND(E16&lt;&gt;"已完成",ISNUMBER(G16),G16&lt;='项目驾驶舱'!$B$3+14),"是","否"))</f>
        <v/>
      </c>
      <c r="B16" s="124">
        <f>'项目总控台账'!A15</f>
        <v/>
      </c>
      <c r="C16" s="124">
        <f>IF(AND('项目总控台账'!E15&lt;&gt;"",'项目总控台账'!E15&lt;&gt;"/"),'项目总控台账'!E15,IF(AND('项目总控台账'!D15&lt;&gt;"",'项目总控台账'!D15&lt;&gt;"/"),'项目总控台账'!D15,'项目总控台账'!C15))</f>
        <v/>
      </c>
      <c r="D16" s="124">
        <f>'项目总控台账'!F15</f>
        <v/>
      </c>
      <c r="E16" s="124">
        <f>'项目总控台账'!G15</f>
        <v/>
      </c>
      <c r="F16" s="124">
        <f>'项目总控台账'!H15</f>
        <v/>
      </c>
      <c r="G16" s="125">
        <f>'项目总控台账'!J15</f>
        <v/>
      </c>
      <c r="H16" s="124">
        <f>IF(G16="","",G16-'项目驾驶舱'!$B$3)</f>
        <v/>
      </c>
      <c r="I16" s="124">
        <f>'项目总控台账'!AC15</f>
        <v/>
      </c>
      <c r="J16" s="124">
        <f>'项目总控台账'!AD15</f>
        <v/>
      </c>
      <c r="K16" s="124">
        <f>IF(A16&lt;&gt;"是","",IF(OR(E16="暂停",E16="挂起"),"确认暂停原因、恢复条件和责任人",IF(H16&lt;0,"立即确认延期原因、影响及补救计划",IF(H16&lt;=7,"本周确认交付承诺和完成证据","提前检查依赖与风险"))))</f>
        <v/>
      </c>
      <c r="L16" s="126" t="n"/>
      <c r="M16" s="127" t="n"/>
    </row>
    <row r="17">
      <c r="A17" s="124">
        <f>IF(B17="","",IF(AND(E17&lt;&gt;"已完成",ISNUMBER(G17),G17&lt;='项目驾驶舱'!$B$3+14),"是","否"))</f>
        <v/>
      </c>
      <c r="B17" s="124">
        <f>'项目总控台账'!A16</f>
        <v/>
      </c>
      <c r="C17" s="124">
        <f>IF(AND('项目总控台账'!E16&lt;&gt;"",'项目总控台账'!E16&lt;&gt;"/"),'项目总控台账'!E16,IF(AND('项目总控台账'!D16&lt;&gt;"",'项目总控台账'!D16&lt;&gt;"/"),'项目总控台账'!D16,'项目总控台账'!C16))</f>
        <v/>
      </c>
      <c r="D17" s="124">
        <f>'项目总控台账'!F16</f>
        <v/>
      </c>
      <c r="E17" s="124">
        <f>'项目总控台账'!G16</f>
        <v/>
      </c>
      <c r="F17" s="124">
        <f>'项目总控台账'!H16</f>
        <v/>
      </c>
      <c r="G17" s="125">
        <f>'项目总控台账'!J16</f>
        <v/>
      </c>
      <c r="H17" s="124">
        <f>IF(G17="","",G17-'项目驾驶舱'!$B$3)</f>
        <v/>
      </c>
      <c r="I17" s="124">
        <f>'项目总控台账'!AC16</f>
        <v/>
      </c>
      <c r="J17" s="124">
        <f>'项目总控台账'!AD16</f>
        <v/>
      </c>
      <c r="K17" s="124">
        <f>IF(A17&lt;&gt;"是","",IF(OR(E17="暂停",E17="挂起"),"确认暂停原因、恢复条件和责任人",IF(H17&lt;0,"立即确认延期原因、影响及补救计划",IF(H17&lt;=7,"本周确认交付承诺和完成证据","提前检查依赖与风险"))))</f>
        <v/>
      </c>
      <c r="L17" s="126" t="n"/>
      <c r="M17" s="127" t="n"/>
    </row>
    <row r="18">
      <c r="A18" s="124">
        <f>IF(B18="","",IF(AND(E18&lt;&gt;"已完成",ISNUMBER(G18),G18&lt;='项目驾驶舱'!$B$3+14),"是","否"))</f>
        <v/>
      </c>
      <c r="B18" s="124">
        <f>'项目总控台账'!A17</f>
        <v/>
      </c>
      <c r="C18" s="124">
        <f>IF(AND('项目总控台账'!E17&lt;&gt;"",'项目总控台账'!E17&lt;&gt;"/"),'项目总控台账'!E17,IF(AND('项目总控台账'!D17&lt;&gt;"",'项目总控台账'!D17&lt;&gt;"/"),'项目总控台账'!D17,'项目总控台账'!C17))</f>
        <v/>
      </c>
      <c r="D18" s="124">
        <f>'项目总控台账'!F17</f>
        <v/>
      </c>
      <c r="E18" s="124">
        <f>'项目总控台账'!G17</f>
        <v/>
      </c>
      <c r="F18" s="124">
        <f>'项目总控台账'!H17</f>
        <v/>
      </c>
      <c r="G18" s="125">
        <f>'项目总控台账'!J17</f>
        <v/>
      </c>
      <c r="H18" s="124">
        <f>IF(G18="","",G18-'项目驾驶舱'!$B$3)</f>
        <v/>
      </c>
      <c r="I18" s="124">
        <f>'项目总控台账'!AC17</f>
        <v/>
      </c>
      <c r="J18" s="124">
        <f>'项目总控台账'!AD17</f>
        <v/>
      </c>
      <c r="K18" s="124">
        <f>IF(A18&lt;&gt;"是","",IF(OR(E18="暂停",E18="挂起"),"确认暂停原因、恢复条件和责任人",IF(H18&lt;0,"立即确认延期原因、影响及补救计划",IF(H18&lt;=7,"本周确认交付承诺和完成证据","提前检查依赖与风险"))))</f>
        <v/>
      </c>
      <c r="L18" s="126" t="n"/>
      <c r="M18" s="127" t="n"/>
    </row>
    <row r="19">
      <c r="A19" s="124">
        <f>IF(B19="","",IF(AND(E19&lt;&gt;"已完成",ISNUMBER(G19),G19&lt;='项目驾驶舱'!$B$3+14),"是","否"))</f>
        <v/>
      </c>
      <c r="B19" s="124">
        <f>'项目总控台账'!A18</f>
        <v/>
      </c>
      <c r="C19" s="124">
        <f>IF(AND('项目总控台账'!E18&lt;&gt;"",'项目总控台账'!E18&lt;&gt;"/"),'项目总控台账'!E18,IF(AND('项目总控台账'!D18&lt;&gt;"",'项目总控台账'!D18&lt;&gt;"/"),'项目总控台账'!D18,'项目总控台账'!C18))</f>
        <v/>
      </c>
      <c r="D19" s="124">
        <f>'项目总控台账'!F18</f>
        <v/>
      </c>
      <c r="E19" s="124">
        <f>'项目总控台账'!G18</f>
        <v/>
      </c>
      <c r="F19" s="124">
        <f>'项目总控台账'!H18</f>
        <v/>
      </c>
      <c r="G19" s="125">
        <f>'项目总控台账'!J18</f>
        <v/>
      </c>
      <c r="H19" s="124">
        <f>IF(G19="","",G19-'项目驾驶舱'!$B$3)</f>
        <v/>
      </c>
      <c r="I19" s="124">
        <f>'项目总控台账'!AC18</f>
        <v/>
      </c>
      <c r="J19" s="124">
        <f>'项目总控台账'!AD18</f>
        <v/>
      </c>
      <c r="K19" s="124">
        <f>IF(A19&lt;&gt;"是","",IF(OR(E19="暂停",E19="挂起"),"确认暂停原因、恢复条件和责任人",IF(H19&lt;0,"立即确认延期原因、影响及补救计划",IF(H19&lt;=7,"本周确认交付承诺和完成证据","提前检查依赖与风险"))))</f>
        <v/>
      </c>
      <c r="L19" s="126" t="n"/>
      <c r="M19" s="127" t="n"/>
    </row>
    <row r="20">
      <c r="A20" s="124">
        <f>IF(B20="","",IF(AND(E20&lt;&gt;"已完成",ISNUMBER(G20),G20&lt;='项目驾驶舱'!$B$3+14),"是","否"))</f>
        <v/>
      </c>
      <c r="B20" s="124">
        <f>'项目总控台账'!A19</f>
        <v/>
      </c>
      <c r="C20" s="124">
        <f>IF(AND('项目总控台账'!E19&lt;&gt;"",'项目总控台账'!E19&lt;&gt;"/"),'项目总控台账'!E19,IF(AND('项目总控台账'!D19&lt;&gt;"",'项目总控台账'!D19&lt;&gt;"/"),'项目总控台账'!D19,'项目总控台账'!C19))</f>
        <v/>
      </c>
      <c r="D20" s="124">
        <f>'项目总控台账'!F19</f>
        <v/>
      </c>
      <c r="E20" s="124">
        <f>'项目总控台账'!G19</f>
        <v/>
      </c>
      <c r="F20" s="124">
        <f>'项目总控台账'!H19</f>
        <v/>
      </c>
      <c r="G20" s="125">
        <f>'项目总控台账'!J19</f>
        <v/>
      </c>
      <c r="H20" s="124">
        <f>IF(G20="","",G20-'项目驾驶舱'!$B$3)</f>
        <v/>
      </c>
      <c r="I20" s="124">
        <f>'项目总控台账'!AC19</f>
        <v/>
      </c>
      <c r="J20" s="124">
        <f>'项目总控台账'!AD19</f>
        <v/>
      </c>
      <c r="K20" s="124">
        <f>IF(A20&lt;&gt;"是","",IF(OR(E20="暂停",E20="挂起"),"确认暂停原因、恢复条件和责任人",IF(H20&lt;0,"立即确认延期原因、影响及补救计划",IF(H20&lt;=7,"本周确认交付承诺和完成证据","提前检查依赖与风险"))))</f>
        <v/>
      </c>
      <c r="L20" s="126" t="n"/>
      <c r="M20" s="127" t="n"/>
    </row>
    <row r="21">
      <c r="A21" s="124">
        <f>IF(B21="","",IF(AND(E21&lt;&gt;"已完成",ISNUMBER(G21),G21&lt;='项目驾驶舱'!$B$3+14),"是","否"))</f>
        <v/>
      </c>
      <c r="B21" s="124">
        <f>'项目总控台账'!A20</f>
        <v/>
      </c>
      <c r="C21" s="124">
        <f>IF(AND('项目总控台账'!E20&lt;&gt;"",'项目总控台账'!E20&lt;&gt;"/"),'项目总控台账'!E20,IF(AND('项目总控台账'!D20&lt;&gt;"",'项目总控台账'!D20&lt;&gt;"/"),'项目总控台账'!D20,'项目总控台账'!C20))</f>
        <v/>
      </c>
      <c r="D21" s="124">
        <f>'项目总控台账'!F20</f>
        <v/>
      </c>
      <c r="E21" s="124">
        <f>'项目总控台账'!G20</f>
        <v/>
      </c>
      <c r="F21" s="124">
        <f>'项目总控台账'!H20</f>
        <v/>
      </c>
      <c r="G21" s="125">
        <f>'项目总控台账'!J20</f>
        <v/>
      </c>
      <c r="H21" s="124">
        <f>IF(G21="","",G21-'项目驾驶舱'!$B$3)</f>
        <v/>
      </c>
      <c r="I21" s="124">
        <f>'项目总控台账'!AC20</f>
        <v/>
      </c>
      <c r="J21" s="124">
        <f>'项目总控台账'!AD20</f>
        <v/>
      </c>
      <c r="K21" s="124">
        <f>IF(A21&lt;&gt;"是","",IF(OR(E21="暂停",E21="挂起"),"确认暂停原因、恢复条件和责任人",IF(H21&lt;0,"立即确认延期原因、影响及补救计划",IF(H21&lt;=7,"本周确认交付承诺和完成证据","提前检查依赖与风险"))))</f>
        <v/>
      </c>
      <c r="L21" s="126" t="n"/>
      <c r="M21" s="127" t="n"/>
    </row>
    <row r="22">
      <c r="A22" s="124">
        <f>IF(B22="","",IF(AND(E22&lt;&gt;"已完成",ISNUMBER(G22),G22&lt;='项目驾驶舱'!$B$3+14),"是","否"))</f>
        <v/>
      </c>
      <c r="B22" s="124">
        <f>'项目总控台账'!A21</f>
        <v/>
      </c>
      <c r="C22" s="124">
        <f>IF(AND('项目总控台账'!E21&lt;&gt;"",'项目总控台账'!E21&lt;&gt;"/"),'项目总控台账'!E21,IF(AND('项目总控台账'!D21&lt;&gt;"",'项目总控台账'!D21&lt;&gt;"/"),'项目总控台账'!D21,'项目总控台账'!C21))</f>
        <v/>
      </c>
      <c r="D22" s="124">
        <f>'项目总控台账'!F21</f>
        <v/>
      </c>
      <c r="E22" s="124">
        <f>'项目总控台账'!G21</f>
        <v/>
      </c>
      <c r="F22" s="124">
        <f>'项目总控台账'!H21</f>
        <v/>
      </c>
      <c r="G22" s="125">
        <f>'项目总控台账'!J21</f>
        <v/>
      </c>
      <c r="H22" s="124">
        <f>IF(G22="","",G22-'项目驾驶舱'!$B$3)</f>
        <v/>
      </c>
      <c r="I22" s="124">
        <f>'项目总控台账'!AC21</f>
        <v/>
      </c>
      <c r="J22" s="124">
        <f>'项目总控台账'!AD21</f>
        <v/>
      </c>
      <c r="K22" s="124">
        <f>IF(A22&lt;&gt;"是","",IF(OR(E22="暂停",E22="挂起"),"确认暂停原因、恢复条件和责任人",IF(H22&lt;0,"立即确认延期原因、影响及补救计划",IF(H22&lt;=7,"本周确认交付承诺和完成证据","提前检查依赖与风险"))))</f>
        <v/>
      </c>
      <c r="L22" s="126" t="n"/>
      <c r="M22" s="127" t="n"/>
    </row>
    <row r="23">
      <c r="A23" s="124">
        <f>IF(B23="","",IF(AND(E23&lt;&gt;"已完成",ISNUMBER(G23),G23&lt;='项目驾驶舱'!$B$3+14),"是","否"))</f>
        <v/>
      </c>
      <c r="B23" s="124">
        <f>'项目总控台账'!A22</f>
        <v/>
      </c>
      <c r="C23" s="124">
        <f>IF(AND('项目总控台账'!E22&lt;&gt;"",'项目总控台账'!E22&lt;&gt;"/"),'项目总控台账'!E22,IF(AND('项目总控台账'!D22&lt;&gt;"",'项目总控台账'!D22&lt;&gt;"/"),'项目总控台账'!D22,'项目总控台账'!C22))</f>
        <v/>
      </c>
      <c r="D23" s="124">
        <f>'项目总控台账'!F22</f>
        <v/>
      </c>
      <c r="E23" s="124">
        <f>'项目总控台账'!G22</f>
        <v/>
      </c>
      <c r="F23" s="124">
        <f>'项目总控台账'!H22</f>
        <v/>
      </c>
      <c r="G23" s="125">
        <f>'项目总控台账'!J22</f>
        <v/>
      </c>
      <c r="H23" s="124">
        <f>IF(G23="","",G23-'项目驾驶舱'!$B$3)</f>
        <v/>
      </c>
      <c r="I23" s="124">
        <f>'项目总控台账'!AC22</f>
        <v/>
      </c>
      <c r="J23" s="124">
        <f>'项目总控台账'!AD22</f>
        <v/>
      </c>
      <c r="K23" s="124">
        <f>IF(A23&lt;&gt;"是","",IF(OR(E23="暂停",E23="挂起"),"确认暂停原因、恢复条件和责任人",IF(H23&lt;0,"立即确认延期原因、影响及补救计划",IF(H23&lt;=7,"本周确认交付承诺和完成证据","提前检查依赖与风险"))))</f>
        <v/>
      </c>
      <c r="L23" s="126" t="n"/>
      <c r="M23" s="127" t="n"/>
    </row>
    <row r="24">
      <c r="A24" s="124">
        <f>IF(B24="","",IF(AND(E24&lt;&gt;"已完成",ISNUMBER(G24),G24&lt;='项目驾驶舱'!$B$3+14),"是","否"))</f>
        <v/>
      </c>
      <c r="B24" s="124">
        <f>'项目总控台账'!A23</f>
        <v/>
      </c>
      <c r="C24" s="124">
        <f>IF(AND('项目总控台账'!E23&lt;&gt;"",'项目总控台账'!E23&lt;&gt;"/"),'项目总控台账'!E23,IF(AND('项目总控台账'!D23&lt;&gt;"",'项目总控台账'!D23&lt;&gt;"/"),'项目总控台账'!D23,'项目总控台账'!C23))</f>
        <v/>
      </c>
      <c r="D24" s="124">
        <f>'项目总控台账'!F23</f>
        <v/>
      </c>
      <c r="E24" s="124">
        <f>'项目总控台账'!G23</f>
        <v/>
      </c>
      <c r="F24" s="124">
        <f>'项目总控台账'!H23</f>
        <v/>
      </c>
      <c r="G24" s="125">
        <f>'项目总控台账'!J23</f>
        <v/>
      </c>
      <c r="H24" s="124">
        <f>IF(G24="","",G24-'项目驾驶舱'!$B$3)</f>
        <v/>
      </c>
      <c r="I24" s="124">
        <f>'项目总控台账'!AC23</f>
        <v/>
      </c>
      <c r="J24" s="124">
        <f>'项目总控台账'!AD23</f>
        <v/>
      </c>
      <c r="K24" s="124">
        <f>IF(A24&lt;&gt;"是","",IF(OR(E24="暂停",E24="挂起"),"确认暂停原因、恢复条件和责任人",IF(H24&lt;0,"立即确认延期原因、影响及补救计划",IF(H24&lt;=7,"本周确认交付承诺和完成证据","提前检查依赖与风险"))))</f>
        <v/>
      </c>
      <c r="L24" s="126" t="n"/>
      <c r="M24" s="127" t="n"/>
    </row>
    <row r="25">
      <c r="A25" s="124">
        <f>IF(B25="","",IF(AND(E25&lt;&gt;"已完成",ISNUMBER(G25),G25&lt;='项目驾驶舱'!$B$3+14),"是","否"))</f>
        <v/>
      </c>
      <c r="B25" s="124">
        <f>'项目总控台账'!A24</f>
        <v/>
      </c>
      <c r="C25" s="124">
        <f>IF(AND('项目总控台账'!E24&lt;&gt;"",'项目总控台账'!E24&lt;&gt;"/"),'项目总控台账'!E24,IF(AND('项目总控台账'!D24&lt;&gt;"",'项目总控台账'!D24&lt;&gt;"/"),'项目总控台账'!D24,'项目总控台账'!C24))</f>
        <v/>
      </c>
      <c r="D25" s="124">
        <f>'项目总控台账'!F24</f>
        <v/>
      </c>
      <c r="E25" s="124">
        <f>'项目总控台账'!G24</f>
        <v/>
      </c>
      <c r="F25" s="124">
        <f>'项目总控台账'!H24</f>
        <v/>
      </c>
      <c r="G25" s="125">
        <f>'项目总控台账'!J24</f>
        <v/>
      </c>
      <c r="H25" s="124">
        <f>IF(G25="","",G25-'项目驾驶舱'!$B$3)</f>
        <v/>
      </c>
      <c r="I25" s="124">
        <f>'项目总控台账'!AC24</f>
        <v/>
      </c>
      <c r="J25" s="124">
        <f>'项目总控台账'!AD24</f>
        <v/>
      </c>
      <c r="K25" s="124">
        <f>IF(A25&lt;&gt;"是","",IF(OR(E25="暂停",E25="挂起"),"确认暂停原因、恢复条件和责任人",IF(H25&lt;0,"立即确认延期原因、影响及补救计划",IF(H25&lt;=7,"本周确认交付承诺和完成证据","提前检查依赖与风险"))))</f>
        <v/>
      </c>
      <c r="L25" s="126" t="n"/>
      <c r="M25" s="127" t="n"/>
    </row>
    <row r="26">
      <c r="A26" s="124">
        <f>IF(B26="","",IF(AND(E26&lt;&gt;"已完成",ISNUMBER(G26),G26&lt;='项目驾驶舱'!$B$3+14),"是","否"))</f>
        <v/>
      </c>
      <c r="B26" s="124">
        <f>'项目总控台账'!A25</f>
        <v/>
      </c>
      <c r="C26" s="124">
        <f>IF(AND('项目总控台账'!E25&lt;&gt;"",'项目总控台账'!E25&lt;&gt;"/"),'项目总控台账'!E25,IF(AND('项目总控台账'!D25&lt;&gt;"",'项目总控台账'!D25&lt;&gt;"/"),'项目总控台账'!D25,'项目总控台账'!C25))</f>
        <v/>
      </c>
      <c r="D26" s="124">
        <f>'项目总控台账'!F25</f>
        <v/>
      </c>
      <c r="E26" s="124">
        <f>'项目总控台账'!G25</f>
        <v/>
      </c>
      <c r="F26" s="124">
        <f>'项目总控台账'!H25</f>
        <v/>
      </c>
      <c r="G26" s="125">
        <f>'项目总控台账'!J25</f>
        <v/>
      </c>
      <c r="H26" s="124">
        <f>IF(G26="","",G26-'项目驾驶舱'!$B$3)</f>
        <v/>
      </c>
      <c r="I26" s="124">
        <f>'项目总控台账'!AC25</f>
        <v/>
      </c>
      <c r="J26" s="124">
        <f>'项目总控台账'!AD25</f>
        <v/>
      </c>
      <c r="K26" s="124">
        <f>IF(A26&lt;&gt;"是","",IF(OR(E26="暂停",E26="挂起"),"确认暂停原因、恢复条件和责任人",IF(H26&lt;0,"立即确认延期原因、影响及补救计划",IF(H26&lt;=7,"本周确认交付承诺和完成证据","提前检查依赖与风险"))))</f>
        <v/>
      </c>
      <c r="L26" s="126" t="n"/>
      <c r="M26" s="127" t="n"/>
    </row>
    <row r="27">
      <c r="A27" s="124">
        <f>IF(B27="","",IF(AND(E27&lt;&gt;"已完成",ISNUMBER(G27),G27&lt;='项目驾驶舱'!$B$3+14),"是","否"))</f>
        <v/>
      </c>
      <c r="B27" s="124">
        <f>'项目总控台账'!A26</f>
        <v/>
      </c>
      <c r="C27" s="124">
        <f>IF(AND('项目总控台账'!E26&lt;&gt;"",'项目总控台账'!E26&lt;&gt;"/"),'项目总控台账'!E26,IF(AND('项目总控台账'!D26&lt;&gt;"",'项目总控台账'!D26&lt;&gt;"/"),'项目总控台账'!D26,'项目总控台账'!C26))</f>
        <v/>
      </c>
      <c r="D27" s="124">
        <f>'项目总控台账'!F26</f>
        <v/>
      </c>
      <c r="E27" s="124">
        <f>'项目总控台账'!G26</f>
        <v/>
      </c>
      <c r="F27" s="124">
        <f>'项目总控台账'!H26</f>
        <v/>
      </c>
      <c r="G27" s="125">
        <f>'项目总控台账'!J26</f>
        <v/>
      </c>
      <c r="H27" s="124">
        <f>IF(G27="","",G27-'项目驾驶舱'!$B$3)</f>
        <v/>
      </c>
      <c r="I27" s="124">
        <f>'项目总控台账'!AC26</f>
        <v/>
      </c>
      <c r="J27" s="124">
        <f>'项目总控台账'!AD26</f>
        <v/>
      </c>
      <c r="K27" s="124">
        <f>IF(A27&lt;&gt;"是","",IF(OR(E27="暂停",E27="挂起"),"确认暂停原因、恢复条件和责任人",IF(H27&lt;0,"立即确认延期原因、影响及补救计划",IF(H27&lt;=7,"本周确认交付承诺和完成证据","提前检查依赖与风险"))))</f>
        <v/>
      </c>
      <c r="L27" s="126" t="n"/>
      <c r="M27" s="127" t="n"/>
    </row>
    <row r="28">
      <c r="A28" s="124">
        <f>IF(B28="","",IF(AND(E28&lt;&gt;"已完成",ISNUMBER(G28),G28&lt;='项目驾驶舱'!$B$3+14),"是","否"))</f>
        <v/>
      </c>
      <c r="B28" s="124">
        <f>'项目总控台账'!A27</f>
        <v/>
      </c>
      <c r="C28" s="124">
        <f>IF(AND('项目总控台账'!E27&lt;&gt;"",'项目总控台账'!E27&lt;&gt;"/"),'项目总控台账'!E27,IF(AND('项目总控台账'!D27&lt;&gt;"",'项目总控台账'!D27&lt;&gt;"/"),'项目总控台账'!D27,'项目总控台账'!C27))</f>
        <v/>
      </c>
      <c r="D28" s="124">
        <f>'项目总控台账'!F27</f>
        <v/>
      </c>
      <c r="E28" s="124">
        <f>'项目总控台账'!G27</f>
        <v/>
      </c>
      <c r="F28" s="124">
        <f>'项目总控台账'!H27</f>
        <v/>
      </c>
      <c r="G28" s="125">
        <f>'项目总控台账'!J27</f>
        <v/>
      </c>
      <c r="H28" s="124">
        <f>IF(G28="","",G28-'项目驾驶舱'!$B$3)</f>
        <v/>
      </c>
      <c r="I28" s="124">
        <f>'项目总控台账'!AC27</f>
        <v/>
      </c>
      <c r="J28" s="124">
        <f>'项目总控台账'!AD27</f>
        <v/>
      </c>
      <c r="K28" s="124">
        <f>IF(A28&lt;&gt;"是","",IF(OR(E28="暂停",E28="挂起"),"确认暂停原因、恢复条件和责任人",IF(H28&lt;0,"立即确认延期原因、影响及补救计划",IF(H28&lt;=7,"本周确认交付承诺和完成证据","提前检查依赖与风险"))))</f>
        <v/>
      </c>
      <c r="L28" s="126" t="n"/>
      <c r="M28" s="127" t="n"/>
    </row>
    <row r="29">
      <c r="A29" s="124">
        <f>IF(B29="","",IF(AND(E29&lt;&gt;"已完成",ISNUMBER(G29),G29&lt;='项目驾驶舱'!$B$3+14),"是","否"))</f>
        <v/>
      </c>
      <c r="B29" s="124">
        <f>'项目总控台账'!A28</f>
        <v/>
      </c>
      <c r="C29" s="124">
        <f>IF(AND('项目总控台账'!E28&lt;&gt;"",'项目总控台账'!E28&lt;&gt;"/"),'项目总控台账'!E28,IF(AND('项目总控台账'!D28&lt;&gt;"",'项目总控台账'!D28&lt;&gt;"/"),'项目总控台账'!D28,'项目总控台账'!C28))</f>
        <v/>
      </c>
      <c r="D29" s="124">
        <f>'项目总控台账'!F28</f>
        <v/>
      </c>
      <c r="E29" s="124">
        <f>'项目总控台账'!G28</f>
        <v/>
      </c>
      <c r="F29" s="124">
        <f>'项目总控台账'!H28</f>
        <v/>
      </c>
      <c r="G29" s="125">
        <f>'项目总控台账'!J28</f>
        <v/>
      </c>
      <c r="H29" s="124">
        <f>IF(G29="","",G29-'项目驾驶舱'!$B$3)</f>
        <v/>
      </c>
      <c r="I29" s="124">
        <f>'项目总控台账'!AC28</f>
        <v/>
      </c>
      <c r="J29" s="124">
        <f>'项目总控台账'!AD28</f>
        <v/>
      </c>
      <c r="K29" s="124">
        <f>IF(A29&lt;&gt;"是","",IF(OR(E29="暂停",E29="挂起"),"确认暂停原因、恢复条件和责任人",IF(H29&lt;0,"立即确认延期原因、影响及补救计划",IF(H29&lt;=7,"本周确认交付承诺和完成证据","提前检查依赖与风险"))))</f>
        <v/>
      </c>
      <c r="L29" s="126" t="n"/>
      <c r="M29" s="127" t="n"/>
    </row>
    <row r="30">
      <c r="A30" s="124">
        <f>IF(B30="","",IF(AND(E30&lt;&gt;"已完成",ISNUMBER(G30),G30&lt;='项目驾驶舱'!$B$3+14),"是","否"))</f>
        <v/>
      </c>
      <c r="B30" s="124">
        <f>'项目总控台账'!A29</f>
        <v/>
      </c>
      <c r="C30" s="124">
        <f>IF(AND('项目总控台账'!E29&lt;&gt;"",'项目总控台账'!E29&lt;&gt;"/"),'项目总控台账'!E29,IF(AND('项目总控台账'!D29&lt;&gt;"",'项目总控台账'!D29&lt;&gt;"/"),'项目总控台账'!D29,'项目总控台账'!C29))</f>
        <v/>
      </c>
      <c r="D30" s="124">
        <f>'项目总控台账'!F29</f>
        <v/>
      </c>
      <c r="E30" s="124">
        <f>'项目总控台账'!G29</f>
        <v/>
      </c>
      <c r="F30" s="124">
        <f>'项目总控台账'!H29</f>
        <v/>
      </c>
      <c r="G30" s="125">
        <f>'项目总控台账'!J29</f>
        <v/>
      </c>
      <c r="H30" s="124">
        <f>IF(G30="","",G30-'项目驾驶舱'!$B$3)</f>
        <v/>
      </c>
      <c r="I30" s="124">
        <f>'项目总控台账'!AC29</f>
        <v/>
      </c>
      <c r="J30" s="124">
        <f>'项目总控台账'!AD29</f>
        <v/>
      </c>
      <c r="K30" s="124">
        <f>IF(A30&lt;&gt;"是","",IF(OR(E30="暂停",E30="挂起"),"确认暂停原因、恢复条件和责任人",IF(H30&lt;0,"立即确认延期原因、影响及补救计划",IF(H30&lt;=7,"本周确认交付承诺和完成证据","提前检查依赖与风险"))))</f>
        <v/>
      </c>
      <c r="L30" s="126" t="n"/>
      <c r="M30" s="127" t="n"/>
    </row>
    <row r="31">
      <c r="A31" s="124">
        <f>IF(B31="","",IF(AND(E31&lt;&gt;"已完成",ISNUMBER(G31),G31&lt;='项目驾驶舱'!$B$3+14),"是","否"))</f>
        <v/>
      </c>
      <c r="B31" s="124">
        <f>'项目总控台账'!A30</f>
        <v/>
      </c>
      <c r="C31" s="124">
        <f>IF(AND('项目总控台账'!E30&lt;&gt;"",'项目总控台账'!E30&lt;&gt;"/"),'项目总控台账'!E30,IF(AND('项目总控台账'!D30&lt;&gt;"",'项目总控台账'!D30&lt;&gt;"/"),'项目总控台账'!D30,'项目总控台账'!C30))</f>
        <v/>
      </c>
      <c r="D31" s="124">
        <f>'项目总控台账'!F30</f>
        <v/>
      </c>
      <c r="E31" s="124">
        <f>'项目总控台账'!G30</f>
        <v/>
      </c>
      <c r="F31" s="124">
        <f>'项目总控台账'!H30</f>
        <v/>
      </c>
      <c r="G31" s="125">
        <f>'项目总控台账'!J30</f>
        <v/>
      </c>
      <c r="H31" s="124">
        <f>IF(G31="","",G31-'项目驾驶舱'!$B$3)</f>
        <v/>
      </c>
      <c r="I31" s="124">
        <f>'项目总控台账'!AC30</f>
        <v/>
      </c>
      <c r="J31" s="124">
        <f>'项目总控台账'!AD30</f>
        <v/>
      </c>
      <c r="K31" s="124">
        <f>IF(A31&lt;&gt;"是","",IF(OR(E31="暂停",E31="挂起"),"确认暂停原因、恢复条件和责任人",IF(H31&lt;0,"立即确认延期原因、影响及补救计划",IF(H31&lt;=7,"本周确认交付承诺和完成证据","提前检查依赖与风险"))))</f>
        <v/>
      </c>
      <c r="L31" s="126" t="n"/>
      <c r="M31" s="127" t="n"/>
    </row>
    <row r="32">
      <c r="A32" s="124">
        <f>IF(B32="","",IF(AND(E32&lt;&gt;"已完成",ISNUMBER(G32),G32&lt;='项目驾驶舱'!$B$3+14),"是","否"))</f>
        <v/>
      </c>
      <c r="B32" s="124">
        <f>'项目总控台账'!A31</f>
        <v/>
      </c>
      <c r="C32" s="124">
        <f>IF(AND('项目总控台账'!E31&lt;&gt;"",'项目总控台账'!E31&lt;&gt;"/"),'项目总控台账'!E31,IF(AND('项目总控台账'!D31&lt;&gt;"",'项目总控台账'!D31&lt;&gt;"/"),'项目总控台账'!D31,'项目总控台账'!C31))</f>
        <v/>
      </c>
      <c r="D32" s="124">
        <f>'项目总控台账'!F31</f>
        <v/>
      </c>
      <c r="E32" s="124">
        <f>'项目总控台账'!G31</f>
        <v/>
      </c>
      <c r="F32" s="124">
        <f>'项目总控台账'!H31</f>
        <v/>
      </c>
      <c r="G32" s="125">
        <f>'项目总控台账'!J31</f>
        <v/>
      </c>
      <c r="H32" s="124">
        <f>IF(G32="","",G32-'项目驾驶舱'!$B$3)</f>
        <v/>
      </c>
      <c r="I32" s="124">
        <f>'项目总控台账'!AC31</f>
        <v/>
      </c>
      <c r="J32" s="124">
        <f>'项目总控台账'!AD31</f>
        <v/>
      </c>
      <c r="K32" s="124">
        <f>IF(A32&lt;&gt;"是","",IF(OR(E32="暂停",E32="挂起"),"确认暂停原因、恢复条件和责任人",IF(H32&lt;0,"立即确认延期原因、影响及补救计划",IF(H32&lt;=7,"本周确认交付承诺和完成证据","提前检查依赖与风险"))))</f>
        <v/>
      </c>
      <c r="L32" s="126" t="n"/>
      <c r="M32" s="127" t="n"/>
    </row>
    <row r="33">
      <c r="A33" s="124">
        <f>IF(B33="","",IF(AND(E33&lt;&gt;"已完成",ISNUMBER(G33),G33&lt;='项目驾驶舱'!$B$3+14),"是","否"))</f>
        <v/>
      </c>
      <c r="B33" s="124">
        <f>'项目总控台账'!A32</f>
        <v/>
      </c>
      <c r="C33" s="124">
        <f>IF(AND('项目总控台账'!E32&lt;&gt;"",'项目总控台账'!E32&lt;&gt;"/"),'项目总控台账'!E32,IF(AND('项目总控台账'!D32&lt;&gt;"",'项目总控台账'!D32&lt;&gt;"/"),'项目总控台账'!D32,'项目总控台账'!C32))</f>
        <v/>
      </c>
      <c r="D33" s="124">
        <f>'项目总控台账'!F32</f>
        <v/>
      </c>
      <c r="E33" s="124">
        <f>'项目总控台账'!G32</f>
        <v/>
      </c>
      <c r="F33" s="124">
        <f>'项目总控台账'!H32</f>
        <v/>
      </c>
      <c r="G33" s="125">
        <f>'项目总控台账'!J32</f>
        <v/>
      </c>
      <c r="H33" s="124">
        <f>IF(G33="","",G33-'项目驾驶舱'!$B$3)</f>
        <v/>
      </c>
      <c r="I33" s="124">
        <f>'项目总控台账'!AC32</f>
        <v/>
      </c>
      <c r="J33" s="124">
        <f>'项目总控台账'!AD32</f>
        <v/>
      </c>
      <c r="K33" s="124">
        <f>IF(A33&lt;&gt;"是","",IF(OR(E33="暂停",E33="挂起"),"确认暂停原因、恢复条件和责任人",IF(H33&lt;0,"立即确认延期原因、影响及补救计划",IF(H33&lt;=7,"本周确认交付承诺和完成证据","提前检查依赖与风险"))))</f>
        <v/>
      </c>
      <c r="L33" s="126" t="n"/>
      <c r="M33" s="127" t="n"/>
    </row>
    <row r="34">
      <c r="A34" s="124">
        <f>IF(B34="","",IF(AND(E34&lt;&gt;"已完成",ISNUMBER(G34),G34&lt;='项目驾驶舱'!$B$3+14),"是","否"))</f>
        <v/>
      </c>
      <c r="B34" s="124">
        <f>'项目总控台账'!A33</f>
        <v/>
      </c>
      <c r="C34" s="124">
        <f>IF(AND('项目总控台账'!E33&lt;&gt;"",'项目总控台账'!E33&lt;&gt;"/"),'项目总控台账'!E33,IF(AND('项目总控台账'!D33&lt;&gt;"",'项目总控台账'!D33&lt;&gt;"/"),'项目总控台账'!D33,'项目总控台账'!C33))</f>
        <v/>
      </c>
      <c r="D34" s="124">
        <f>'项目总控台账'!F33</f>
        <v/>
      </c>
      <c r="E34" s="124">
        <f>'项目总控台账'!G33</f>
        <v/>
      </c>
      <c r="F34" s="124">
        <f>'项目总控台账'!H33</f>
        <v/>
      </c>
      <c r="G34" s="125">
        <f>'项目总控台账'!J33</f>
        <v/>
      </c>
      <c r="H34" s="124">
        <f>IF(G34="","",G34-'项目驾驶舱'!$B$3)</f>
        <v/>
      </c>
      <c r="I34" s="124">
        <f>'项目总控台账'!AC33</f>
        <v/>
      </c>
      <c r="J34" s="124">
        <f>'项目总控台账'!AD33</f>
        <v/>
      </c>
      <c r="K34" s="124">
        <f>IF(A34&lt;&gt;"是","",IF(OR(E34="暂停",E34="挂起"),"确认暂停原因、恢复条件和责任人",IF(H34&lt;0,"立即确认延期原因、影响及补救计划",IF(H34&lt;=7,"本周确认交付承诺和完成证据","提前检查依赖与风险"))))</f>
        <v/>
      </c>
      <c r="L34" s="126" t="n"/>
      <c r="M34" s="127" t="n"/>
    </row>
    <row r="35">
      <c r="A35" s="124">
        <f>IF(B35="","",IF(AND(E35&lt;&gt;"已完成",ISNUMBER(G35),G35&lt;='项目驾驶舱'!$B$3+14),"是","否"))</f>
        <v/>
      </c>
      <c r="B35" s="124">
        <f>'项目总控台账'!A34</f>
        <v/>
      </c>
      <c r="C35" s="124">
        <f>IF(AND('项目总控台账'!E34&lt;&gt;"",'项目总控台账'!E34&lt;&gt;"/"),'项目总控台账'!E34,IF(AND('项目总控台账'!D34&lt;&gt;"",'项目总控台账'!D34&lt;&gt;"/"),'项目总控台账'!D34,'项目总控台账'!C34))</f>
        <v/>
      </c>
      <c r="D35" s="124">
        <f>'项目总控台账'!F34</f>
        <v/>
      </c>
      <c r="E35" s="124">
        <f>'项目总控台账'!G34</f>
        <v/>
      </c>
      <c r="F35" s="124">
        <f>'项目总控台账'!H34</f>
        <v/>
      </c>
      <c r="G35" s="125">
        <f>'项目总控台账'!J34</f>
        <v/>
      </c>
      <c r="H35" s="124">
        <f>IF(G35="","",G35-'项目驾驶舱'!$B$3)</f>
        <v/>
      </c>
      <c r="I35" s="124">
        <f>'项目总控台账'!AC34</f>
        <v/>
      </c>
      <c r="J35" s="124">
        <f>'项目总控台账'!AD34</f>
        <v/>
      </c>
      <c r="K35" s="124">
        <f>IF(A35&lt;&gt;"是","",IF(OR(E35="暂停",E35="挂起"),"确认暂停原因、恢复条件和责任人",IF(H35&lt;0,"立即确认延期原因、影响及补救计划",IF(H35&lt;=7,"本周确认交付承诺和完成证据","提前检查依赖与风险"))))</f>
        <v/>
      </c>
      <c r="L35" s="126" t="n"/>
      <c r="M35" s="127" t="n"/>
    </row>
    <row r="36">
      <c r="A36" s="124">
        <f>IF(B36="","",IF(AND(E36&lt;&gt;"已完成",ISNUMBER(G36),G36&lt;='项目驾驶舱'!$B$3+14),"是","否"))</f>
        <v/>
      </c>
      <c r="B36" s="124">
        <f>'项目总控台账'!A35</f>
        <v/>
      </c>
      <c r="C36" s="124">
        <f>IF(AND('项目总控台账'!E35&lt;&gt;"",'项目总控台账'!E35&lt;&gt;"/"),'项目总控台账'!E35,IF(AND('项目总控台账'!D35&lt;&gt;"",'项目总控台账'!D35&lt;&gt;"/"),'项目总控台账'!D35,'项目总控台账'!C35))</f>
        <v/>
      </c>
      <c r="D36" s="124">
        <f>'项目总控台账'!F35</f>
        <v/>
      </c>
      <c r="E36" s="124">
        <f>'项目总控台账'!G35</f>
        <v/>
      </c>
      <c r="F36" s="124">
        <f>'项目总控台账'!H35</f>
        <v/>
      </c>
      <c r="G36" s="125">
        <f>'项目总控台账'!J35</f>
        <v/>
      </c>
      <c r="H36" s="124">
        <f>IF(G36="","",G36-'项目驾驶舱'!$B$3)</f>
        <v/>
      </c>
      <c r="I36" s="124">
        <f>'项目总控台账'!AC35</f>
        <v/>
      </c>
      <c r="J36" s="124">
        <f>'项目总控台账'!AD35</f>
        <v/>
      </c>
      <c r="K36" s="124">
        <f>IF(A36&lt;&gt;"是","",IF(OR(E36="暂停",E36="挂起"),"确认暂停原因、恢复条件和责任人",IF(H36&lt;0,"立即确认延期原因、影响及补救计划",IF(H36&lt;=7,"本周确认交付承诺和完成证据","提前检查依赖与风险"))))</f>
        <v/>
      </c>
      <c r="L36" s="126" t="n"/>
      <c r="M36" s="127" t="n"/>
    </row>
    <row r="37">
      <c r="A37" s="124">
        <f>IF(B37="","",IF(AND(E37&lt;&gt;"已完成",ISNUMBER(G37),G37&lt;='项目驾驶舱'!$B$3+14),"是","否"))</f>
        <v/>
      </c>
      <c r="B37" s="124">
        <f>'项目总控台账'!A36</f>
        <v/>
      </c>
      <c r="C37" s="124">
        <f>IF(AND('项目总控台账'!E36&lt;&gt;"",'项目总控台账'!E36&lt;&gt;"/"),'项目总控台账'!E36,IF(AND('项目总控台账'!D36&lt;&gt;"",'项目总控台账'!D36&lt;&gt;"/"),'项目总控台账'!D36,'项目总控台账'!C36))</f>
        <v/>
      </c>
      <c r="D37" s="124">
        <f>'项目总控台账'!F36</f>
        <v/>
      </c>
      <c r="E37" s="124">
        <f>'项目总控台账'!G36</f>
        <v/>
      </c>
      <c r="F37" s="124">
        <f>'项目总控台账'!H36</f>
        <v/>
      </c>
      <c r="G37" s="125">
        <f>'项目总控台账'!J36</f>
        <v/>
      </c>
      <c r="H37" s="124">
        <f>IF(G37="","",G37-'项目驾驶舱'!$B$3)</f>
        <v/>
      </c>
      <c r="I37" s="124">
        <f>'项目总控台账'!AC36</f>
        <v/>
      </c>
      <c r="J37" s="124">
        <f>'项目总控台账'!AD36</f>
        <v/>
      </c>
      <c r="K37" s="124">
        <f>IF(A37&lt;&gt;"是","",IF(OR(E37="暂停",E37="挂起"),"确认暂停原因、恢复条件和责任人",IF(H37&lt;0,"立即确认延期原因、影响及补救计划",IF(H37&lt;=7,"本周确认交付承诺和完成证据","提前检查依赖与风险"))))</f>
        <v/>
      </c>
      <c r="L37" s="126" t="n"/>
      <c r="M37" s="127" t="n"/>
    </row>
    <row r="38">
      <c r="A38" s="124">
        <f>IF(B38="","",IF(AND(E38&lt;&gt;"已完成",ISNUMBER(G38),G38&lt;='项目驾驶舱'!$B$3+14),"是","否"))</f>
        <v/>
      </c>
      <c r="B38" s="124">
        <f>'项目总控台账'!A37</f>
        <v/>
      </c>
      <c r="C38" s="124">
        <f>IF(AND('项目总控台账'!E37&lt;&gt;"",'项目总控台账'!E37&lt;&gt;"/"),'项目总控台账'!E37,IF(AND('项目总控台账'!D37&lt;&gt;"",'项目总控台账'!D37&lt;&gt;"/"),'项目总控台账'!D37,'项目总控台账'!C37))</f>
        <v/>
      </c>
      <c r="D38" s="124">
        <f>'项目总控台账'!F37</f>
        <v/>
      </c>
      <c r="E38" s="124">
        <f>'项目总控台账'!G37</f>
        <v/>
      </c>
      <c r="F38" s="124">
        <f>'项目总控台账'!H37</f>
        <v/>
      </c>
      <c r="G38" s="125">
        <f>'项目总控台账'!J37</f>
        <v/>
      </c>
      <c r="H38" s="124">
        <f>IF(G38="","",G38-'项目驾驶舱'!$B$3)</f>
        <v/>
      </c>
      <c r="I38" s="124">
        <f>'项目总控台账'!AC37</f>
        <v/>
      </c>
      <c r="J38" s="124">
        <f>'项目总控台账'!AD37</f>
        <v/>
      </c>
      <c r="K38" s="124">
        <f>IF(A38&lt;&gt;"是","",IF(OR(E38="暂停",E38="挂起"),"确认暂停原因、恢复条件和责任人",IF(H38&lt;0,"立即确认延期原因、影响及补救计划",IF(H38&lt;=7,"本周确认交付承诺和完成证据","提前检查依赖与风险"))))</f>
        <v/>
      </c>
      <c r="L38" s="126" t="n"/>
      <c r="M38" s="127" t="n"/>
    </row>
    <row r="39">
      <c r="A39" s="124">
        <f>IF(B39="","",IF(AND(E39&lt;&gt;"已完成",ISNUMBER(G39),G39&lt;='项目驾驶舱'!$B$3+14),"是","否"))</f>
        <v/>
      </c>
      <c r="B39" s="124">
        <f>'项目总控台账'!A38</f>
        <v/>
      </c>
      <c r="C39" s="124">
        <f>IF(AND('项目总控台账'!E38&lt;&gt;"",'项目总控台账'!E38&lt;&gt;"/"),'项目总控台账'!E38,IF(AND('项目总控台账'!D38&lt;&gt;"",'项目总控台账'!D38&lt;&gt;"/"),'项目总控台账'!D38,'项目总控台账'!C38))</f>
        <v/>
      </c>
      <c r="D39" s="124">
        <f>'项目总控台账'!F38</f>
        <v/>
      </c>
      <c r="E39" s="124">
        <f>'项目总控台账'!G38</f>
        <v/>
      </c>
      <c r="F39" s="124">
        <f>'项目总控台账'!H38</f>
        <v/>
      </c>
      <c r="G39" s="125">
        <f>'项目总控台账'!J38</f>
        <v/>
      </c>
      <c r="H39" s="124">
        <f>IF(G39="","",G39-'项目驾驶舱'!$B$3)</f>
        <v/>
      </c>
      <c r="I39" s="124">
        <f>'项目总控台账'!AC38</f>
        <v/>
      </c>
      <c r="J39" s="124">
        <f>'项目总控台账'!AD38</f>
        <v/>
      </c>
      <c r="K39" s="124">
        <f>IF(A39&lt;&gt;"是","",IF(OR(E39="暂停",E39="挂起"),"确认暂停原因、恢复条件和责任人",IF(H39&lt;0,"立即确认延期原因、影响及补救计划",IF(H39&lt;=7,"本周确认交付承诺和完成证据","提前检查依赖与风险"))))</f>
        <v/>
      </c>
      <c r="L39" s="126" t="n"/>
      <c r="M39" s="127" t="n"/>
    </row>
    <row r="40">
      <c r="A40" s="124">
        <f>IF(B40="","",IF(AND(E40&lt;&gt;"已完成",ISNUMBER(G40),G40&lt;='项目驾驶舱'!$B$3+14),"是","否"))</f>
        <v/>
      </c>
      <c r="B40" s="124">
        <f>'项目总控台账'!A39</f>
        <v/>
      </c>
      <c r="C40" s="124">
        <f>IF(AND('项目总控台账'!E39&lt;&gt;"",'项目总控台账'!E39&lt;&gt;"/"),'项目总控台账'!E39,IF(AND('项目总控台账'!D39&lt;&gt;"",'项目总控台账'!D39&lt;&gt;"/"),'项目总控台账'!D39,'项目总控台账'!C39))</f>
        <v/>
      </c>
      <c r="D40" s="124">
        <f>'项目总控台账'!F39</f>
        <v/>
      </c>
      <c r="E40" s="124">
        <f>'项目总控台账'!G39</f>
        <v/>
      </c>
      <c r="F40" s="124">
        <f>'项目总控台账'!H39</f>
        <v/>
      </c>
      <c r="G40" s="125">
        <f>'项目总控台账'!J39</f>
        <v/>
      </c>
      <c r="H40" s="124">
        <f>IF(G40="","",G40-'项目驾驶舱'!$B$3)</f>
        <v/>
      </c>
      <c r="I40" s="124">
        <f>'项目总控台账'!AC39</f>
        <v/>
      </c>
      <c r="J40" s="124">
        <f>'项目总控台账'!AD39</f>
        <v/>
      </c>
      <c r="K40" s="124">
        <f>IF(A40&lt;&gt;"是","",IF(OR(E40="暂停",E40="挂起"),"确认暂停原因、恢复条件和责任人",IF(H40&lt;0,"立即确认延期原因、影响及补救计划",IF(H40&lt;=7,"本周确认交付承诺和完成证据","提前检查依赖与风险"))))</f>
        <v/>
      </c>
      <c r="L40" s="126" t="n"/>
      <c r="M40" s="127" t="n"/>
    </row>
    <row r="41">
      <c r="A41" s="124">
        <f>IF(B41="","",IF(AND(E41&lt;&gt;"已完成",ISNUMBER(G41),G41&lt;='项目驾驶舱'!$B$3+14),"是","否"))</f>
        <v/>
      </c>
      <c r="B41" s="124">
        <f>'项目总控台账'!A40</f>
        <v/>
      </c>
      <c r="C41" s="124">
        <f>IF(AND('项目总控台账'!E40&lt;&gt;"",'项目总控台账'!E40&lt;&gt;"/"),'项目总控台账'!E40,IF(AND('项目总控台账'!D40&lt;&gt;"",'项目总控台账'!D40&lt;&gt;"/"),'项目总控台账'!D40,'项目总控台账'!C40))</f>
        <v/>
      </c>
      <c r="D41" s="124">
        <f>'项目总控台账'!F40</f>
        <v/>
      </c>
      <c r="E41" s="124">
        <f>'项目总控台账'!G40</f>
        <v/>
      </c>
      <c r="F41" s="124">
        <f>'项目总控台账'!H40</f>
        <v/>
      </c>
      <c r="G41" s="125">
        <f>'项目总控台账'!J40</f>
        <v/>
      </c>
      <c r="H41" s="124">
        <f>IF(G41="","",G41-'项目驾驶舱'!$B$3)</f>
        <v/>
      </c>
      <c r="I41" s="124">
        <f>'项目总控台账'!AC40</f>
        <v/>
      </c>
      <c r="J41" s="124">
        <f>'项目总控台账'!AD40</f>
        <v/>
      </c>
      <c r="K41" s="124">
        <f>IF(A41&lt;&gt;"是","",IF(OR(E41="暂停",E41="挂起"),"确认暂停原因、恢复条件和责任人",IF(H41&lt;0,"立即确认延期原因、影响及补救计划",IF(H41&lt;=7,"本周确认交付承诺和完成证据","提前检查依赖与风险"))))</f>
        <v/>
      </c>
      <c r="L41" s="126" t="n"/>
      <c r="M41" s="127" t="n"/>
    </row>
    <row r="42">
      <c r="A42" s="124">
        <f>IF(B42="","",IF(AND(E42&lt;&gt;"已完成",ISNUMBER(G42),G42&lt;='项目驾驶舱'!$B$3+14),"是","否"))</f>
        <v/>
      </c>
      <c r="B42" s="124">
        <f>'项目总控台账'!A41</f>
        <v/>
      </c>
      <c r="C42" s="124">
        <f>IF(AND('项目总控台账'!E41&lt;&gt;"",'项目总控台账'!E41&lt;&gt;"/"),'项目总控台账'!E41,IF(AND('项目总控台账'!D41&lt;&gt;"",'项目总控台账'!D41&lt;&gt;"/"),'项目总控台账'!D41,'项目总控台账'!C41))</f>
        <v/>
      </c>
      <c r="D42" s="124">
        <f>'项目总控台账'!F41</f>
        <v/>
      </c>
      <c r="E42" s="124">
        <f>'项目总控台账'!G41</f>
        <v/>
      </c>
      <c r="F42" s="124">
        <f>'项目总控台账'!H41</f>
        <v/>
      </c>
      <c r="G42" s="125">
        <f>'项目总控台账'!J41</f>
        <v/>
      </c>
      <c r="H42" s="124">
        <f>IF(G42="","",G42-'项目驾驶舱'!$B$3)</f>
        <v/>
      </c>
      <c r="I42" s="124">
        <f>'项目总控台账'!AC41</f>
        <v/>
      </c>
      <c r="J42" s="124">
        <f>'项目总控台账'!AD41</f>
        <v/>
      </c>
      <c r="K42" s="124">
        <f>IF(A42&lt;&gt;"是","",IF(OR(E42="暂停",E42="挂起"),"确认暂停原因、恢复条件和责任人",IF(H42&lt;0,"立即确认延期原因、影响及补救计划",IF(H42&lt;=7,"本周确认交付承诺和完成证据","提前检查依赖与风险"))))</f>
        <v/>
      </c>
      <c r="L42" s="126" t="n"/>
      <c r="M42" s="127" t="n"/>
    </row>
    <row r="43">
      <c r="A43" s="124">
        <f>IF(B43="","",IF(AND(E43&lt;&gt;"已完成",ISNUMBER(G43),G43&lt;='项目驾驶舱'!$B$3+14),"是","否"))</f>
        <v/>
      </c>
      <c r="B43" s="124">
        <f>'项目总控台账'!A42</f>
        <v/>
      </c>
      <c r="C43" s="124">
        <f>IF(AND('项目总控台账'!E42&lt;&gt;"",'项目总控台账'!E42&lt;&gt;"/"),'项目总控台账'!E42,IF(AND('项目总控台账'!D42&lt;&gt;"",'项目总控台账'!D42&lt;&gt;"/"),'项目总控台账'!D42,'项目总控台账'!C42))</f>
        <v/>
      </c>
      <c r="D43" s="124">
        <f>'项目总控台账'!F42</f>
        <v/>
      </c>
      <c r="E43" s="124">
        <f>'项目总控台账'!G42</f>
        <v/>
      </c>
      <c r="F43" s="124">
        <f>'项目总控台账'!H42</f>
        <v/>
      </c>
      <c r="G43" s="125">
        <f>'项目总控台账'!J42</f>
        <v/>
      </c>
      <c r="H43" s="124">
        <f>IF(G43="","",G43-'项目驾驶舱'!$B$3)</f>
        <v/>
      </c>
      <c r="I43" s="124">
        <f>'项目总控台账'!AC42</f>
        <v/>
      </c>
      <c r="J43" s="124">
        <f>'项目总控台账'!AD42</f>
        <v/>
      </c>
      <c r="K43" s="124">
        <f>IF(A43&lt;&gt;"是","",IF(OR(E43="暂停",E43="挂起"),"确认暂停原因、恢复条件和责任人",IF(H43&lt;0,"立即确认延期原因、影响及补救计划",IF(H43&lt;=7,"本周确认交付承诺和完成证据","提前检查依赖与风险"))))</f>
        <v/>
      </c>
      <c r="L43" s="126" t="n"/>
      <c r="M43" s="127" t="n"/>
    </row>
    <row r="44">
      <c r="A44" s="124">
        <f>IF(B44="","",IF(AND(E44&lt;&gt;"已完成",ISNUMBER(G44),G44&lt;='项目驾驶舱'!$B$3+14),"是","否"))</f>
        <v/>
      </c>
      <c r="B44" s="124">
        <f>'项目总控台账'!A43</f>
        <v/>
      </c>
      <c r="C44" s="124">
        <f>IF(AND('项目总控台账'!E43&lt;&gt;"",'项目总控台账'!E43&lt;&gt;"/"),'项目总控台账'!E43,IF(AND('项目总控台账'!D43&lt;&gt;"",'项目总控台账'!D43&lt;&gt;"/"),'项目总控台账'!D43,'项目总控台账'!C43))</f>
        <v/>
      </c>
      <c r="D44" s="124">
        <f>'项目总控台账'!F43</f>
        <v/>
      </c>
      <c r="E44" s="124">
        <f>'项目总控台账'!G43</f>
        <v/>
      </c>
      <c r="F44" s="124">
        <f>'项目总控台账'!H43</f>
        <v/>
      </c>
      <c r="G44" s="125">
        <f>'项目总控台账'!J43</f>
        <v/>
      </c>
      <c r="H44" s="124">
        <f>IF(G44="","",G44-'项目驾驶舱'!$B$3)</f>
        <v/>
      </c>
      <c r="I44" s="124">
        <f>'项目总控台账'!AC43</f>
        <v/>
      </c>
      <c r="J44" s="124">
        <f>'项目总控台账'!AD43</f>
        <v/>
      </c>
      <c r="K44" s="124">
        <f>IF(A44&lt;&gt;"是","",IF(OR(E44="暂停",E44="挂起"),"确认暂停原因、恢复条件和责任人",IF(H44&lt;0,"立即确认延期原因、影响及补救计划",IF(H44&lt;=7,"本周确认交付承诺和完成证据","提前检查依赖与风险"))))</f>
        <v/>
      </c>
      <c r="L44" s="126" t="n"/>
      <c r="M44" s="127" t="n"/>
    </row>
    <row r="45">
      <c r="A45" s="124">
        <f>IF(B45="","",IF(AND(E45&lt;&gt;"已完成",ISNUMBER(G45),G45&lt;='项目驾驶舱'!$B$3+14),"是","否"))</f>
        <v/>
      </c>
      <c r="B45" s="124">
        <f>'项目总控台账'!A44</f>
        <v/>
      </c>
      <c r="C45" s="124">
        <f>IF(AND('项目总控台账'!E44&lt;&gt;"",'项目总控台账'!E44&lt;&gt;"/"),'项目总控台账'!E44,IF(AND('项目总控台账'!D44&lt;&gt;"",'项目总控台账'!D44&lt;&gt;"/"),'项目总控台账'!D44,'项目总控台账'!C44))</f>
        <v/>
      </c>
      <c r="D45" s="124">
        <f>'项目总控台账'!F44</f>
        <v/>
      </c>
      <c r="E45" s="124">
        <f>'项目总控台账'!G44</f>
        <v/>
      </c>
      <c r="F45" s="124">
        <f>'项目总控台账'!H44</f>
        <v/>
      </c>
      <c r="G45" s="125">
        <f>'项目总控台账'!J44</f>
        <v/>
      </c>
      <c r="H45" s="124">
        <f>IF(G45="","",G45-'项目驾驶舱'!$B$3)</f>
        <v/>
      </c>
      <c r="I45" s="124">
        <f>'项目总控台账'!AC44</f>
        <v/>
      </c>
      <c r="J45" s="124">
        <f>'项目总控台账'!AD44</f>
        <v/>
      </c>
      <c r="K45" s="124">
        <f>IF(A45&lt;&gt;"是","",IF(OR(E45="暂停",E45="挂起"),"确认暂停原因、恢复条件和责任人",IF(H45&lt;0,"立即确认延期原因、影响及补救计划",IF(H45&lt;=7,"本周确认交付承诺和完成证据","提前检查依赖与风险"))))</f>
        <v/>
      </c>
      <c r="L45" s="126" t="n"/>
      <c r="M45" s="127" t="n"/>
    </row>
    <row r="46">
      <c r="A46" s="124">
        <f>IF(B46="","",IF(AND(E46&lt;&gt;"已完成",ISNUMBER(G46),G46&lt;='项目驾驶舱'!$B$3+14),"是","否"))</f>
        <v/>
      </c>
      <c r="B46" s="124">
        <f>'项目总控台账'!A45</f>
        <v/>
      </c>
      <c r="C46" s="124">
        <f>IF(AND('项目总控台账'!E45&lt;&gt;"",'项目总控台账'!E45&lt;&gt;"/"),'项目总控台账'!E45,IF(AND('项目总控台账'!D45&lt;&gt;"",'项目总控台账'!D45&lt;&gt;"/"),'项目总控台账'!D45,'项目总控台账'!C45))</f>
        <v/>
      </c>
      <c r="D46" s="124">
        <f>'项目总控台账'!F45</f>
        <v/>
      </c>
      <c r="E46" s="124">
        <f>'项目总控台账'!G45</f>
        <v/>
      </c>
      <c r="F46" s="124">
        <f>'项目总控台账'!H45</f>
        <v/>
      </c>
      <c r="G46" s="125">
        <f>'项目总控台账'!J45</f>
        <v/>
      </c>
      <c r="H46" s="124">
        <f>IF(G46="","",G46-'项目驾驶舱'!$B$3)</f>
        <v/>
      </c>
      <c r="I46" s="124">
        <f>'项目总控台账'!AC45</f>
        <v/>
      </c>
      <c r="J46" s="124">
        <f>'项目总控台账'!AD45</f>
        <v/>
      </c>
      <c r="K46" s="124">
        <f>IF(A46&lt;&gt;"是","",IF(OR(E46="暂停",E46="挂起"),"确认暂停原因、恢复条件和责任人",IF(H46&lt;0,"立即确认延期原因、影响及补救计划",IF(H46&lt;=7,"本周确认交付承诺和完成证据","提前检查依赖与风险"))))</f>
        <v/>
      </c>
      <c r="L46" s="126" t="n"/>
      <c r="M46" s="127" t="n"/>
    </row>
    <row r="47">
      <c r="A47" s="124">
        <f>IF(B47="","",IF(AND(E47&lt;&gt;"已完成",ISNUMBER(G47),G47&lt;='项目驾驶舱'!$B$3+14),"是","否"))</f>
        <v/>
      </c>
      <c r="B47" s="124">
        <f>'项目总控台账'!A46</f>
        <v/>
      </c>
      <c r="C47" s="124">
        <f>IF(AND('项目总控台账'!E46&lt;&gt;"",'项目总控台账'!E46&lt;&gt;"/"),'项目总控台账'!E46,IF(AND('项目总控台账'!D46&lt;&gt;"",'项目总控台账'!D46&lt;&gt;"/"),'项目总控台账'!D46,'项目总控台账'!C46))</f>
        <v/>
      </c>
      <c r="D47" s="124">
        <f>'项目总控台账'!F46</f>
        <v/>
      </c>
      <c r="E47" s="124">
        <f>'项目总控台账'!G46</f>
        <v/>
      </c>
      <c r="F47" s="124">
        <f>'项目总控台账'!H46</f>
        <v/>
      </c>
      <c r="G47" s="125">
        <f>'项目总控台账'!J46</f>
        <v/>
      </c>
      <c r="H47" s="124">
        <f>IF(G47="","",G47-'项目驾驶舱'!$B$3)</f>
        <v/>
      </c>
      <c r="I47" s="124">
        <f>'项目总控台账'!AC46</f>
        <v/>
      </c>
      <c r="J47" s="124">
        <f>'项目总控台账'!AD46</f>
        <v/>
      </c>
      <c r="K47" s="124">
        <f>IF(A47&lt;&gt;"是","",IF(OR(E47="暂停",E47="挂起"),"确认暂停原因、恢复条件和责任人",IF(H47&lt;0,"立即确认延期原因、影响及补救计划",IF(H47&lt;=7,"本周确认交付承诺和完成证据","提前检查依赖与风险"))))</f>
        <v/>
      </c>
      <c r="L47" s="126" t="n"/>
      <c r="M47" s="127" t="n"/>
    </row>
    <row r="48">
      <c r="A48" s="124">
        <f>IF(B48="","",IF(AND(E48&lt;&gt;"已完成",ISNUMBER(G48),G48&lt;='项目驾驶舱'!$B$3+14),"是","否"))</f>
        <v/>
      </c>
      <c r="B48" s="124">
        <f>'项目总控台账'!A47</f>
        <v/>
      </c>
      <c r="C48" s="124">
        <f>IF(AND('项目总控台账'!E47&lt;&gt;"",'项目总控台账'!E47&lt;&gt;"/"),'项目总控台账'!E47,IF(AND('项目总控台账'!D47&lt;&gt;"",'项目总控台账'!D47&lt;&gt;"/"),'项目总控台账'!D47,'项目总控台账'!C47))</f>
        <v/>
      </c>
      <c r="D48" s="124">
        <f>'项目总控台账'!F47</f>
        <v/>
      </c>
      <c r="E48" s="124">
        <f>'项目总控台账'!G47</f>
        <v/>
      </c>
      <c r="F48" s="124">
        <f>'项目总控台账'!H47</f>
        <v/>
      </c>
      <c r="G48" s="125">
        <f>'项目总控台账'!J47</f>
        <v/>
      </c>
      <c r="H48" s="124">
        <f>IF(G48="","",G48-'项目驾驶舱'!$B$3)</f>
        <v/>
      </c>
      <c r="I48" s="124">
        <f>'项目总控台账'!AC47</f>
        <v/>
      </c>
      <c r="J48" s="124">
        <f>'项目总控台账'!AD47</f>
        <v/>
      </c>
      <c r="K48" s="124">
        <f>IF(A48&lt;&gt;"是","",IF(OR(E48="暂停",E48="挂起"),"确认暂停原因、恢复条件和责任人",IF(H48&lt;0,"立即确认延期原因、影响及补救计划",IF(H48&lt;=7,"本周确认交付承诺和完成证据","提前检查依赖与风险"))))</f>
        <v/>
      </c>
      <c r="L48" s="126" t="n"/>
      <c r="M48" s="127" t="n"/>
    </row>
    <row r="49">
      <c r="A49" s="124">
        <f>IF(B49="","",IF(AND(E49&lt;&gt;"已完成",ISNUMBER(G49),G49&lt;='项目驾驶舱'!$B$3+14),"是","否"))</f>
        <v/>
      </c>
      <c r="B49" s="124">
        <f>'项目总控台账'!A48</f>
        <v/>
      </c>
      <c r="C49" s="124">
        <f>IF(AND('项目总控台账'!E48&lt;&gt;"",'项目总控台账'!E48&lt;&gt;"/"),'项目总控台账'!E48,IF(AND('项目总控台账'!D48&lt;&gt;"",'项目总控台账'!D48&lt;&gt;"/"),'项目总控台账'!D48,'项目总控台账'!C48))</f>
        <v/>
      </c>
      <c r="D49" s="124">
        <f>'项目总控台账'!F48</f>
        <v/>
      </c>
      <c r="E49" s="124">
        <f>'项目总控台账'!G48</f>
        <v/>
      </c>
      <c r="F49" s="124">
        <f>'项目总控台账'!H48</f>
        <v/>
      </c>
      <c r="G49" s="125">
        <f>'项目总控台账'!J48</f>
        <v/>
      </c>
      <c r="H49" s="124">
        <f>IF(G49="","",G49-'项目驾驶舱'!$B$3)</f>
        <v/>
      </c>
      <c r="I49" s="124">
        <f>'项目总控台账'!AC48</f>
        <v/>
      </c>
      <c r="J49" s="124">
        <f>'项目总控台账'!AD48</f>
        <v/>
      </c>
      <c r="K49" s="124">
        <f>IF(A49&lt;&gt;"是","",IF(OR(E49="暂停",E49="挂起"),"确认暂停原因、恢复条件和责任人",IF(H49&lt;0,"立即确认延期原因、影响及补救计划",IF(H49&lt;=7,"本周确认交付承诺和完成证据","提前检查依赖与风险"))))</f>
        <v/>
      </c>
      <c r="L49" s="126" t="n"/>
      <c r="M49" s="127" t="n"/>
    </row>
    <row r="50">
      <c r="A50" s="124">
        <f>IF(B50="","",IF(AND(E50&lt;&gt;"已完成",ISNUMBER(G50),G50&lt;='项目驾驶舱'!$B$3+14),"是","否"))</f>
        <v/>
      </c>
      <c r="B50" s="124">
        <f>'项目总控台账'!A49</f>
        <v/>
      </c>
      <c r="C50" s="124">
        <f>IF(AND('项目总控台账'!E49&lt;&gt;"",'项目总控台账'!E49&lt;&gt;"/"),'项目总控台账'!E49,IF(AND('项目总控台账'!D49&lt;&gt;"",'项目总控台账'!D49&lt;&gt;"/"),'项目总控台账'!D49,'项目总控台账'!C49))</f>
        <v/>
      </c>
      <c r="D50" s="124">
        <f>'项目总控台账'!F49</f>
        <v/>
      </c>
      <c r="E50" s="124">
        <f>'项目总控台账'!G49</f>
        <v/>
      </c>
      <c r="F50" s="124">
        <f>'项目总控台账'!H49</f>
        <v/>
      </c>
      <c r="G50" s="125">
        <f>'项目总控台账'!J49</f>
        <v/>
      </c>
      <c r="H50" s="124">
        <f>IF(G50="","",G50-'项目驾驶舱'!$B$3)</f>
        <v/>
      </c>
      <c r="I50" s="124">
        <f>'项目总控台账'!AC49</f>
        <v/>
      </c>
      <c r="J50" s="124">
        <f>'项目总控台账'!AD49</f>
        <v/>
      </c>
      <c r="K50" s="124">
        <f>IF(A50&lt;&gt;"是","",IF(OR(E50="暂停",E50="挂起"),"确认暂停原因、恢复条件和责任人",IF(H50&lt;0,"立即确认延期原因、影响及补救计划",IF(H50&lt;=7,"本周确认交付承诺和完成证据","提前检查依赖与风险"))))</f>
        <v/>
      </c>
      <c r="L50" s="126" t="n"/>
      <c r="M50" s="127" t="n"/>
    </row>
    <row r="51">
      <c r="A51" s="124">
        <f>IF(B51="","",IF(AND(E51&lt;&gt;"已完成",ISNUMBER(G51),G51&lt;='项目驾驶舱'!$B$3+14),"是","否"))</f>
        <v/>
      </c>
      <c r="B51" s="124">
        <f>'项目总控台账'!A50</f>
        <v/>
      </c>
      <c r="C51" s="124">
        <f>IF(AND('项目总控台账'!E50&lt;&gt;"",'项目总控台账'!E50&lt;&gt;"/"),'项目总控台账'!E50,IF(AND('项目总控台账'!D50&lt;&gt;"",'项目总控台账'!D50&lt;&gt;"/"),'项目总控台账'!D50,'项目总控台账'!C50))</f>
        <v/>
      </c>
      <c r="D51" s="124">
        <f>'项目总控台账'!F50</f>
        <v/>
      </c>
      <c r="E51" s="124">
        <f>'项目总控台账'!G50</f>
        <v/>
      </c>
      <c r="F51" s="124">
        <f>'项目总控台账'!H50</f>
        <v/>
      </c>
      <c r="G51" s="125">
        <f>'项目总控台账'!J50</f>
        <v/>
      </c>
      <c r="H51" s="124">
        <f>IF(G51="","",G51-'项目驾驶舱'!$B$3)</f>
        <v/>
      </c>
      <c r="I51" s="124">
        <f>'项目总控台账'!AC50</f>
        <v/>
      </c>
      <c r="J51" s="124">
        <f>'项目总控台账'!AD50</f>
        <v/>
      </c>
      <c r="K51" s="124">
        <f>IF(A51&lt;&gt;"是","",IF(OR(E51="暂停",E51="挂起"),"确认暂停原因、恢复条件和责任人",IF(H51&lt;0,"立即确认延期原因、影响及补救计划",IF(H51&lt;=7,"本周确认交付承诺和完成证据","提前检查依赖与风险"))))</f>
        <v/>
      </c>
      <c r="L51" s="126" t="n"/>
      <c r="M51" s="127" t="n"/>
    </row>
    <row r="52">
      <c r="A52" s="124">
        <f>IF(B52="","",IF(AND(E52&lt;&gt;"已完成",ISNUMBER(G52),G52&lt;='项目驾驶舱'!$B$3+14),"是","否"))</f>
        <v/>
      </c>
      <c r="B52" s="124">
        <f>'项目总控台账'!A51</f>
        <v/>
      </c>
      <c r="C52" s="124">
        <f>IF(AND('项目总控台账'!E51&lt;&gt;"",'项目总控台账'!E51&lt;&gt;"/"),'项目总控台账'!E51,IF(AND('项目总控台账'!D51&lt;&gt;"",'项目总控台账'!D51&lt;&gt;"/"),'项目总控台账'!D51,'项目总控台账'!C51))</f>
        <v/>
      </c>
      <c r="D52" s="124">
        <f>'项目总控台账'!F51</f>
        <v/>
      </c>
      <c r="E52" s="124">
        <f>'项目总控台账'!G51</f>
        <v/>
      </c>
      <c r="F52" s="124">
        <f>'项目总控台账'!H51</f>
        <v/>
      </c>
      <c r="G52" s="125">
        <f>'项目总控台账'!J51</f>
        <v/>
      </c>
      <c r="H52" s="124">
        <f>IF(G52="","",G52-'项目驾驶舱'!$B$3)</f>
        <v/>
      </c>
      <c r="I52" s="124">
        <f>'项目总控台账'!AC51</f>
        <v/>
      </c>
      <c r="J52" s="124">
        <f>'项目总控台账'!AD51</f>
        <v/>
      </c>
      <c r="K52" s="124">
        <f>IF(A52&lt;&gt;"是","",IF(OR(E52="暂停",E52="挂起"),"确认暂停原因、恢复条件和责任人",IF(H52&lt;0,"立即确认延期原因、影响及补救计划",IF(H52&lt;=7,"本周确认交付承诺和完成证据","提前检查依赖与风险"))))</f>
        <v/>
      </c>
      <c r="L52" s="126" t="n"/>
      <c r="M52" s="127" t="n"/>
    </row>
    <row r="53">
      <c r="A53" s="124">
        <f>IF(B53="","",IF(AND(E53&lt;&gt;"已完成",ISNUMBER(G53),G53&lt;='项目驾驶舱'!$B$3+14),"是","否"))</f>
        <v/>
      </c>
      <c r="B53" s="124">
        <f>'项目总控台账'!A52</f>
        <v/>
      </c>
      <c r="C53" s="124">
        <f>IF(AND('项目总控台账'!E52&lt;&gt;"",'项目总控台账'!E52&lt;&gt;"/"),'项目总控台账'!E52,IF(AND('项目总控台账'!D52&lt;&gt;"",'项目总控台账'!D52&lt;&gt;"/"),'项目总控台账'!D52,'项目总控台账'!C52))</f>
        <v/>
      </c>
      <c r="D53" s="124">
        <f>'项目总控台账'!F52</f>
        <v/>
      </c>
      <c r="E53" s="124">
        <f>'项目总控台账'!G52</f>
        <v/>
      </c>
      <c r="F53" s="124">
        <f>'项目总控台账'!H52</f>
        <v/>
      </c>
      <c r="G53" s="125">
        <f>'项目总控台账'!J52</f>
        <v/>
      </c>
      <c r="H53" s="124">
        <f>IF(G53="","",G53-'项目驾驶舱'!$B$3)</f>
        <v/>
      </c>
      <c r="I53" s="124">
        <f>'项目总控台账'!AC52</f>
        <v/>
      </c>
      <c r="J53" s="124">
        <f>'项目总控台账'!AD52</f>
        <v/>
      </c>
      <c r="K53" s="124">
        <f>IF(A53&lt;&gt;"是","",IF(OR(E53="暂停",E53="挂起"),"确认暂停原因、恢复条件和责任人",IF(H53&lt;0,"立即确认延期原因、影响及补救计划",IF(H53&lt;=7,"本周确认交付承诺和完成证据","提前检查依赖与风险"))))</f>
        <v/>
      </c>
      <c r="L53" s="126" t="n"/>
      <c r="M53" s="127" t="n"/>
    </row>
    <row r="54">
      <c r="A54" s="124">
        <f>IF(B54="","",IF(AND(E54&lt;&gt;"已完成",ISNUMBER(G54),G54&lt;='项目驾驶舱'!$B$3+14),"是","否"))</f>
        <v/>
      </c>
      <c r="B54" s="124">
        <f>'项目总控台账'!A53</f>
        <v/>
      </c>
      <c r="C54" s="124">
        <f>IF(AND('项目总控台账'!E53&lt;&gt;"",'项目总控台账'!E53&lt;&gt;"/"),'项目总控台账'!E53,IF(AND('项目总控台账'!D53&lt;&gt;"",'项目总控台账'!D53&lt;&gt;"/"),'项目总控台账'!D53,'项目总控台账'!C53))</f>
        <v/>
      </c>
      <c r="D54" s="124">
        <f>'项目总控台账'!F53</f>
        <v/>
      </c>
      <c r="E54" s="124">
        <f>'项目总控台账'!G53</f>
        <v/>
      </c>
      <c r="F54" s="124">
        <f>'项目总控台账'!H53</f>
        <v/>
      </c>
      <c r="G54" s="125">
        <f>'项目总控台账'!J53</f>
        <v/>
      </c>
      <c r="H54" s="124">
        <f>IF(G54="","",G54-'项目驾驶舱'!$B$3)</f>
        <v/>
      </c>
      <c r="I54" s="124">
        <f>'项目总控台账'!AC53</f>
        <v/>
      </c>
      <c r="J54" s="124">
        <f>'项目总控台账'!AD53</f>
        <v/>
      </c>
      <c r="K54" s="124">
        <f>IF(A54&lt;&gt;"是","",IF(OR(E54="暂停",E54="挂起"),"确认暂停原因、恢复条件和责任人",IF(H54&lt;0,"立即确认延期原因、影响及补救计划",IF(H54&lt;=7,"本周确认交付承诺和完成证据","提前检查依赖与风险"))))</f>
        <v/>
      </c>
      <c r="L54" s="126" t="n"/>
      <c r="M54" s="127" t="n"/>
    </row>
    <row r="55">
      <c r="A55" s="124">
        <f>IF(B55="","",IF(AND(E55&lt;&gt;"已完成",ISNUMBER(G55),G55&lt;='项目驾驶舱'!$B$3+14),"是","否"))</f>
        <v/>
      </c>
      <c r="B55" s="124">
        <f>'项目总控台账'!A54</f>
        <v/>
      </c>
      <c r="C55" s="124">
        <f>IF(AND('项目总控台账'!E54&lt;&gt;"",'项目总控台账'!E54&lt;&gt;"/"),'项目总控台账'!E54,IF(AND('项目总控台账'!D54&lt;&gt;"",'项目总控台账'!D54&lt;&gt;"/"),'项目总控台账'!D54,'项目总控台账'!C54))</f>
        <v/>
      </c>
      <c r="D55" s="124">
        <f>'项目总控台账'!F54</f>
        <v/>
      </c>
      <c r="E55" s="124">
        <f>'项目总控台账'!G54</f>
        <v/>
      </c>
      <c r="F55" s="124">
        <f>'项目总控台账'!H54</f>
        <v/>
      </c>
      <c r="G55" s="125">
        <f>'项目总控台账'!J54</f>
        <v/>
      </c>
      <c r="H55" s="124">
        <f>IF(G55="","",G55-'项目驾驶舱'!$B$3)</f>
        <v/>
      </c>
      <c r="I55" s="124">
        <f>'项目总控台账'!AC54</f>
        <v/>
      </c>
      <c r="J55" s="124">
        <f>'项目总控台账'!AD54</f>
        <v/>
      </c>
      <c r="K55" s="124">
        <f>IF(A55&lt;&gt;"是","",IF(OR(E55="暂停",E55="挂起"),"确认暂停原因、恢复条件和责任人",IF(H55&lt;0,"立即确认延期原因、影响及补救计划",IF(H55&lt;=7,"本周确认交付承诺和完成证据","提前检查依赖与风险"))))</f>
        <v/>
      </c>
      <c r="L55" s="126" t="n"/>
      <c r="M55" s="127" t="n"/>
    </row>
    <row r="56">
      <c r="A56" s="124">
        <f>IF(B56="","",IF(AND(E56&lt;&gt;"已完成",ISNUMBER(G56),G56&lt;='项目驾驶舱'!$B$3+14),"是","否"))</f>
        <v/>
      </c>
      <c r="B56" s="124">
        <f>'项目总控台账'!A55</f>
        <v/>
      </c>
      <c r="C56" s="124">
        <f>IF(AND('项目总控台账'!E55&lt;&gt;"",'项目总控台账'!E55&lt;&gt;"/"),'项目总控台账'!E55,IF(AND('项目总控台账'!D55&lt;&gt;"",'项目总控台账'!D55&lt;&gt;"/"),'项目总控台账'!D55,'项目总控台账'!C55))</f>
        <v/>
      </c>
      <c r="D56" s="124">
        <f>'项目总控台账'!F55</f>
        <v/>
      </c>
      <c r="E56" s="124">
        <f>'项目总控台账'!G55</f>
        <v/>
      </c>
      <c r="F56" s="124">
        <f>'项目总控台账'!H55</f>
        <v/>
      </c>
      <c r="G56" s="125">
        <f>'项目总控台账'!J55</f>
        <v/>
      </c>
      <c r="H56" s="124">
        <f>IF(G56="","",G56-'项目驾驶舱'!$B$3)</f>
        <v/>
      </c>
      <c r="I56" s="124">
        <f>'项目总控台账'!AC55</f>
        <v/>
      </c>
      <c r="J56" s="124">
        <f>'项目总控台账'!AD55</f>
        <v/>
      </c>
      <c r="K56" s="124">
        <f>IF(A56&lt;&gt;"是","",IF(OR(E56="暂停",E56="挂起"),"确认暂停原因、恢复条件和责任人",IF(H56&lt;0,"立即确认延期原因、影响及补救计划",IF(H56&lt;=7,"本周确认交付承诺和完成证据","提前检查依赖与风险"))))</f>
        <v/>
      </c>
      <c r="L56" s="126" t="n"/>
      <c r="M56" s="127" t="n"/>
    </row>
    <row r="57">
      <c r="A57" s="124">
        <f>IF(B57="","",IF(AND(E57&lt;&gt;"已完成",ISNUMBER(G57),G57&lt;='项目驾驶舱'!$B$3+14),"是","否"))</f>
        <v/>
      </c>
      <c r="B57" s="124">
        <f>'项目总控台账'!A56</f>
        <v/>
      </c>
      <c r="C57" s="124">
        <f>IF(AND('项目总控台账'!E56&lt;&gt;"",'项目总控台账'!E56&lt;&gt;"/"),'项目总控台账'!E56,IF(AND('项目总控台账'!D56&lt;&gt;"",'项目总控台账'!D56&lt;&gt;"/"),'项目总控台账'!D56,'项目总控台账'!C56))</f>
        <v/>
      </c>
      <c r="D57" s="124">
        <f>'项目总控台账'!F56</f>
        <v/>
      </c>
      <c r="E57" s="124">
        <f>'项目总控台账'!G56</f>
        <v/>
      </c>
      <c r="F57" s="124">
        <f>'项目总控台账'!H56</f>
        <v/>
      </c>
      <c r="G57" s="125">
        <f>'项目总控台账'!J56</f>
        <v/>
      </c>
      <c r="H57" s="124">
        <f>IF(G57="","",G57-'项目驾驶舱'!$B$3)</f>
        <v/>
      </c>
      <c r="I57" s="124">
        <f>'项目总控台账'!AC56</f>
        <v/>
      </c>
      <c r="J57" s="124">
        <f>'项目总控台账'!AD56</f>
        <v/>
      </c>
      <c r="K57" s="124">
        <f>IF(A57&lt;&gt;"是","",IF(OR(E57="暂停",E57="挂起"),"确认暂停原因、恢复条件和责任人",IF(H57&lt;0,"立即确认延期原因、影响及补救计划",IF(H57&lt;=7,"本周确认交付承诺和完成证据","提前检查依赖与风险"))))</f>
        <v/>
      </c>
      <c r="L57" s="126" t="n"/>
      <c r="M57" s="127" t="n"/>
    </row>
    <row r="58">
      <c r="A58" s="124">
        <f>IF(B58="","",IF(AND(E58&lt;&gt;"已完成",ISNUMBER(G58),G58&lt;='项目驾驶舱'!$B$3+14),"是","否"))</f>
        <v/>
      </c>
      <c r="B58" s="124">
        <f>'项目总控台账'!A57</f>
        <v/>
      </c>
      <c r="C58" s="124">
        <f>IF(AND('项目总控台账'!E57&lt;&gt;"",'项目总控台账'!E57&lt;&gt;"/"),'项目总控台账'!E57,IF(AND('项目总控台账'!D57&lt;&gt;"",'项目总控台账'!D57&lt;&gt;"/"),'项目总控台账'!D57,'项目总控台账'!C57))</f>
        <v/>
      </c>
      <c r="D58" s="124">
        <f>'项目总控台账'!F57</f>
        <v/>
      </c>
      <c r="E58" s="124">
        <f>'项目总控台账'!G57</f>
        <v/>
      </c>
      <c r="F58" s="124">
        <f>'项目总控台账'!H57</f>
        <v/>
      </c>
      <c r="G58" s="125">
        <f>'项目总控台账'!J57</f>
        <v/>
      </c>
      <c r="H58" s="124">
        <f>IF(G58="","",G58-'项目驾驶舱'!$B$3)</f>
        <v/>
      </c>
      <c r="I58" s="124">
        <f>'项目总控台账'!AC57</f>
        <v/>
      </c>
      <c r="J58" s="124">
        <f>'项目总控台账'!AD57</f>
        <v/>
      </c>
      <c r="K58" s="124">
        <f>IF(A58&lt;&gt;"是","",IF(OR(E58="暂停",E58="挂起"),"确认暂停原因、恢复条件和责任人",IF(H58&lt;0,"立即确认延期原因、影响及补救计划",IF(H58&lt;=7,"本周确认交付承诺和完成证据","提前检查依赖与风险"))))</f>
        <v/>
      </c>
      <c r="L58" s="126" t="n"/>
      <c r="M58" s="127" t="n"/>
    </row>
    <row r="59">
      <c r="A59" s="124">
        <f>IF(B59="","",IF(AND(E59&lt;&gt;"已完成",ISNUMBER(G59),G59&lt;='项目驾驶舱'!$B$3+14),"是","否"))</f>
        <v/>
      </c>
      <c r="B59" s="124">
        <f>'项目总控台账'!A58</f>
        <v/>
      </c>
      <c r="C59" s="124">
        <f>IF(AND('项目总控台账'!E58&lt;&gt;"",'项目总控台账'!E58&lt;&gt;"/"),'项目总控台账'!E58,IF(AND('项目总控台账'!D58&lt;&gt;"",'项目总控台账'!D58&lt;&gt;"/"),'项目总控台账'!D58,'项目总控台账'!C58))</f>
        <v/>
      </c>
      <c r="D59" s="124">
        <f>'项目总控台账'!F58</f>
        <v/>
      </c>
      <c r="E59" s="124">
        <f>'项目总控台账'!G58</f>
        <v/>
      </c>
      <c r="F59" s="124">
        <f>'项目总控台账'!H58</f>
        <v/>
      </c>
      <c r="G59" s="125">
        <f>'项目总控台账'!J58</f>
        <v/>
      </c>
      <c r="H59" s="124">
        <f>IF(G59="","",G59-'项目驾驶舱'!$B$3)</f>
        <v/>
      </c>
      <c r="I59" s="124">
        <f>'项目总控台账'!AC58</f>
        <v/>
      </c>
      <c r="J59" s="124">
        <f>'项目总控台账'!AD58</f>
        <v/>
      </c>
      <c r="K59" s="124">
        <f>IF(A59&lt;&gt;"是","",IF(OR(E59="暂停",E59="挂起"),"确认暂停原因、恢复条件和责任人",IF(H59&lt;0,"立即确认延期原因、影响及补救计划",IF(H59&lt;=7,"本周确认交付承诺和完成证据","提前检查依赖与风险"))))</f>
        <v/>
      </c>
      <c r="L59" s="126" t="n"/>
      <c r="M59" s="127" t="n"/>
    </row>
    <row r="60">
      <c r="A60" s="124">
        <f>IF(B60="","",IF(AND(E60&lt;&gt;"已完成",ISNUMBER(G60),G60&lt;='项目驾驶舱'!$B$3+14),"是","否"))</f>
        <v/>
      </c>
      <c r="B60" s="124">
        <f>'项目总控台账'!A59</f>
        <v/>
      </c>
      <c r="C60" s="124">
        <f>IF(AND('项目总控台账'!E59&lt;&gt;"",'项目总控台账'!E59&lt;&gt;"/"),'项目总控台账'!E59,IF(AND('项目总控台账'!D59&lt;&gt;"",'项目总控台账'!D59&lt;&gt;"/"),'项目总控台账'!D59,'项目总控台账'!C59))</f>
        <v/>
      </c>
      <c r="D60" s="124">
        <f>'项目总控台账'!F59</f>
        <v/>
      </c>
      <c r="E60" s="124">
        <f>'项目总控台账'!G59</f>
        <v/>
      </c>
      <c r="F60" s="124">
        <f>'项目总控台账'!H59</f>
        <v/>
      </c>
      <c r="G60" s="125">
        <f>'项目总控台账'!J59</f>
        <v/>
      </c>
      <c r="H60" s="124">
        <f>IF(G60="","",G60-'项目驾驶舱'!$B$3)</f>
        <v/>
      </c>
      <c r="I60" s="124">
        <f>'项目总控台账'!AC59</f>
        <v/>
      </c>
      <c r="J60" s="124">
        <f>'项目总控台账'!AD59</f>
        <v/>
      </c>
      <c r="K60" s="124">
        <f>IF(A60&lt;&gt;"是","",IF(OR(E60="暂停",E60="挂起"),"确认暂停原因、恢复条件和责任人",IF(H60&lt;0,"立即确认延期原因、影响及补救计划",IF(H60&lt;=7,"本周确认交付承诺和完成证据","提前检查依赖与风险"))))</f>
        <v/>
      </c>
      <c r="L60" s="126" t="n"/>
      <c r="M60" s="127" t="n"/>
    </row>
    <row r="61">
      <c r="A61" s="124">
        <f>IF(B61="","",IF(AND(E61&lt;&gt;"已完成",ISNUMBER(G61),G61&lt;='项目驾驶舱'!$B$3+14),"是","否"))</f>
        <v/>
      </c>
      <c r="B61" s="124">
        <f>'项目总控台账'!A60</f>
        <v/>
      </c>
      <c r="C61" s="124">
        <f>IF(AND('项目总控台账'!E60&lt;&gt;"",'项目总控台账'!E60&lt;&gt;"/"),'项目总控台账'!E60,IF(AND('项目总控台账'!D60&lt;&gt;"",'项目总控台账'!D60&lt;&gt;"/"),'项目总控台账'!D60,'项目总控台账'!C60))</f>
        <v/>
      </c>
      <c r="D61" s="124">
        <f>'项目总控台账'!F60</f>
        <v/>
      </c>
      <c r="E61" s="124">
        <f>'项目总控台账'!G60</f>
        <v/>
      </c>
      <c r="F61" s="124">
        <f>'项目总控台账'!H60</f>
        <v/>
      </c>
      <c r="G61" s="125">
        <f>'项目总控台账'!J60</f>
        <v/>
      </c>
      <c r="H61" s="124">
        <f>IF(G61="","",G61-'项目驾驶舱'!$B$3)</f>
        <v/>
      </c>
      <c r="I61" s="124">
        <f>'项目总控台账'!AC60</f>
        <v/>
      </c>
      <c r="J61" s="124">
        <f>'项目总控台账'!AD60</f>
        <v/>
      </c>
      <c r="K61" s="124">
        <f>IF(A61&lt;&gt;"是","",IF(OR(E61="暂停",E61="挂起"),"确认暂停原因、恢复条件和责任人",IF(H61&lt;0,"立即确认延期原因、影响及补救计划",IF(H61&lt;=7,"本周确认交付承诺和完成证据","提前检查依赖与风险"))))</f>
        <v/>
      </c>
      <c r="L61" s="126" t="n"/>
      <c r="M61" s="127" t="n"/>
    </row>
    <row r="62">
      <c r="A62" s="124">
        <f>IF(B62="","",IF(AND(E62&lt;&gt;"已完成",ISNUMBER(G62),G62&lt;='项目驾驶舱'!$B$3+14),"是","否"))</f>
        <v/>
      </c>
      <c r="B62" s="124">
        <f>'项目总控台账'!A61</f>
        <v/>
      </c>
      <c r="C62" s="124">
        <f>IF(AND('项目总控台账'!E61&lt;&gt;"",'项目总控台账'!E61&lt;&gt;"/"),'项目总控台账'!E61,IF(AND('项目总控台账'!D61&lt;&gt;"",'项目总控台账'!D61&lt;&gt;"/"),'项目总控台账'!D61,'项目总控台账'!C61))</f>
        <v/>
      </c>
      <c r="D62" s="124">
        <f>'项目总控台账'!F61</f>
        <v/>
      </c>
      <c r="E62" s="124">
        <f>'项目总控台账'!G61</f>
        <v/>
      </c>
      <c r="F62" s="124">
        <f>'项目总控台账'!H61</f>
        <v/>
      </c>
      <c r="G62" s="125">
        <f>'项目总控台账'!J61</f>
        <v/>
      </c>
      <c r="H62" s="124">
        <f>IF(G62="","",G62-'项目驾驶舱'!$B$3)</f>
        <v/>
      </c>
      <c r="I62" s="124">
        <f>'项目总控台账'!AC61</f>
        <v/>
      </c>
      <c r="J62" s="124">
        <f>'项目总控台账'!AD61</f>
        <v/>
      </c>
      <c r="K62" s="124">
        <f>IF(A62&lt;&gt;"是","",IF(OR(E62="暂停",E62="挂起"),"确认暂停原因、恢复条件和责任人",IF(H62&lt;0,"立即确认延期原因、影响及补救计划",IF(H62&lt;=7,"本周确认交付承诺和完成证据","提前检查依赖与风险"))))</f>
        <v/>
      </c>
      <c r="L62" s="126" t="n"/>
      <c r="M62" s="127" t="n"/>
    </row>
    <row r="63">
      <c r="A63" s="124">
        <f>IF(B63="","",IF(AND(E63&lt;&gt;"已完成",ISNUMBER(G63),G63&lt;='项目驾驶舱'!$B$3+14),"是","否"))</f>
        <v/>
      </c>
      <c r="B63" s="124">
        <f>'项目总控台账'!A62</f>
        <v/>
      </c>
      <c r="C63" s="124">
        <f>IF(AND('项目总控台账'!E62&lt;&gt;"",'项目总控台账'!E62&lt;&gt;"/"),'项目总控台账'!E62,IF(AND('项目总控台账'!D62&lt;&gt;"",'项目总控台账'!D62&lt;&gt;"/"),'项目总控台账'!D62,'项目总控台账'!C62))</f>
        <v/>
      </c>
      <c r="D63" s="124">
        <f>'项目总控台账'!F62</f>
        <v/>
      </c>
      <c r="E63" s="124">
        <f>'项目总控台账'!G62</f>
        <v/>
      </c>
      <c r="F63" s="124">
        <f>'项目总控台账'!H62</f>
        <v/>
      </c>
      <c r="G63" s="125">
        <f>'项目总控台账'!J62</f>
        <v/>
      </c>
      <c r="H63" s="124">
        <f>IF(G63="","",G63-'项目驾驶舱'!$B$3)</f>
        <v/>
      </c>
      <c r="I63" s="124">
        <f>'项目总控台账'!AC62</f>
        <v/>
      </c>
      <c r="J63" s="124">
        <f>'项目总控台账'!AD62</f>
        <v/>
      </c>
      <c r="K63" s="124">
        <f>IF(A63&lt;&gt;"是","",IF(OR(E63="暂停",E63="挂起"),"确认暂停原因、恢复条件和责任人",IF(H63&lt;0,"立即确认延期原因、影响及补救计划",IF(H63&lt;=7,"本周确认交付承诺和完成证据","提前检查依赖与风险"))))</f>
        <v/>
      </c>
      <c r="L63" s="126" t="n"/>
      <c r="M63" s="127" t="n"/>
    </row>
    <row r="64">
      <c r="A64" s="124">
        <f>IF(B64="","",IF(AND(E64&lt;&gt;"已完成",ISNUMBER(G64),G64&lt;='项目驾驶舱'!$B$3+14),"是","否"))</f>
        <v/>
      </c>
      <c r="B64" s="124">
        <f>'项目总控台账'!A63</f>
        <v/>
      </c>
      <c r="C64" s="124">
        <f>IF(AND('项目总控台账'!E63&lt;&gt;"",'项目总控台账'!E63&lt;&gt;"/"),'项目总控台账'!E63,IF(AND('项目总控台账'!D63&lt;&gt;"",'项目总控台账'!D63&lt;&gt;"/"),'项目总控台账'!D63,'项目总控台账'!C63))</f>
        <v/>
      </c>
      <c r="D64" s="124">
        <f>'项目总控台账'!F63</f>
        <v/>
      </c>
      <c r="E64" s="124">
        <f>'项目总控台账'!G63</f>
        <v/>
      </c>
      <c r="F64" s="124">
        <f>'项目总控台账'!H63</f>
        <v/>
      </c>
      <c r="G64" s="125">
        <f>'项目总控台账'!J63</f>
        <v/>
      </c>
      <c r="H64" s="124">
        <f>IF(G64="","",G64-'项目驾驶舱'!$B$3)</f>
        <v/>
      </c>
      <c r="I64" s="124">
        <f>'项目总控台账'!AC63</f>
        <v/>
      </c>
      <c r="J64" s="124">
        <f>'项目总控台账'!AD63</f>
        <v/>
      </c>
      <c r="K64" s="124">
        <f>IF(A64&lt;&gt;"是","",IF(OR(E64="暂停",E64="挂起"),"确认暂停原因、恢复条件和责任人",IF(H64&lt;0,"立即确认延期原因、影响及补救计划",IF(H64&lt;=7,"本周确认交付承诺和完成证据","提前检查依赖与风险"))))</f>
        <v/>
      </c>
      <c r="L64" s="126" t="n"/>
      <c r="M64" s="127" t="n"/>
    </row>
    <row r="65">
      <c r="A65" s="124">
        <f>IF(B65="","",IF(AND(E65&lt;&gt;"已完成",ISNUMBER(G65),G65&lt;='项目驾驶舱'!$B$3+14),"是","否"))</f>
        <v/>
      </c>
      <c r="B65" s="124">
        <f>'项目总控台账'!A64</f>
        <v/>
      </c>
      <c r="C65" s="124">
        <f>IF(AND('项目总控台账'!E64&lt;&gt;"",'项目总控台账'!E64&lt;&gt;"/"),'项目总控台账'!E64,IF(AND('项目总控台账'!D64&lt;&gt;"",'项目总控台账'!D64&lt;&gt;"/"),'项目总控台账'!D64,'项目总控台账'!C64))</f>
        <v/>
      </c>
      <c r="D65" s="124">
        <f>'项目总控台账'!F64</f>
        <v/>
      </c>
      <c r="E65" s="124">
        <f>'项目总控台账'!G64</f>
        <v/>
      </c>
      <c r="F65" s="124">
        <f>'项目总控台账'!H64</f>
        <v/>
      </c>
      <c r="G65" s="125">
        <f>'项目总控台账'!J64</f>
        <v/>
      </c>
      <c r="H65" s="124">
        <f>IF(G65="","",G65-'项目驾驶舱'!$B$3)</f>
        <v/>
      </c>
      <c r="I65" s="124">
        <f>'项目总控台账'!AC64</f>
        <v/>
      </c>
      <c r="J65" s="124">
        <f>'项目总控台账'!AD64</f>
        <v/>
      </c>
      <c r="K65" s="124">
        <f>IF(A65&lt;&gt;"是","",IF(OR(E65="暂停",E65="挂起"),"确认暂停原因、恢复条件和责任人",IF(H65&lt;0,"立即确认延期原因、影响及补救计划",IF(H65&lt;=7,"本周确认交付承诺和完成证据","提前检查依赖与风险"))))</f>
        <v/>
      </c>
      <c r="L65" s="126" t="n"/>
      <c r="M65" s="127" t="n"/>
    </row>
    <row r="66">
      <c r="A66" s="124">
        <f>IF(B66="","",IF(AND(E66&lt;&gt;"已完成",ISNUMBER(G66),G66&lt;='项目驾驶舱'!$B$3+14),"是","否"))</f>
        <v/>
      </c>
      <c r="B66" s="124">
        <f>'项目总控台账'!A65</f>
        <v/>
      </c>
      <c r="C66" s="124">
        <f>IF(AND('项目总控台账'!E65&lt;&gt;"",'项目总控台账'!E65&lt;&gt;"/"),'项目总控台账'!E65,IF(AND('项目总控台账'!D65&lt;&gt;"",'项目总控台账'!D65&lt;&gt;"/"),'项目总控台账'!D65,'项目总控台账'!C65))</f>
        <v/>
      </c>
      <c r="D66" s="124">
        <f>'项目总控台账'!F65</f>
        <v/>
      </c>
      <c r="E66" s="124">
        <f>'项目总控台账'!G65</f>
        <v/>
      </c>
      <c r="F66" s="124">
        <f>'项目总控台账'!H65</f>
        <v/>
      </c>
      <c r="G66" s="125">
        <f>'项目总控台账'!J65</f>
        <v/>
      </c>
      <c r="H66" s="124">
        <f>IF(G66="","",G66-'项目驾驶舱'!$B$3)</f>
        <v/>
      </c>
      <c r="I66" s="124">
        <f>'项目总控台账'!AC65</f>
        <v/>
      </c>
      <c r="J66" s="124">
        <f>'项目总控台账'!AD65</f>
        <v/>
      </c>
      <c r="K66" s="124">
        <f>IF(A66&lt;&gt;"是","",IF(OR(E66="暂停",E66="挂起"),"确认暂停原因、恢复条件和责任人",IF(H66&lt;0,"立即确认延期原因、影响及补救计划",IF(H66&lt;=7,"本周确认交付承诺和完成证据","提前检查依赖与风险"))))</f>
        <v/>
      </c>
      <c r="L66" s="126" t="n"/>
      <c r="M66" s="127" t="n"/>
    </row>
    <row r="67">
      <c r="A67" s="124">
        <f>IF(B67="","",IF(AND(E67&lt;&gt;"已完成",ISNUMBER(G67),G67&lt;='项目驾驶舱'!$B$3+14),"是","否"))</f>
        <v/>
      </c>
      <c r="B67" s="124">
        <f>'项目总控台账'!A66</f>
        <v/>
      </c>
      <c r="C67" s="124">
        <f>IF(AND('项目总控台账'!E66&lt;&gt;"",'项目总控台账'!E66&lt;&gt;"/"),'项目总控台账'!E66,IF(AND('项目总控台账'!D66&lt;&gt;"",'项目总控台账'!D66&lt;&gt;"/"),'项目总控台账'!D66,'项目总控台账'!C66))</f>
        <v/>
      </c>
      <c r="D67" s="124">
        <f>'项目总控台账'!F66</f>
        <v/>
      </c>
      <c r="E67" s="124">
        <f>'项目总控台账'!G66</f>
        <v/>
      </c>
      <c r="F67" s="124">
        <f>'项目总控台账'!H66</f>
        <v/>
      </c>
      <c r="G67" s="125">
        <f>'项目总控台账'!J66</f>
        <v/>
      </c>
      <c r="H67" s="124">
        <f>IF(G67="","",G67-'项目驾驶舱'!$B$3)</f>
        <v/>
      </c>
      <c r="I67" s="124">
        <f>'项目总控台账'!AC66</f>
        <v/>
      </c>
      <c r="J67" s="124">
        <f>'项目总控台账'!AD66</f>
        <v/>
      </c>
      <c r="K67" s="124">
        <f>IF(A67&lt;&gt;"是","",IF(OR(E67="暂停",E67="挂起"),"确认暂停原因、恢复条件和责任人",IF(H67&lt;0,"立即确认延期原因、影响及补救计划",IF(H67&lt;=7,"本周确认交付承诺和完成证据","提前检查依赖与风险"))))</f>
        <v/>
      </c>
      <c r="L67" s="126" t="n"/>
      <c r="M67" s="127" t="n"/>
    </row>
    <row r="68">
      <c r="A68" s="124">
        <f>IF(B68="","",IF(AND(E68&lt;&gt;"已完成",ISNUMBER(G68),G68&lt;='项目驾驶舱'!$B$3+14),"是","否"))</f>
        <v/>
      </c>
      <c r="B68" s="124">
        <f>'项目总控台账'!A67</f>
        <v/>
      </c>
      <c r="C68" s="124">
        <f>IF(AND('项目总控台账'!E67&lt;&gt;"",'项目总控台账'!E67&lt;&gt;"/"),'项目总控台账'!E67,IF(AND('项目总控台账'!D67&lt;&gt;"",'项目总控台账'!D67&lt;&gt;"/"),'项目总控台账'!D67,'项目总控台账'!C67))</f>
        <v/>
      </c>
      <c r="D68" s="124">
        <f>'项目总控台账'!F67</f>
        <v/>
      </c>
      <c r="E68" s="124">
        <f>'项目总控台账'!G67</f>
        <v/>
      </c>
      <c r="F68" s="124">
        <f>'项目总控台账'!H67</f>
        <v/>
      </c>
      <c r="G68" s="125">
        <f>'项目总控台账'!J67</f>
        <v/>
      </c>
      <c r="H68" s="124">
        <f>IF(G68="","",G68-'项目驾驶舱'!$B$3)</f>
        <v/>
      </c>
      <c r="I68" s="124">
        <f>'项目总控台账'!AC67</f>
        <v/>
      </c>
      <c r="J68" s="124">
        <f>'项目总控台账'!AD67</f>
        <v/>
      </c>
      <c r="K68" s="124">
        <f>IF(A68&lt;&gt;"是","",IF(OR(E68="暂停",E68="挂起"),"确认暂停原因、恢复条件和责任人",IF(H68&lt;0,"立即确认延期原因、影响及补救计划",IF(H68&lt;=7,"本周确认交付承诺和完成证据","提前检查依赖与风险"))))</f>
        <v/>
      </c>
      <c r="L68" s="126" t="n"/>
      <c r="M68" s="127" t="n"/>
    </row>
    <row r="69">
      <c r="A69" s="124">
        <f>IF(B69="","",IF(AND(E69&lt;&gt;"已完成",ISNUMBER(G69),G69&lt;='项目驾驶舱'!$B$3+14),"是","否"))</f>
        <v/>
      </c>
      <c r="B69" s="124">
        <f>'项目总控台账'!A68</f>
        <v/>
      </c>
      <c r="C69" s="124">
        <f>IF(AND('项目总控台账'!E68&lt;&gt;"",'项目总控台账'!E68&lt;&gt;"/"),'项目总控台账'!E68,IF(AND('项目总控台账'!D68&lt;&gt;"",'项目总控台账'!D68&lt;&gt;"/"),'项目总控台账'!D68,'项目总控台账'!C68))</f>
        <v/>
      </c>
      <c r="D69" s="124">
        <f>'项目总控台账'!F68</f>
        <v/>
      </c>
      <c r="E69" s="124">
        <f>'项目总控台账'!G68</f>
        <v/>
      </c>
      <c r="F69" s="124">
        <f>'项目总控台账'!H68</f>
        <v/>
      </c>
      <c r="G69" s="125">
        <f>'项目总控台账'!J68</f>
        <v/>
      </c>
      <c r="H69" s="124">
        <f>IF(G69="","",G69-'项目驾驶舱'!$B$3)</f>
        <v/>
      </c>
      <c r="I69" s="124">
        <f>'项目总控台账'!AC68</f>
        <v/>
      </c>
      <c r="J69" s="124">
        <f>'项目总控台账'!AD68</f>
        <v/>
      </c>
      <c r="K69" s="124">
        <f>IF(A69&lt;&gt;"是","",IF(OR(E69="暂停",E69="挂起"),"确认暂停原因、恢复条件和责任人",IF(H69&lt;0,"立即确认延期原因、影响及补救计划",IF(H69&lt;=7,"本周确认交付承诺和完成证据","提前检查依赖与风险"))))</f>
        <v/>
      </c>
      <c r="L69" s="126" t="n"/>
      <c r="M69" s="127" t="n"/>
    </row>
    <row r="70">
      <c r="A70" s="124">
        <f>IF(B70="","",IF(AND(E70&lt;&gt;"已完成",ISNUMBER(G70),G70&lt;='项目驾驶舱'!$B$3+14),"是","否"))</f>
        <v/>
      </c>
      <c r="B70" s="124">
        <f>'项目总控台账'!A69</f>
        <v/>
      </c>
      <c r="C70" s="124">
        <f>IF(AND('项目总控台账'!E69&lt;&gt;"",'项目总控台账'!E69&lt;&gt;"/"),'项目总控台账'!E69,IF(AND('项目总控台账'!D69&lt;&gt;"",'项目总控台账'!D69&lt;&gt;"/"),'项目总控台账'!D69,'项目总控台账'!C69))</f>
        <v/>
      </c>
      <c r="D70" s="124">
        <f>'项目总控台账'!F69</f>
        <v/>
      </c>
      <c r="E70" s="124">
        <f>'项目总控台账'!G69</f>
        <v/>
      </c>
      <c r="F70" s="124">
        <f>'项目总控台账'!H69</f>
        <v/>
      </c>
      <c r="G70" s="125">
        <f>'项目总控台账'!J69</f>
        <v/>
      </c>
      <c r="H70" s="124">
        <f>IF(G70="","",G70-'项目驾驶舱'!$B$3)</f>
        <v/>
      </c>
      <c r="I70" s="124">
        <f>'项目总控台账'!AC69</f>
        <v/>
      </c>
      <c r="J70" s="124">
        <f>'项目总控台账'!AD69</f>
        <v/>
      </c>
      <c r="K70" s="124">
        <f>IF(A70&lt;&gt;"是","",IF(OR(E70="暂停",E70="挂起"),"确认暂停原因、恢复条件和责任人",IF(H70&lt;0,"立即确认延期原因、影响及补救计划",IF(H70&lt;=7,"本周确认交付承诺和完成证据","提前检查依赖与风险"))))</f>
        <v/>
      </c>
      <c r="L70" s="126" t="n"/>
      <c r="M70" s="127" t="n"/>
    </row>
    <row r="71">
      <c r="A71" s="124">
        <f>IF(B71="","",IF(AND(E71&lt;&gt;"已完成",ISNUMBER(G71),G71&lt;='项目驾驶舱'!$B$3+14),"是","否"))</f>
        <v/>
      </c>
      <c r="B71" s="124">
        <f>'项目总控台账'!A70</f>
        <v/>
      </c>
      <c r="C71" s="124">
        <f>IF(AND('项目总控台账'!E70&lt;&gt;"",'项目总控台账'!E70&lt;&gt;"/"),'项目总控台账'!E70,IF(AND('项目总控台账'!D70&lt;&gt;"",'项目总控台账'!D70&lt;&gt;"/"),'项目总控台账'!D70,'项目总控台账'!C70))</f>
        <v/>
      </c>
      <c r="D71" s="124">
        <f>'项目总控台账'!F70</f>
        <v/>
      </c>
      <c r="E71" s="124">
        <f>'项目总控台账'!G70</f>
        <v/>
      </c>
      <c r="F71" s="124">
        <f>'项目总控台账'!H70</f>
        <v/>
      </c>
      <c r="G71" s="125">
        <f>'项目总控台账'!J70</f>
        <v/>
      </c>
      <c r="H71" s="124">
        <f>IF(G71="","",G71-'项目驾驶舱'!$B$3)</f>
        <v/>
      </c>
      <c r="I71" s="124">
        <f>'项目总控台账'!AC70</f>
        <v/>
      </c>
      <c r="J71" s="124">
        <f>'项目总控台账'!AD70</f>
        <v/>
      </c>
      <c r="K71" s="124">
        <f>IF(A71&lt;&gt;"是","",IF(OR(E71="暂停",E71="挂起"),"确认暂停原因、恢复条件和责任人",IF(H71&lt;0,"立即确认延期原因、影响及补救计划",IF(H71&lt;=7,"本周确认交付承诺和完成证据","提前检查依赖与风险"))))</f>
        <v/>
      </c>
      <c r="L71" s="126" t="n"/>
      <c r="M71" s="127" t="n"/>
    </row>
    <row r="72">
      <c r="A72" s="124">
        <f>IF(B72="","",IF(AND(E72&lt;&gt;"已完成",ISNUMBER(G72),G72&lt;='项目驾驶舱'!$B$3+14),"是","否"))</f>
        <v/>
      </c>
      <c r="B72" s="124">
        <f>'项目总控台账'!A71</f>
        <v/>
      </c>
      <c r="C72" s="124">
        <f>IF(AND('项目总控台账'!E71&lt;&gt;"",'项目总控台账'!E71&lt;&gt;"/"),'项目总控台账'!E71,IF(AND('项目总控台账'!D71&lt;&gt;"",'项目总控台账'!D71&lt;&gt;"/"),'项目总控台账'!D71,'项目总控台账'!C71))</f>
        <v/>
      </c>
      <c r="D72" s="124">
        <f>'项目总控台账'!F71</f>
        <v/>
      </c>
      <c r="E72" s="124">
        <f>'项目总控台账'!G71</f>
        <v/>
      </c>
      <c r="F72" s="124">
        <f>'项目总控台账'!H71</f>
        <v/>
      </c>
      <c r="G72" s="125">
        <f>'项目总控台账'!J71</f>
        <v/>
      </c>
      <c r="H72" s="124">
        <f>IF(G72="","",G72-'项目驾驶舱'!$B$3)</f>
        <v/>
      </c>
      <c r="I72" s="124">
        <f>'项目总控台账'!AC71</f>
        <v/>
      </c>
      <c r="J72" s="124">
        <f>'项目总控台账'!AD71</f>
        <v/>
      </c>
      <c r="K72" s="124">
        <f>IF(A72&lt;&gt;"是","",IF(OR(E72="暂停",E72="挂起"),"确认暂停原因、恢复条件和责任人",IF(H72&lt;0,"立即确认延期原因、影响及补救计划",IF(H72&lt;=7,"本周确认交付承诺和完成证据","提前检查依赖与风险"))))</f>
        <v/>
      </c>
      <c r="L72" s="126" t="n"/>
      <c r="M72" s="127" t="n"/>
    </row>
    <row r="73">
      <c r="A73" s="124">
        <f>IF(B73="","",IF(AND(E73&lt;&gt;"已完成",ISNUMBER(G73),G73&lt;='项目驾驶舱'!$B$3+14),"是","否"))</f>
        <v/>
      </c>
      <c r="B73" s="124">
        <f>'项目总控台账'!A72</f>
        <v/>
      </c>
      <c r="C73" s="124">
        <f>IF(AND('项目总控台账'!E72&lt;&gt;"",'项目总控台账'!E72&lt;&gt;"/"),'项目总控台账'!E72,IF(AND('项目总控台账'!D72&lt;&gt;"",'项目总控台账'!D72&lt;&gt;"/"),'项目总控台账'!D72,'项目总控台账'!C72))</f>
        <v/>
      </c>
      <c r="D73" s="124">
        <f>'项目总控台账'!F72</f>
        <v/>
      </c>
      <c r="E73" s="124">
        <f>'项目总控台账'!G72</f>
        <v/>
      </c>
      <c r="F73" s="124">
        <f>'项目总控台账'!H72</f>
        <v/>
      </c>
      <c r="G73" s="125">
        <f>'项目总控台账'!J72</f>
        <v/>
      </c>
      <c r="H73" s="124">
        <f>IF(G73="","",G73-'项目驾驶舱'!$B$3)</f>
        <v/>
      </c>
      <c r="I73" s="124">
        <f>'项目总控台账'!AC72</f>
        <v/>
      </c>
      <c r="J73" s="124">
        <f>'项目总控台账'!AD72</f>
        <v/>
      </c>
      <c r="K73" s="124">
        <f>IF(A73&lt;&gt;"是","",IF(OR(E73="暂停",E73="挂起"),"确认暂停原因、恢复条件和责任人",IF(H73&lt;0,"立即确认延期原因、影响及补救计划",IF(H73&lt;=7,"本周确认交付承诺和完成证据","提前检查依赖与风险"))))</f>
        <v/>
      </c>
      <c r="L73" s="126" t="n"/>
      <c r="M73" s="127" t="n"/>
    </row>
    <row r="74">
      <c r="A74" s="124">
        <f>IF(B74="","",IF(AND(E74&lt;&gt;"已完成",ISNUMBER(G74),G74&lt;='项目驾驶舱'!$B$3+14),"是","否"))</f>
        <v/>
      </c>
      <c r="B74" s="124">
        <f>'项目总控台账'!A73</f>
        <v/>
      </c>
      <c r="C74" s="124">
        <f>IF(AND('项目总控台账'!E73&lt;&gt;"",'项目总控台账'!E73&lt;&gt;"/"),'项目总控台账'!E73,IF(AND('项目总控台账'!D73&lt;&gt;"",'项目总控台账'!D73&lt;&gt;"/"),'项目总控台账'!D73,'项目总控台账'!C73))</f>
        <v/>
      </c>
      <c r="D74" s="124">
        <f>'项目总控台账'!F73</f>
        <v/>
      </c>
      <c r="E74" s="124">
        <f>'项目总控台账'!G73</f>
        <v/>
      </c>
      <c r="F74" s="124">
        <f>'项目总控台账'!H73</f>
        <v/>
      </c>
      <c r="G74" s="125">
        <f>'项目总控台账'!J73</f>
        <v/>
      </c>
      <c r="H74" s="124">
        <f>IF(G74="","",G74-'项目驾驶舱'!$B$3)</f>
        <v/>
      </c>
      <c r="I74" s="124">
        <f>'项目总控台账'!AC73</f>
        <v/>
      </c>
      <c r="J74" s="124">
        <f>'项目总控台账'!AD73</f>
        <v/>
      </c>
      <c r="K74" s="124">
        <f>IF(A74&lt;&gt;"是","",IF(OR(E74="暂停",E74="挂起"),"确认暂停原因、恢复条件和责任人",IF(H74&lt;0,"立即确认延期原因、影响及补救计划",IF(H74&lt;=7,"本周确认交付承诺和完成证据","提前检查依赖与风险"))))</f>
        <v/>
      </c>
      <c r="L74" s="126" t="n"/>
      <c r="M74" s="127" t="n"/>
    </row>
    <row r="75">
      <c r="A75" s="124">
        <f>IF(B75="","",IF(AND(E75&lt;&gt;"已完成",ISNUMBER(G75),G75&lt;='项目驾驶舱'!$B$3+14),"是","否"))</f>
        <v/>
      </c>
      <c r="B75" s="124">
        <f>'项目总控台账'!A74</f>
        <v/>
      </c>
      <c r="C75" s="124">
        <f>IF(AND('项目总控台账'!E74&lt;&gt;"",'项目总控台账'!E74&lt;&gt;"/"),'项目总控台账'!E74,IF(AND('项目总控台账'!D74&lt;&gt;"",'项目总控台账'!D74&lt;&gt;"/"),'项目总控台账'!D74,'项目总控台账'!C74))</f>
        <v/>
      </c>
      <c r="D75" s="124">
        <f>'项目总控台账'!F74</f>
        <v/>
      </c>
      <c r="E75" s="124">
        <f>'项目总控台账'!G74</f>
        <v/>
      </c>
      <c r="F75" s="124">
        <f>'项目总控台账'!H74</f>
        <v/>
      </c>
      <c r="G75" s="125">
        <f>'项目总控台账'!J74</f>
        <v/>
      </c>
      <c r="H75" s="124">
        <f>IF(G75="","",G75-'项目驾驶舱'!$B$3)</f>
        <v/>
      </c>
      <c r="I75" s="124">
        <f>'项目总控台账'!AC74</f>
        <v/>
      </c>
      <c r="J75" s="124">
        <f>'项目总控台账'!AD74</f>
        <v/>
      </c>
      <c r="K75" s="124">
        <f>IF(A75&lt;&gt;"是","",IF(OR(E75="暂停",E75="挂起"),"确认暂停原因、恢复条件和责任人",IF(H75&lt;0,"立即确认延期原因、影响及补救计划",IF(H75&lt;=7,"本周确认交付承诺和完成证据","提前检查依赖与风险"))))</f>
        <v/>
      </c>
      <c r="L75" s="126" t="n"/>
      <c r="M75" s="127" t="n"/>
    </row>
    <row r="76">
      <c r="A76" s="124">
        <f>IF(B76="","",IF(AND(E76&lt;&gt;"已完成",ISNUMBER(G76),G76&lt;='项目驾驶舱'!$B$3+14),"是","否"))</f>
        <v/>
      </c>
      <c r="B76" s="124">
        <f>'项目总控台账'!A75</f>
        <v/>
      </c>
      <c r="C76" s="124">
        <f>IF(AND('项目总控台账'!E75&lt;&gt;"",'项目总控台账'!E75&lt;&gt;"/"),'项目总控台账'!E75,IF(AND('项目总控台账'!D75&lt;&gt;"",'项目总控台账'!D75&lt;&gt;"/"),'项目总控台账'!D75,'项目总控台账'!C75))</f>
        <v/>
      </c>
      <c r="D76" s="124">
        <f>'项目总控台账'!F75</f>
        <v/>
      </c>
      <c r="E76" s="124">
        <f>'项目总控台账'!G75</f>
        <v/>
      </c>
      <c r="F76" s="124">
        <f>'项目总控台账'!H75</f>
        <v/>
      </c>
      <c r="G76" s="125">
        <f>'项目总控台账'!J75</f>
        <v/>
      </c>
      <c r="H76" s="124">
        <f>IF(G76="","",G76-'项目驾驶舱'!$B$3)</f>
        <v/>
      </c>
      <c r="I76" s="124">
        <f>'项目总控台账'!AC75</f>
        <v/>
      </c>
      <c r="J76" s="124">
        <f>'项目总控台账'!AD75</f>
        <v/>
      </c>
      <c r="K76" s="124">
        <f>IF(A76&lt;&gt;"是","",IF(OR(E76="暂停",E76="挂起"),"确认暂停原因、恢复条件和责任人",IF(H76&lt;0,"立即确认延期原因、影响及补救计划",IF(H76&lt;=7,"本周确认交付承诺和完成证据","提前检查依赖与风险"))))</f>
        <v/>
      </c>
      <c r="L76" s="126" t="n"/>
      <c r="M76" s="127" t="n"/>
    </row>
    <row r="77">
      <c r="A77" s="124">
        <f>IF(B77="","",IF(AND(E77&lt;&gt;"已完成",ISNUMBER(G77),G77&lt;='项目驾驶舱'!$B$3+14),"是","否"))</f>
        <v/>
      </c>
      <c r="B77" s="124">
        <f>'项目总控台账'!A76</f>
        <v/>
      </c>
      <c r="C77" s="124">
        <f>IF(AND('项目总控台账'!E76&lt;&gt;"",'项目总控台账'!E76&lt;&gt;"/"),'项目总控台账'!E76,IF(AND('项目总控台账'!D76&lt;&gt;"",'项目总控台账'!D76&lt;&gt;"/"),'项目总控台账'!D76,'项目总控台账'!C76))</f>
        <v/>
      </c>
      <c r="D77" s="124">
        <f>'项目总控台账'!F76</f>
        <v/>
      </c>
      <c r="E77" s="124">
        <f>'项目总控台账'!G76</f>
        <v/>
      </c>
      <c r="F77" s="124">
        <f>'项目总控台账'!H76</f>
        <v/>
      </c>
      <c r="G77" s="125">
        <f>'项目总控台账'!J76</f>
        <v/>
      </c>
      <c r="H77" s="124">
        <f>IF(G77="","",G77-'项目驾驶舱'!$B$3)</f>
        <v/>
      </c>
      <c r="I77" s="124">
        <f>'项目总控台账'!AC76</f>
        <v/>
      </c>
      <c r="J77" s="124">
        <f>'项目总控台账'!AD76</f>
        <v/>
      </c>
      <c r="K77" s="124">
        <f>IF(A77&lt;&gt;"是","",IF(OR(E77="暂停",E77="挂起"),"确认暂停原因、恢复条件和责任人",IF(H77&lt;0,"立即确认延期原因、影响及补救计划",IF(H77&lt;=7,"本周确认交付承诺和完成证据","提前检查依赖与风险"))))</f>
        <v/>
      </c>
      <c r="L77" s="126" t="n"/>
      <c r="M77" s="127" t="n"/>
    </row>
    <row r="78">
      <c r="A78" s="124">
        <f>IF(B78="","",IF(AND(E78&lt;&gt;"已完成",ISNUMBER(G78),G78&lt;='项目驾驶舱'!$B$3+14),"是","否"))</f>
        <v/>
      </c>
      <c r="B78" s="124">
        <f>'项目总控台账'!A77</f>
        <v/>
      </c>
      <c r="C78" s="124">
        <f>IF(AND('项目总控台账'!E77&lt;&gt;"",'项目总控台账'!E77&lt;&gt;"/"),'项目总控台账'!E77,IF(AND('项目总控台账'!D77&lt;&gt;"",'项目总控台账'!D77&lt;&gt;"/"),'项目总控台账'!D77,'项目总控台账'!C77))</f>
        <v/>
      </c>
      <c r="D78" s="124">
        <f>'项目总控台账'!F77</f>
        <v/>
      </c>
      <c r="E78" s="124">
        <f>'项目总控台账'!G77</f>
        <v/>
      </c>
      <c r="F78" s="124">
        <f>'项目总控台账'!H77</f>
        <v/>
      </c>
      <c r="G78" s="125">
        <f>'项目总控台账'!J77</f>
        <v/>
      </c>
      <c r="H78" s="124">
        <f>IF(G78="","",G78-'项目驾驶舱'!$B$3)</f>
        <v/>
      </c>
      <c r="I78" s="124">
        <f>'项目总控台账'!AC77</f>
        <v/>
      </c>
      <c r="J78" s="124">
        <f>'项目总控台账'!AD77</f>
        <v/>
      </c>
      <c r="K78" s="124">
        <f>IF(A78&lt;&gt;"是","",IF(OR(E78="暂停",E78="挂起"),"确认暂停原因、恢复条件和责任人",IF(H78&lt;0,"立即确认延期原因、影响及补救计划",IF(H78&lt;=7,"本周确认交付承诺和完成证据","提前检查依赖与风险"))))</f>
        <v/>
      </c>
      <c r="L78" s="126" t="n"/>
      <c r="M78" s="127" t="n"/>
    </row>
    <row r="79">
      <c r="A79" s="124">
        <f>IF(B79="","",IF(AND(E79&lt;&gt;"已完成",ISNUMBER(G79),G79&lt;='项目驾驶舱'!$B$3+14),"是","否"))</f>
        <v/>
      </c>
      <c r="B79" s="124">
        <f>'项目总控台账'!A78</f>
        <v/>
      </c>
      <c r="C79" s="124">
        <f>IF(AND('项目总控台账'!E78&lt;&gt;"",'项目总控台账'!E78&lt;&gt;"/"),'项目总控台账'!E78,IF(AND('项目总控台账'!D78&lt;&gt;"",'项目总控台账'!D78&lt;&gt;"/"),'项目总控台账'!D78,'项目总控台账'!C78))</f>
        <v/>
      </c>
      <c r="D79" s="124">
        <f>'项目总控台账'!F78</f>
        <v/>
      </c>
      <c r="E79" s="124">
        <f>'项目总控台账'!G78</f>
        <v/>
      </c>
      <c r="F79" s="124">
        <f>'项目总控台账'!H78</f>
        <v/>
      </c>
      <c r="G79" s="125">
        <f>'项目总控台账'!J78</f>
        <v/>
      </c>
      <c r="H79" s="124">
        <f>IF(G79="","",G79-'项目驾驶舱'!$B$3)</f>
        <v/>
      </c>
      <c r="I79" s="124">
        <f>'项目总控台账'!AC78</f>
        <v/>
      </c>
      <c r="J79" s="124">
        <f>'项目总控台账'!AD78</f>
        <v/>
      </c>
      <c r="K79" s="124">
        <f>IF(A79&lt;&gt;"是","",IF(OR(E79="暂停",E79="挂起"),"确认暂停原因、恢复条件和责任人",IF(H79&lt;0,"立即确认延期原因、影响及补救计划",IF(H79&lt;=7,"本周确认交付承诺和完成证据","提前检查依赖与风险"))))</f>
        <v/>
      </c>
      <c r="L79" s="126" t="n"/>
      <c r="M79" s="127" t="n"/>
    </row>
    <row r="80">
      <c r="A80" s="124">
        <f>IF(B80="","",IF(AND(E80&lt;&gt;"已完成",ISNUMBER(G80),G80&lt;='项目驾驶舱'!$B$3+14),"是","否"))</f>
        <v/>
      </c>
      <c r="B80" s="124">
        <f>'项目总控台账'!A79</f>
        <v/>
      </c>
      <c r="C80" s="124">
        <f>IF(AND('项目总控台账'!E79&lt;&gt;"",'项目总控台账'!E79&lt;&gt;"/"),'项目总控台账'!E79,IF(AND('项目总控台账'!D79&lt;&gt;"",'项目总控台账'!D79&lt;&gt;"/"),'项目总控台账'!D79,'项目总控台账'!C79))</f>
        <v/>
      </c>
      <c r="D80" s="124">
        <f>'项目总控台账'!F79</f>
        <v/>
      </c>
      <c r="E80" s="124">
        <f>'项目总控台账'!G79</f>
        <v/>
      </c>
      <c r="F80" s="124">
        <f>'项目总控台账'!H79</f>
        <v/>
      </c>
      <c r="G80" s="125">
        <f>'项目总控台账'!J79</f>
        <v/>
      </c>
      <c r="H80" s="124">
        <f>IF(G80="","",G80-'项目驾驶舱'!$B$3)</f>
        <v/>
      </c>
      <c r="I80" s="124">
        <f>'项目总控台账'!AC79</f>
        <v/>
      </c>
      <c r="J80" s="124">
        <f>'项目总控台账'!AD79</f>
        <v/>
      </c>
      <c r="K80" s="124">
        <f>IF(A80&lt;&gt;"是","",IF(OR(E80="暂停",E80="挂起"),"确认暂停原因、恢复条件和责任人",IF(H80&lt;0,"立即确认延期原因、影响及补救计划",IF(H80&lt;=7,"本周确认交付承诺和完成证据","提前检查依赖与风险"))))</f>
        <v/>
      </c>
      <c r="L80" s="126" t="n"/>
      <c r="M80" s="127" t="n"/>
    </row>
    <row r="81">
      <c r="A81" s="124">
        <f>IF(B81="","",IF(AND(E81&lt;&gt;"已完成",ISNUMBER(G81),G81&lt;='项目驾驶舱'!$B$3+14),"是","否"))</f>
        <v/>
      </c>
      <c r="B81" s="124">
        <f>'项目总控台账'!A80</f>
        <v/>
      </c>
      <c r="C81" s="124">
        <f>IF(AND('项目总控台账'!E80&lt;&gt;"",'项目总控台账'!E80&lt;&gt;"/"),'项目总控台账'!E80,IF(AND('项目总控台账'!D80&lt;&gt;"",'项目总控台账'!D80&lt;&gt;"/"),'项目总控台账'!D80,'项目总控台账'!C80))</f>
        <v/>
      </c>
      <c r="D81" s="124">
        <f>'项目总控台账'!F80</f>
        <v/>
      </c>
      <c r="E81" s="124">
        <f>'项目总控台账'!G80</f>
        <v/>
      </c>
      <c r="F81" s="124">
        <f>'项目总控台账'!H80</f>
        <v/>
      </c>
      <c r="G81" s="125">
        <f>'项目总控台账'!J80</f>
        <v/>
      </c>
      <c r="H81" s="124">
        <f>IF(G81="","",G81-'项目驾驶舱'!$B$3)</f>
        <v/>
      </c>
      <c r="I81" s="124">
        <f>'项目总控台账'!AC80</f>
        <v/>
      </c>
      <c r="J81" s="124">
        <f>'项目总控台账'!AD80</f>
        <v/>
      </c>
      <c r="K81" s="124">
        <f>IF(A81&lt;&gt;"是","",IF(OR(E81="暂停",E81="挂起"),"确认暂停原因、恢复条件和责任人",IF(H81&lt;0,"立即确认延期原因、影响及补救计划",IF(H81&lt;=7,"本周确认交付承诺和完成证据","提前检查依赖与风险"))))</f>
        <v/>
      </c>
      <c r="L81" s="126" t="n"/>
      <c r="M81" s="127" t="n"/>
    </row>
    <row r="82">
      <c r="A82" s="124">
        <f>IF(B82="","",IF(AND(E82&lt;&gt;"已完成",ISNUMBER(G82),G82&lt;='项目驾驶舱'!$B$3+14),"是","否"))</f>
        <v/>
      </c>
      <c r="B82" s="124">
        <f>'项目总控台账'!A81</f>
        <v/>
      </c>
      <c r="C82" s="124">
        <f>IF(AND('项目总控台账'!E81&lt;&gt;"",'项目总控台账'!E81&lt;&gt;"/"),'项目总控台账'!E81,IF(AND('项目总控台账'!D81&lt;&gt;"",'项目总控台账'!D81&lt;&gt;"/"),'项目总控台账'!D81,'项目总控台账'!C81))</f>
        <v/>
      </c>
      <c r="D82" s="124">
        <f>'项目总控台账'!F81</f>
        <v/>
      </c>
      <c r="E82" s="124">
        <f>'项目总控台账'!G81</f>
        <v/>
      </c>
      <c r="F82" s="124">
        <f>'项目总控台账'!H81</f>
        <v/>
      </c>
      <c r="G82" s="125">
        <f>'项目总控台账'!J81</f>
        <v/>
      </c>
      <c r="H82" s="124">
        <f>IF(G82="","",G82-'项目驾驶舱'!$B$3)</f>
        <v/>
      </c>
      <c r="I82" s="124">
        <f>'项目总控台账'!AC81</f>
        <v/>
      </c>
      <c r="J82" s="124">
        <f>'项目总控台账'!AD81</f>
        <v/>
      </c>
      <c r="K82" s="124">
        <f>IF(A82&lt;&gt;"是","",IF(OR(E82="暂停",E82="挂起"),"确认暂停原因、恢复条件和责任人",IF(H82&lt;0,"立即确认延期原因、影响及补救计划",IF(H82&lt;=7,"本周确认交付承诺和完成证据","提前检查依赖与风险"))))</f>
        <v/>
      </c>
      <c r="L82" s="126" t="n"/>
      <c r="M82" s="127" t="n"/>
    </row>
    <row r="83">
      <c r="A83" s="124">
        <f>IF(B83="","",IF(AND(E83&lt;&gt;"已完成",ISNUMBER(G83),G83&lt;='项目驾驶舱'!$B$3+14),"是","否"))</f>
        <v/>
      </c>
      <c r="B83" s="124">
        <f>'项目总控台账'!A82</f>
        <v/>
      </c>
      <c r="C83" s="124">
        <f>IF(AND('项目总控台账'!E82&lt;&gt;"",'项目总控台账'!E82&lt;&gt;"/"),'项目总控台账'!E82,IF(AND('项目总控台账'!D82&lt;&gt;"",'项目总控台账'!D82&lt;&gt;"/"),'项目总控台账'!D82,'项目总控台账'!C82))</f>
        <v/>
      </c>
      <c r="D83" s="124">
        <f>'项目总控台账'!F82</f>
        <v/>
      </c>
      <c r="E83" s="124">
        <f>'项目总控台账'!G82</f>
        <v/>
      </c>
      <c r="F83" s="124">
        <f>'项目总控台账'!H82</f>
        <v/>
      </c>
      <c r="G83" s="125">
        <f>'项目总控台账'!J82</f>
        <v/>
      </c>
      <c r="H83" s="124">
        <f>IF(G83="","",G83-'项目驾驶舱'!$B$3)</f>
        <v/>
      </c>
      <c r="I83" s="124">
        <f>'项目总控台账'!AC82</f>
        <v/>
      </c>
      <c r="J83" s="124">
        <f>'项目总控台账'!AD82</f>
        <v/>
      </c>
      <c r="K83" s="124">
        <f>IF(A83&lt;&gt;"是","",IF(OR(E83="暂停",E83="挂起"),"确认暂停原因、恢复条件和责任人",IF(H83&lt;0,"立即确认延期原因、影响及补救计划",IF(H83&lt;=7,"本周确认交付承诺和完成证据","提前检查依赖与风险"))))</f>
        <v/>
      </c>
      <c r="L83" s="126" t="n"/>
      <c r="M83" s="127" t="n"/>
    </row>
    <row r="84">
      <c r="A84" s="124">
        <f>IF(B84="","",IF(AND(E84&lt;&gt;"已完成",ISNUMBER(G84),G84&lt;='项目驾驶舱'!$B$3+14),"是","否"))</f>
        <v/>
      </c>
      <c r="B84" s="124">
        <f>'项目总控台账'!A83</f>
        <v/>
      </c>
      <c r="C84" s="124">
        <f>IF(AND('项目总控台账'!E83&lt;&gt;"",'项目总控台账'!E83&lt;&gt;"/"),'项目总控台账'!E83,IF(AND('项目总控台账'!D83&lt;&gt;"",'项目总控台账'!D83&lt;&gt;"/"),'项目总控台账'!D83,'项目总控台账'!C83))</f>
        <v/>
      </c>
      <c r="D84" s="124">
        <f>'项目总控台账'!F83</f>
        <v/>
      </c>
      <c r="E84" s="124">
        <f>'项目总控台账'!G83</f>
        <v/>
      </c>
      <c r="F84" s="124">
        <f>'项目总控台账'!H83</f>
        <v/>
      </c>
      <c r="G84" s="125">
        <f>'项目总控台账'!J83</f>
        <v/>
      </c>
      <c r="H84" s="124">
        <f>IF(G84="","",G84-'项目驾驶舱'!$B$3)</f>
        <v/>
      </c>
      <c r="I84" s="124">
        <f>'项目总控台账'!AC83</f>
        <v/>
      </c>
      <c r="J84" s="124">
        <f>'项目总控台账'!AD83</f>
        <v/>
      </c>
      <c r="K84" s="124">
        <f>IF(A84&lt;&gt;"是","",IF(OR(E84="暂停",E84="挂起"),"确认暂停原因、恢复条件和责任人",IF(H84&lt;0,"立即确认延期原因、影响及补救计划",IF(H84&lt;=7,"本周确认交付承诺和完成证据","提前检查依赖与风险"))))</f>
        <v/>
      </c>
      <c r="L84" s="126" t="n"/>
      <c r="M84" s="127" t="n"/>
    </row>
    <row r="85">
      <c r="A85" s="124">
        <f>IF(B85="","",IF(AND(E85&lt;&gt;"已完成",ISNUMBER(G85),G85&lt;='项目驾驶舱'!$B$3+14),"是","否"))</f>
        <v/>
      </c>
      <c r="B85" s="124">
        <f>'项目总控台账'!A84</f>
        <v/>
      </c>
      <c r="C85" s="124">
        <f>IF(AND('项目总控台账'!E84&lt;&gt;"",'项目总控台账'!E84&lt;&gt;"/"),'项目总控台账'!E84,IF(AND('项目总控台账'!D84&lt;&gt;"",'项目总控台账'!D84&lt;&gt;"/"),'项目总控台账'!D84,'项目总控台账'!C84))</f>
        <v/>
      </c>
      <c r="D85" s="124">
        <f>'项目总控台账'!F84</f>
        <v/>
      </c>
      <c r="E85" s="124">
        <f>'项目总控台账'!G84</f>
        <v/>
      </c>
      <c r="F85" s="124">
        <f>'项目总控台账'!H84</f>
        <v/>
      </c>
      <c r="G85" s="125">
        <f>'项目总控台账'!J84</f>
        <v/>
      </c>
      <c r="H85" s="124">
        <f>IF(G85="","",G85-'项目驾驶舱'!$B$3)</f>
        <v/>
      </c>
      <c r="I85" s="124">
        <f>'项目总控台账'!AC84</f>
        <v/>
      </c>
      <c r="J85" s="124">
        <f>'项目总控台账'!AD84</f>
        <v/>
      </c>
      <c r="K85" s="124">
        <f>IF(A85&lt;&gt;"是","",IF(OR(E85="暂停",E85="挂起"),"确认暂停原因、恢复条件和责任人",IF(H85&lt;0,"立即确认延期原因、影响及补救计划",IF(H85&lt;=7,"本周确认交付承诺和完成证据","提前检查依赖与风险"))))</f>
        <v/>
      </c>
      <c r="L85" s="126" t="n"/>
      <c r="M85" s="127" t="n"/>
    </row>
    <row r="86">
      <c r="A86" s="124">
        <f>IF(B86="","",IF(AND(E86&lt;&gt;"已完成",ISNUMBER(G86),G86&lt;='项目驾驶舱'!$B$3+14),"是","否"))</f>
        <v/>
      </c>
      <c r="B86" s="124">
        <f>'项目总控台账'!A85</f>
        <v/>
      </c>
      <c r="C86" s="124">
        <f>IF(AND('项目总控台账'!E85&lt;&gt;"",'项目总控台账'!E85&lt;&gt;"/"),'项目总控台账'!E85,IF(AND('项目总控台账'!D85&lt;&gt;"",'项目总控台账'!D85&lt;&gt;"/"),'项目总控台账'!D85,'项目总控台账'!C85))</f>
        <v/>
      </c>
      <c r="D86" s="124">
        <f>'项目总控台账'!F85</f>
        <v/>
      </c>
      <c r="E86" s="124">
        <f>'项目总控台账'!G85</f>
        <v/>
      </c>
      <c r="F86" s="124">
        <f>'项目总控台账'!H85</f>
        <v/>
      </c>
      <c r="G86" s="125">
        <f>'项目总控台账'!J85</f>
        <v/>
      </c>
      <c r="H86" s="124">
        <f>IF(G86="","",G86-'项目驾驶舱'!$B$3)</f>
        <v/>
      </c>
      <c r="I86" s="124">
        <f>'项目总控台账'!AC85</f>
        <v/>
      </c>
      <c r="J86" s="124">
        <f>'项目总控台账'!AD85</f>
        <v/>
      </c>
      <c r="K86" s="124">
        <f>IF(A86&lt;&gt;"是","",IF(OR(E86="暂停",E86="挂起"),"确认暂停原因、恢复条件和责任人",IF(H86&lt;0,"立即确认延期原因、影响及补救计划",IF(H86&lt;=7,"本周确认交付承诺和完成证据","提前检查依赖与风险"))))</f>
        <v/>
      </c>
      <c r="L86" s="126" t="n"/>
      <c r="M86" s="127" t="n"/>
    </row>
    <row r="87">
      <c r="A87" s="124">
        <f>IF(B87="","",IF(AND(E87&lt;&gt;"已完成",ISNUMBER(G87),G87&lt;='项目驾驶舱'!$B$3+14),"是","否"))</f>
        <v/>
      </c>
      <c r="B87" s="124">
        <f>'项目总控台账'!A86</f>
        <v/>
      </c>
      <c r="C87" s="124">
        <f>IF(AND('项目总控台账'!E86&lt;&gt;"",'项目总控台账'!E86&lt;&gt;"/"),'项目总控台账'!E86,IF(AND('项目总控台账'!D86&lt;&gt;"",'项目总控台账'!D86&lt;&gt;"/"),'项目总控台账'!D86,'项目总控台账'!C86))</f>
        <v/>
      </c>
      <c r="D87" s="124">
        <f>'项目总控台账'!F86</f>
        <v/>
      </c>
      <c r="E87" s="124">
        <f>'项目总控台账'!G86</f>
        <v/>
      </c>
      <c r="F87" s="124">
        <f>'项目总控台账'!H86</f>
        <v/>
      </c>
      <c r="G87" s="125">
        <f>'项目总控台账'!J86</f>
        <v/>
      </c>
      <c r="H87" s="124">
        <f>IF(G87="","",G87-'项目驾驶舱'!$B$3)</f>
        <v/>
      </c>
      <c r="I87" s="124">
        <f>'项目总控台账'!AC86</f>
        <v/>
      </c>
      <c r="J87" s="124">
        <f>'项目总控台账'!AD86</f>
        <v/>
      </c>
      <c r="K87" s="124">
        <f>IF(A87&lt;&gt;"是","",IF(OR(E87="暂停",E87="挂起"),"确认暂停原因、恢复条件和责任人",IF(H87&lt;0,"立即确认延期原因、影响及补救计划",IF(H87&lt;=7,"本周确认交付承诺和完成证据","提前检查依赖与风险"))))</f>
        <v/>
      </c>
      <c r="L87" s="126" t="n"/>
      <c r="M87" s="127" t="n"/>
    </row>
    <row r="88">
      <c r="A88" s="124">
        <f>IF(B88="","",IF(AND(E88&lt;&gt;"已完成",ISNUMBER(G88),G88&lt;='项目驾驶舱'!$B$3+14),"是","否"))</f>
        <v/>
      </c>
      <c r="B88" s="124">
        <f>'项目总控台账'!A87</f>
        <v/>
      </c>
      <c r="C88" s="124">
        <f>IF(AND('项目总控台账'!E87&lt;&gt;"",'项目总控台账'!E87&lt;&gt;"/"),'项目总控台账'!E87,IF(AND('项目总控台账'!D87&lt;&gt;"",'项目总控台账'!D87&lt;&gt;"/"),'项目总控台账'!D87,'项目总控台账'!C87))</f>
        <v/>
      </c>
      <c r="D88" s="124">
        <f>'项目总控台账'!F87</f>
        <v/>
      </c>
      <c r="E88" s="124">
        <f>'项目总控台账'!G87</f>
        <v/>
      </c>
      <c r="F88" s="124">
        <f>'项目总控台账'!H87</f>
        <v/>
      </c>
      <c r="G88" s="125">
        <f>'项目总控台账'!J87</f>
        <v/>
      </c>
      <c r="H88" s="124">
        <f>IF(G88="","",G88-'项目驾驶舱'!$B$3)</f>
        <v/>
      </c>
      <c r="I88" s="124">
        <f>'项目总控台账'!AC87</f>
        <v/>
      </c>
      <c r="J88" s="124">
        <f>'项目总控台账'!AD87</f>
        <v/>
      </c>
      <c r="K88" s="124">
        <f>IF(A88&lt;&gt;"是","",IF(OR(E88="暂停",E88="挂起"),"确认暂停原因、恢复条件和责任人",IF(H88&lt;0,"立即确认延期原因、影响及补救计划",IF(H88&lt;=7,"本周确认交付承诺和完成证据","提前检查依赖与风险"))))</f>
        <v/>
      </c>
      <c r="L88" s="126" t="n"/>
      <c r="M88" s="127" t="n"/>
    </row>
    <row r="89">
      <c r="A89" s="124">
        <f>IF(B89="","",IF(AND(E89&lt;&gt;"已完成",ISNUMBER(G89),G89&lt;='项目驾驶舱'!$B$3+14),"是","否"))</f>
        <v/>
      </c>
      <c r="B89" s="124">
        <f>'项目总控台账'!A88</f>
        <v/>
      </c>
      <c r="C89" s="124">
        <f>IF(AND('项目总控台账'!E88&lt;&gt;"",'项目总控台账'!E88&lt;&gt;"/"),'项目总控台账'!E88,IF(AND('项目总控台账'!D88&lt;&gt;"",'项目总控台账'!D88&lt;&gt;"/"),'项目总控台账'!D88,'项目总控台账'!C88))</f>
        <v/>
      </c>
      <c r="D89" s="124">
        <f>'项目总控台账'!F88</f>
        <v/>
      </c>
      <c r="E89" s="124">
        <f>'项目总控台账'!G88</f>
        <v/>
      </c>
      <c r="F89" s="124">
        <f>'项目总控台账'!H88</f>
        <v/>
      </c>
      <c r="G89" s="125">
        <f>'项目总控台账'!J88</f>
        <v/>
      </c>
      <c r="H89" s="124">
        <f>IF(G89="","",G89-'项目驾驶舱'!$B$3)</f>
        <v/>
      </c>
      <c r="I89" s="124">
        <f>'项目总控台账'!AC88</f>
        <v/>
      </c>
      <c r="J89" s="124">
        <f>'项目总控台账'!AD88</f>
        <v/>
      </c>
      <c r="K89" s="124">
        <f>IF(A89&lt;&gt;"是","",IF(OR(E89="暂停",E89="挂起"),"确认暂停原因、恢复条件和责任人",IF(H89&lt;0,"立即确认延期原因、影响及补救计划",IF(H89&lt;=7,"本周确认交付承诺和完成证据","提前检查依赖与风险"))))</f>
        <v/>
      </c>
      <c r="L89" s="126" t="n"/>
      <c r="M89" s="127" t="n"/>
    </row>
    <row r="90">
      <c r="A90" s="124">
        <f>IF(B90="","",IF(AND(E90&lt;&gt;"已完成",ISNUMBER(G90),G90&lt;='项目驾驶舱'!$B$3+14),"是","否"))</f>
        <v/>
      </c>
      <c r="B90" s="124">
        <f>'项目总控台账'!A89</f>
        <v/>
      </c>
      <c r="C90" s="124">
        <f>IF(AND('项目总控台账'!E89&lt;&gt;"",'项目总控台账'!E89&lt;&gt;"/"),'项目总控台账'!E89,IF(AND('项目总控台账'!D89&lt;&gt;"",'项目总控台账'!D89&lt;&gt;"/"),'项目总控台账'!D89,'项目总控台账'!C89))</f>
        <v/>
      </c>
      <c r="D90" s="124">
        <f>'项目总控台账'!F89</f>
        <v/>
      </c>
      <c r="E90" s="124">
        <f>'项目总控台账'!G89</f>
        <v/>
      </c>
      <c r="F90" s="124">
        <f>'项目总控台账'!H89</f>
        <v/>
      </c>
      <c r="G90" s="125">
        <f>'项目总控台账'!J89</f>
        <v/>
      </c>
      <c r="H90" s="124">
        <f>IF(G90="","",G90-'项目驾驶舱'!$B$3)</f>
        <v/>
      </c>
      <c r="I90" s="124">
        <f>'项目总控台账'!AC89</f>
        <v/>
      </c>
      <c r="J90" s="124">
        <f>'项目总控台账'!AD89</f>
        <v/>
      </c>
      <c r="K90" s="124">
        <f>IF(A90&lt;&gt;"是","",IF(OR(E90="暂停",E90="挂起"),"确认暂停原因、恢复条件和责任人",IF(H90&lt;0,"立即确认延期原因、影响及补救计划",IF(H90&lt;=7,"本周确认交付承诺和完成证据","提前检查依赖与风险"))))</f>
        <v/>
      </c>
      <c r="L90" s="126" t="n"/>
      <c r="M90" s="127" t="n"/>
    </row>
    <row r="91">
      <c r="A91" s="124">
        <f>IF(B91="","",IF(AND(E91&lt;&gt;"已完成",ISNUMBER(G91),G91&lt;='项目驾驶舱'!$B$3+14),"是","否"))</f>
        <v/>
      </c>
      <c r="B91" s="124">
        <f>'项目总控台账'!A90</f>
        <v/>
      </c>
      <c r="C91" s="124">
        <f>IF(AND('项目总控台账'!E90&lt;&gt;"",'项目总控台账'!E90&lt;&gt;"/"),'项目总控台账'!E90,IF(AND('项目总控台账'!D90&lt;&gt;"",'项目总控台账'!D90&lt;&gt;"/"),'项目总控台账'!D90,'项目总控台账'!C90))</f>
        <v/>
      </c>
      <c r="D91" s="124">
        <f>'项目总控台账'!F90</f>
        <v/>
      </c>
      <c r="E91" s="124">
        <f>'项目总控台账'!G90</f>
        <v/>
      </c>
      <c r="F91" s="124">
        <f>'项目总控台账'!H90</f>
        <v/>
      </c>
      <c r="G91" s="125">
        <f>'项目总控台账'!J90</f>
        <v/>
      </c>
      <c r="H91" s="124">
        <f>IF(G91="","",G91-'项目驾驶舱'!$B$3)</f>
        <v/>
      </c>
      <c r="I91" s="124">
        <f>'项目总控台账'!AC90</f>
        <v/>
      </c>
      <c r="J91" s="124">
        <f>'项目总控台账'!AD90</f>
        <v/>
      </c>
      <c r="K91" s="124">
        <f>IF(A91&lt;&gt;"是","",IF(OR(E91="暂停",E91="挂起"),"确认暂停原因、恢复条件和责任人",IF(H91&lt;0,"立即确认延期原因、影响及补救计划",IF(H91&lt;=7,"本周确认交付承诺和完成证据","提前检查依赖与风险"))))</f>
        <v/>
      </c>
      <c r="L91" s="126" t="n"/>
      <c r="M91" s="127" t="n"/>
    </row>
    <row r="92">
      <c r="A92" s="124">
        <f>IF(B92="","",IF(AND(E92&lt;&gt;"已完成",ISNUMBER(G92),G92&lt;='项目驾驶舱'!$B$3+14),"是","否"))</f>
        <v/>
      </c>
      <c r="B92" s="124">
        <f>'项目总控台账'!A91</f>
        <v/>
      </c>
      <c r="C92" s="124">
        <f>IF(AND('项目总控台账'!E91&lt;&gt;"",'项目总控台账'!E91&lt;&gt;"/"),'项目总控台账'!E91,IF(AND('项目总控台账'!D91&lt;&gt;"",'项目总控台账'!D91&lt;&gt;"/"),'项目总控台账'!D91,'项目总控台账'!C91))</f>
        <v/>
      </c>
      <c r="D92" s="124">
        <f>'项目总控台账'!F91</f>
        <v/>
      </c>
      <c r="E92" s="124">
        <f>'项目总控台账'!G91</f>
        <v/>
      </c>
      <c r="F92" s="124">
        <f>'项目总控台账'!H91</f>
        <v/>
      </c>
      <c r="G92" s="125">
        <f>'项目总控台账'!J91</f>
        <v/>
      </c>
      <c r="H92" s="124">
        <f>IF(G92="","",G92-'项目驾驶舱'!$B$3)</f>
        <v/>
      </c>
      <c r="I92" s="124">
        <f>'项目总控台账'!AC91</f>
        <v/>
      </c>
      <c r="J92" s="124">
        <f>'项目总控台账'!AD91</f>
        <v/>
      </c>
      <c r="K92" s="124">
        <f>IF(A92&lt;&gt;"是","",IF(OR(E92="暂停",E92="挂起"),"确认暂停原因、恢复条件和责任人",IF(H92&lt;0,"立即确认延期原因、影响及补救计划",IF(H92&lt;=7,"本周确认交付承诺和完成证据","提前检查依赖与风险"))))</f>
        <v/>
      </c>
      <c r="L92" s="126" t="n"/>
      <c r="M92" s="127" t="n"/>
    </row>
    <row r="93">
      <c r="A93" s="124">
        <f>IF(B93="","",IF(AND(E93&lt;&gt;"已完成",ISNUMBER(G93),G93&lt;='项目驾驶舱'!$B$3+14),"是","否"))</f>
        <v/>
      </c>
      <c r="B93" s="124">
        <f>'项目总控台账'!A92</f>
        <v/>
      </c>
      <c r="C93" s="124">
        <f>IF(AND('项目总控台账'!E92&lt;&gt;"",'项目总控台账'!E92&lt;&gt;"/"),'项目总控台账'!E92,IF(AND('项目总控台账'!D92&lt;&gt;"",'项目总控台账'!D92&lt;&gt;"/"),'项目总控台账'!D92,'项目总控台账'!C92))</f>
        <v/>
      </c>
      <c r="D93" s="124">
        <f>'项目总控台账'!F92</f>
        <v/>
      </c>
      <c r="E93" s="124">
        <f>'项目总控台账'!G92</f>
        <v/>
      </c>
      <c r="F93" s="124">
        <f>'项目总控台账'!H92</f>
        <v/>
      </c>
      <c r="G93" s="125">
        <f>'项目总控台账'!J92</f>
        <v/>
      </c>
      <c r="H93" s="124">
        <f>IF(G93="","",G93-'项目驾驶舱'!$B$3)</f>
        <v/>
      </c>
      <c r="I93" s="124">
        <f>'项目总控台账'!AC92</f>
        <v/>
      </c>
      <c r="J93" s="124">
        <f>'项目总控台账'!AD92</f>
        <v/>
      </c>
      <c r="K93" s="124">
        <f>IF(A93&lt;&gt;"是","",IF(OR(E93="暂停",E93="挂起"),"确认暂停原因、恢复条件和责任人",IF(H93&lt;0,"立即确认延期原因、影响及补救计划",IF(H93&lt;=7,"本周确认交付承诺和完成证据","提前检查依赖与风险"))))</f>
        <v/>
      </c>
      <c r="L93" s="126" t="n"/>
      <c r="M93" s="127" t="n"/>
    </row>
    <row r="94">
      <c r="A94" s="124">
        <f>IF(B94="","",IF(AND(E94&lt;&gt;"已完成",ISNUMBER(G94),G94&lt;='项目驾驶舱'!$B$3+14),"是","否"))</f>
        <v/>
      </c>
      <c r="B94" s="124">
        <f>'项目总控台账'!A93</f>
        <v/>
      </c>
      <c r="C94" s="124">
        <f>IF(AND('项目总控台账'!E93&lt;&gt;"",'项目总控台账'!E93&lt;&gt;"/"),'项目总控台账'!E93,IF(AND('项目总控台账'!D93&lt;&gt;"",'项目总控台账'!D93&lt;&gt;"/"),'项目总控台账'!D93,'项目总控台账'!C93))</f>
        <v/>
      </c>
      <c r="D94" s="124">
        <f>'项目总控台账'!F93</f>
        <v/>
      </c>
      <c r="E94" s="124">
        <f>'项目总控台账'!G93</f>
        <v/>
      </c>
      <c r="F94" s="124">
        <f>'项目总控台账'!H93</f>
        <v/>
      </c>
      <c r="G94" s="125">
        <f>'项目总控台账'!J93</f>
        <v/>
      </c>
      <c r="H94" s="124">
        <f>IF(G94="","",G94-'项目驾驶舱'!$B$3)</f>
        <v/>
      </c>
      <c r="I94" s="124">
        <f>'项目总控台账'!AC93</f>
        <v/>
      </c>
      <c r="J94" s="124">
        <f>'项目总控台账'!AD93</f>
        <v/>
      </c>
      <c r="K94" s="124">
        <f>IF(A94&lt;&gt;"是","",IF(OR(E94="暂停",E94="挂起"),"确认暂停原因、恢复条件和责任人",IF(H94&lt;0,"立即确认延期原因、影响及补救计划",IF(H94&lt;=7,"本周确认交付承诺和完成证据","提前检查依赖与风险"))))</f>
        <v/>
      </c>
      <c r="L94" s="126" t="n"/>
      <c r="M94" s="127" t="n"/>
    </row>
    <row r="95">
      <c r="A95" s="124">
        <f>IF(B95="","",IF(AND(E95&lt;&gt;"已完成",ISNUMBER(G95),G95&lt;='项目驾驶舱'!$B$3+14),"是","否"))</f>
        <v/>
      </c>
      <c r="B95" s="124">
        <f>'项目总控台账'!A94</f>
        <v/>
      </c>
      <c r="C95" s="124">
        <f>IF(AND('项目总控台账'!E94&lt;&gt;"",'项目总控台账'!E94&lt;&gt;"/"),'项目总控台账'!E94,IF(AND('项目总控台账'!D94&lt;&gt;"",'项目总控台账'!D94&lt;&gt;"/"),'项目总控台账'!D94,'项目总控台账'!C94))</f>
        <v/>
      </c>
      <c r="D95" s="124">
        <f>'项目总控台账'!F94</f>
        <v/>
      </c>
      <c r="E95" s="124">
        <f>'项目总控台账'!G94</f>
        <v/>
      </c>
      <c r="F95" s="124">
        <f>'项目总控台账'!H94</f>
        <v/>
      </c>
      <c r="G95" s="125">
        <f>'项目总控台账'!J94</f>
        <v/>
      </c>
      <c r="H95" s="124">
        <f>IF(G95="","",G95-'项目驾驶舱'!$B$3)</f>
        <v/>
      </c>
      <c r="I95" s="124">
        <f>'项目总控台账'!AC94</f>
        <v/>
      </c>
      <c r="J95" s="124">
        <f>'项目总控台账'!AD94</f>
        <v/>
      </c>
      <c r="K95" s="124">
        <f>IF(A95&lt;&gt;"是","",IF(OR(E95="暂停",E95="挂起"),"确认暂停原因、恢复条件和责任人",IF(H95&lt;0,"立即确认延期原因、影响及补救计划",IF(H95&lt;=7,"本周确认交付承诺和完成证据","提前检查依赖与风险"))))</f>
        <v/>
      </c>
      <c r="L95" s="126" t="n"/>
      <c r="M95" s="127" t="n"/>
    </row>
    <row r="96">
      <c r="A96" s="124">
        <f>IF(B96="","",IF(AND(E96&lt;&gt;"已完成",ISNUMBER(G96),G96&lt;='项目驾驶舱'!$B$3+14),"是","否"))</f>
        <v/>
      </c>
      <c r="B96" s="124">
        <f>'项目总控台账'!A95</f>
        <v/>
      </c>
      <c r="C96" s="124">
        <f>IF(AND('项目总控台账'!E95&lt;&gt;"",'项目总控台账'!E95&lt;&gt;"/"),'项目总控台账'!E95,IF(AND('项目总控台账'!D95&lt;&gt;"",'项目总控台账'!D95&lt;&gt;"/"),'项目总控台账'!D95,'项目总控台账'!C95))</f>
        <v/>
      </c>
      <c r="D96" s="124">
        <f>'项目总控台账'!F95</f>
        <v/>
      </c>
      <c r="E96" s="124">
        <f>'项目总控台账'!G95</f>
        <v/>
      </c>
      <c r="F96" s="124">
        <f>'项目总控台账'!H95</f>
        <v/>
      </c>
      <c r="G96" s="125">
        <f>'项目总控台账'!J95</f>
        <v/>
      </c>
      <c r="H96" s="124">
        <f>IF(G96="","",G96-'项目驾驶舱'!$B$3)</f>
        <v/>
      </c>
      <c r="I96" s="124">
        <f>'项目总控台账'!AC95</f>
        <v/>
      </c>
      <c r="J96" s="124">
        <f>'项目总控台账'!AD95</f>
        <v/>
      </c>
      <c r="K96" s="124">
        <f>IF(A96&lt;&gt;"是","",IF(OR(E96="暂停",E96="挂起"),"确认暂停原因、恢复条件和责任人",IF(H96&lt;0,"立即确认延期原因、影响及补救计划",IF(H96&lt;=7,"本周确认交付承诺和完成证据","提前检查依赖与风险"))))</f>
        <v/>
      </c>
      <c r="L96" s="126" t="n"/>
      <c r="M96" s="127" t="n"/>
    </row>
    <row r="97">
      <c r="A97" s="124">
        <f>IF(B97="","",IF(AND(E97&lt;&gt;"已完成",ISNUMBER(G97),G97&lt;='项目驾驶舱'!$B$3+14),"是","否"))</f>
        <v/>
      </c>
      <c r="B97" s="124">
        <f>'项目总控台账'!A96</f>
        <v/>
      </c>
      <c r="C97" s="124">
        <f>IF(AND('项目总控台账'!E96&lt;&gt;"",'项目总控台账'!E96&lt;&gt;"/"),'项目总控台账'!E96,IF(AND('项目总控台账'!D96&lt;&gt;"",'项目总控台账'!D96&lt;&gt;"/"),'项目总控台账'!D96,'项目总控台账'!C96))</f>
        <v/>
      </c>
      <c r="D97" s="124">
        <f>'项目总控台账'!F96</f>
        <v/>
      </c>
      <c r="E97" s="124">
        <f>'项目总控台账'!G96</f>
        <v/>
      </c>
      <c r="F97" s="124">
        <f>'项目总控台账'!H96</f>
        <v/>
      </c>
      <c r="G97" s="125">
        <f>'项目总控台账'!J96</f>
        <v/>
      </c>
      <c r="H97" s="124">
        <f>IF(G97="","",G97-'项目驾驶舱'!$B$3)</f>
        <v/>
      </c>
      <c r="I97" s="124">
        <f>'项目总控台账'!AC96</f>
        <v/>
      </c>
      <c r="J97" s="124">
        <f>'项目总控台账'!AD96</f>
        <v/>
      </c>
      <c r="K97" s="124">
        <f>IF(A97&lt;&gt;"是","",IF(OR(E97="暂停",E97="挂起"),"确认暂停原因、恢复条件和责任人",IF(H97&lt;0,"立即确认延期原因、影响及补救计划",IF(H97&lt;=7,"本周确认交付承诺和完成证据","提前检查依赖与风险"))))</f>
        <v/>
      </c>
      <c r="L97" s="126" t="n"/>
      <c r="M97" s="127" t="n"/>
    </row>
    <row r="98">
      <c r="A98" s="124">
        <f>IF(B98="","",IF(AND(E98&lt;&gt;"已完成",ISNUMBER(G98),G98&lt;='项目驾驶舱'!$B$3+14),"是","否"))</f>
        <v/>
      </c>
      <c r="B98" s="124">
        <f>'项目总控台账'!A97</f>
        <v/>
      </c>
      <c r="C98" s="124">
        <f>IF(AND('项目总控台账'!E97&lt;&gt;"",'项目总控台账'!E97&lt;&gt;"/"),'项目总控台账'!E97,IF(AND('项目总控台账'!D97&lt;&gt;"",'项目总控台账'!D97&lt;&gt;"/"),'项目总控台账'!D97,'项目总控台账'!C97))</f>
        <v/>
      </c>
      <c r="D98" s="124">
        <f>'项目总控台账'!F97</f>
        <v/>
      </c>
      <c r="E98" s="124">
        <f>'项目总控台账'!G97</f>
        <v/>
      </c>
      <c r="F98" s="124">
        <f>'项目总控台账'!H97</f>
        <v/>
      </c>
      <c r="G98" s="125">
        <f>'项目总控台账'!J97</f>
        <v/>
      </c>
      <c r="H98" s="124">
        <f>IF(G98="","",G98-'项目驾驶舱'!$B$3)</f>
        <v/>
      </c>
      <c r="I98" s="124">
        <f>'项目总控台账'!AC97</f>
        <v/>
      </c>
      <c r="J98" s="124">
        <f>'项目总控台账'!AD97</f>
        <v/>
      </c>
      <c r="K98" s="124">
        <f>IF(A98&lt;&gt;"是","",IF(OR(E98="暂停",E98="挂起"),"确认暂停原因、恢复条件和责任人",IF(H98&lt;0,"立即确认延期原因、影响及补救计划",IF(H98&lt;=7,"本周确认交付承诺和完成证据","提前检查依赖与风险"))))</f>
        <v/>
      </c>
      <c r="L98" s="126" t="n"/>
      <c r="M98" s="127" t="n"/>
    </row>
    <row r="99">
      <c r="A99" s="124">
        <f>IF(B99="","",IF(AND(E99&lt;&gt;"已完成",ISNUMBER(G99),G99&lt;='项目驾驶舱'!$B$3+14),"是","否"))</f>
        <v/>
      </c>
      <c r="B99" s="124">
        <f>'项目总控台账'!A98</f>
        <v/>
      </c>
      <c r="C99" s="124">
        <f>IF(AND('项目总控台账'!E98&lt;&gt;"",'项目总控台账'!E98&lt;&gt;"/"),'项目总控台账'!E98,IF(AND('项目总控台账'!D98&lt;&gt;"",'项目总控台账'!D98&lt;&gt;"/"),'项目总控台账'!D98,'项目总控台账'!C98))</f>
        <v/>
      </c>
      <c r="D99" s="124">
        <f>'项目总控台账'!F98</f>
        <v/>
      </c>
      <c r="E99" s="124">
        <f>'项目总控台账'!G98</f>
        <v/>
      </c>
      <c r="F99" s="124">
        <f>'项目总控台账'!H98</f>
        <v/>
      </c>
      <c r="G99" s="125">
        <f>'项目总控台账'!J98</f>
        <v/>
      </c>
      <c r="H99" s="124">
        <f>IF(G99="","",G99-'项目驾驶舱'!$B$3)</f>
        <v/>
      </c>
      <c r="I99" s="124">
        <f>'项目总控台账'!AC98</f>
        <v/>
      </c>
      <c r="J99" s="124">
        <f>'项目总控台账'!AD98</f>
        <v/>
      </c>
      <c r="K99" s="124">
        <f>IF(A99&lt;&gt;"是","",IF(OR(E99="暂停",E99="挂起"),"确认暂停原因、恢复条件和责任人",IF(H99&lt;0,"立即确认延期原因、影响及补救计划",IF(H99&lt;=7,"本周确认交付承诺和完成证据","提前检查依赖与风险"))))</f>
        <v/>
      </c>
      <c r="L99" s="126" t="n"/>
      <c r="M99" s="127" t="n"/>
    </row>
    <row r="100">
      <c r="A100" s="124">
        <f>IF(B100="","",IF(AND(E100&lt;&gt;"已完成",ISNUMBER(G100),G100&lt;='项目驾驶舱'!$B$3+14),"是","否"))</f>
        <v/>
      </c>
      <c r="B100" s="124">
        <f>'项目总控台账'!A99</f>
        <v/>
      </c>
      <c r="C100" s="124">
        <f>IF(AND('项目总控台账'!E99&lt;&gt;"",'项目总控台账'!E99&lt;&gt;"/"),'项目总控台账'!E99,IF(AND('项目总控台账'!D99&lt;&gt;"",'项目总控台账'!D99&lt;&gt;"/"),'项目总控台账'!D99,'项目总控台账'!C99))</f>
        <v/>
      </c>
      <c r="D100" s="124">
        <f>'项目总控台账'!F99</f>
        <v/>
      </c>
      <c r="E100" s="124">
        <f>'项目总控台账'!G99</f>
        <v/>
      </c>
      <c r="F100" s="124">
        <f>'项目总控台账'!H99</f>
        <v/>
      </c>
      <c r="G100" s="125">
        <f>'项目总控台账'!J99</f>
        <v/>
      </c>
      <c r="H100" s="124">
        <f>IF(G100="","",G100-'项目驾驶舱'!$B$3)</f>
        <v/>
      </c>
      <c r="I100" s="124">
        <f>'项目总控台账'!AC99</f>
        <v/>
      </c>
      <c r="J100" s="124">
        <f>'项目总控台账'!AD99</f>
        <v/>
      </c>
      <c r="K100" s="124">
        <f>IF(A100&lt;&gt;"是","",IF(OR(E100="暂停",E100="挂起"),"确认暂停原因、恢复条件和责任人",IF(H100&lt;0,"立即确认延期原因、影响及补救计划",IF(H100&lt;=7,"本周确认交付承诺和完成证据","提前检查依赖与风险"))))</f>
        <v/>
      </c>
      <c r="L100" s="126" t="n"/>
      <c r="M100" s="127" t="n"/>
    </row>
    <row r="101">
      <c r="A101" s="124">
        <f>IF(B101="","",IF(AND(E101&lt;&gt;"已完成",ISNUMBER(G101),G101&lt;='项目驾驶舱'!$B$3+14),"是","否"))</f>
        <v/>
      </c>
      <c r="B101" s="124">
        <f>'项目总控台账'!A100</f>
        <v/>
      </c>
      <c r="C101" s="124">
        <f>IF(AND('项目总控台账'!E100&lt;&gt;"",'项目总控台账'!E100&lt;&gt;"/"),'项目总控台账'!E100,IF(AND('项目总控台账'!D100&lt;&gt;"",'项目总控台账'!D100&lt;&gt;"/"),'项目总控台账'!D100,'项目总控台账'!C100))</f>
        <v/>
      </c>
      <c r="D101" s="124">
        <f>'项目总控台账'!F100</f>
        <v/>
      </c>
      <c r="E101" s="124">
        <f>'项目总控台账'!G100</f>
        <v/>
      </c>
      <c r="F101" s="124">
        <f>'项目总控台账'!H100</f>
        <v/>
      </c>
      <c r="G101" s="125">
        <f>'项目总控台账'!J100</f>
        <v/>
      </c>
      <c r="H101" s="124">
        <f>IF(G101="","",G101-'项目驾驶舱'!$B$3)</f>
        <v/>
      </c>
      <c r="I101" s="124">
        <f>'项目总控台账'!AC100</f>
        <v/>
      </c>
      <c r="J101" s="124">
        <f>'项目总控台账'!AD100</f>
        <v/>
      </c>
      <c r="K101" s="124">
        <f>IF(A101&lt;&gt;"是","",IF(OR(E101="暂停",E101="挂起"),"确认暂停原因、恢复条件和责任人",IF(H101&lt;0,"立即确认延期原因、影响及补救计划",IF(H101&lt;=7,"本周确认交付承诺和完成证据","提前检查依赖与风险"))))</f>
        <v/>
      </c>
      <c r="L101" s="126" t="n"/>
      <c r="M101" s="127" t="n"/>
    </row>
    <row r="102">
      <c r="A102" s="124">
        <f>IF(B102="","",IF(AND(E102&lt;&gt;"已完成",ISNUMBER(G102),G102&lt;='项目驾驶舱'!$B$3+14),"是","否"))</f>
        <v/>
      </c>
      <c r="B102" s="124">
        <f>'项目总控台账'!A101</f>
        <v/>
      </c>
      <c r="C102" s="124">
        <f>IF(AND('项目总控台账'!E101&lt;&gt;"",'项目总控台账'!E101&lt;&gt;"/"),'项目总控台账'!E101,IF(AND('项目总控台账'!D101&lt;&gt;"",'项目总控台账'!D101&lt;&gt;"/"),'项目总控台账'!D101,'项目总控台账'!C101))</f>
        <v/>
      </c>
      <c r="D102" s="124">
        <f>'项目总控台账'!F101</f>
        <v/>
      </c>
      <c r="E102" s="124">
        <f>'项目总控台账'!G101</f>
        <v/>
      </c>
      <c r="F102" s="124">
        <f>'项目总控台账'!H101</f>
        <v/>
      </c>
      <c r="G102" s="125">
        <f>'项目总控台账'!J101</f>
        <v/>
      </c>
      <c r="H102" s="124">
        <f>IF(G102="","",G102-'项目驾驶舱'!$B$3)</f>
        <v/>
      </c>
      <c r="I102" s="124">
        <f>'项目总控台账'!AC101</f>
        <v/>
      </c>
      <c r="J102" s="124">
        <f>'项目总控台账'!AD101</f>
        <v/>
      </c>
      <c r="K102" s="124">
        <f>IF(A102&lt;&gt;"是","",IF(OR(E102="暂停",E102="挂起"),"确认暂停原因、恢复条件和责任人",IF(H102&lt;0,"立即确认延期原因、影响及补救计划",IF(H102&lt;=7,"本周确认交付承诺和完成证据","提前检查依赖与风险"))))</f>
        <v/>
      </c>
      <c r="L102" s="126" t="n"/>
      <c r="M102" s="127" t="n"/>
    </row>
    <row r="103">
      <c r="A103" s="124">
        <f>IF(B103="","",IF(AND(E103&lt;&gt;"已完成",ISNUMBER(G103),G103&lt;='项目驾驶舱'!$B$3+14),"是","否"))</f>
        <v/>
      </c>
      <c r="B103" s="124">
        <f>'项目总控台账'!A102</f>
        <v/>
      </c>
      <c r="C103" s="124">
        <f>IF(AND('项目总控台账'!E102&lt;&gt;"",'项目总控台账'!E102&lt;&gt;"/"),'项目总控台账'!E102,IF(AND('项目总控台账'!D102&lt;&gt;"",'项目总控台账'!D102&lt;&gt;"/"),'项目总控台账'!D102,'项目总控台账'!C102))</f>
        <v/>
      </c>
      <c r="D103" s="124">
        <f>'项目总控台账'!F102</f>
        <v/>
      </c>
      <c r="E103" s="124">
        <f>'项目总控台账'!G102</f>
        <v/>
      </c>
      <c r="F103" s="124">
        <f>'项目总控台账'!H102</f>
        <v/>
      </c>
      <c r="G103" s="125">
        <f>'项目总控台账'!J102</f>
        <v/>
      </c>
      <c r="H103" s="124">
        <f>IF(G103="","",G103-'项目驾驶舱'!$B$3)</f>
        <v/>
      </c>
      <c r="I103" s="124">
        <f>'项目总控台账'!AC102</f>
        <v/>
      </c>
      <c r="J103" s="124">
        <f>'项目总控台账'!AD102</f>
        <v/>
      </c>
      <c r="K103" s="124">
        <f>IF(A103&lt;&gt;"是","",IF(OR(E103="暂停",E103="挂起"),"确认暂停原因、恢复条件和责任人",IF(H103&lt;0,"立即确认延期原因、影响及补救计划",IF(H103&lt;=7,"本周确认交付承诺和完成证据","提前检查依赖与风险"))))</f>
        <v/>
      </c>
      <c r="L103" s="126" t="n"/>
      <c r="M103" s="127" t="n"/>
    </row>
    <row r="104">
      <c r="A104" s="124">
        <f>IF(B104="","",IF(AND(E104&lt;&gt;"已完成",ISNUMBER(G104),G104&lt;='项目驾驶舱'!$B$3+14),"是","否"))</f>
        <v/>
      </c>
      <c r="B104" s="124">
        <f>'项目总控台账'!A103</f>
        <v/>
      </c>
      <c r="C104" s="124">
        <f>IF(AND('项目总控台账'!E103&lt;&gt;"",'项目总控台账'!E103&lt;&gt;"/"),'项目总控台账'!E103,IF(AND('项目总控台账'!D103&lt;&gt;"",'项目总控台账'!D103&lt;&gt;"/"),'项目总控台账'!D103,'项目总控台账'!C103))</f>
        <v/>
      </c>
      <c r="D104" s="124">
        <f>'项目总控台账'!F103</f>
        <v/>
      </c>
      <c r="E104" s="124">
        <f>'项目总控台账'!G103</f>
        <v/>
      </c>
      <c r="F104" s="124">
        <f>'项目总控台账'!H103</f>
        <v/>
      </c>
      <c r="G104" s="125">
        <f>'项目总控台账'!J103</f>
        <v/>
      </c>
      <c r="H104" s="124">
        <f>IF(G104="","",G104-'项目驾驶舱'!$B$3)</f>
        <v/>
      </c>
      <c r="I104" s="124">
        <f>'项目总控台账'!AC103</f>
        <v/>
      </c>
      <c r="J104" s="124">
        <f>'项目总控台账'!AD103</f>
        <v/>
      </c>
      <c r="K104" s="124">
        <f>IF(A104&lt;&gt;"是","",IF(OR(E104="暂停",E104="挂起"),"确认暂停原因、恢复条件和责任人",IF(H104&lt;0,"立即确认延期原因、影响及补救计划",IF(H104&lt;=7,"本周确认交付承诺和完成证据","提前检查依赖与风险"))))</f>
        <v/>
      </c>
      <c r="L104" s="126" t="n"/>
      <c r="M104" s="127" t="n"/>
    </row>
    <row r="105">
      <c r="A105" s="124">
        <f>IF(B105="","",IF(AND(E105&lt;&gt;"已完成",ISNUMBER(G105),G105&lt;='项目驾驶舱'!$B$3+14),"是","否"))</f>
        <v/>
      </c>
      <c r="B105" s="124">
        <f>'项目总控台账'!A104</f>
        <v/>
      </c>
      <c r="C105" s="124">
        <f>IF(AND('项目总控台账'!E104&lt;&gt;"",'项目总控台账'!E104&lt;&gt;"/"),'项目总控台账'!E104,IF(AND('项目总控台账'!D104&lt;&gt;"",'项目总控台账'!D104&lt;&gt;"/"),'项目总控台账'!D104,'项目总控台账'!C104))</f>
        <v/>
      </c>
      <c r="D105" s="124">
        <f>'项目总控台账'!F104</f>
        <v/>
      </c>
      <c r="E105" s="124">
        <f>'项目总控台账'!G104</f>
        <v/>
      </c>
      <c r="F105" s="124">
        <f>'项目总控台账'!H104</f>
        <v/>
      </c>
      <c r="G105" s="125">
        <f>'项目总控台账'!J104</f>
        <v/>
      </c>
      <c r="H105" s="124">
        <f>IF(G105="","",G105-'项目驾驶舱'!$B$3)</f>
        <v/>
      </c>
      <c r="I105" s="124">
        <f>'项目总控台账'!AC104</f>
        <v/>
      </c>
      <c r="J105" s="124">
        <f>'项目总控台账'!AD104</f>
        <v/>
      </c>
      <c r="K105" s="124">
        <f>IF(A105&lt;&gt;"是","",IF(OR(E105="暂停",E105="挂起"),"确认暂停原因、恢复条件和责任人",IF(H105&lt;0,"立即确认延期原因、影响及补救计划",IF(H105&lt;=7,"本周确认交付承诺和完成证据","提前检查依赖与风险"))))</f>
        <v/>
      </c>
      <c r="L105" s="126" t="n"/>
      <c r="M105" s="127" t="n"/>
    </row>
    <row r="106">
      <c r="A106" s="124">
        <f>IF(B106="","",IF(AND(E106&lt;&gt;"已完成",ISNUMBER(G106),G106&lt;='项目驾驶舱'!$B$3+14),"是","否"))</f>
        <v/>
      </c>
      <c r="B106" s="124">
        <f>'项目总控台账'!A105</f>
        <v/>
      </c>
      <c r="C106" s="124">
        <f>IF(AND('项目总控台账'!E105&lt;&gt;"",'项目总控台账'!E105&lt;&gt;"/"),'项目总控台账'!E105,IF(AND('项目总控台账'!D105&lt;&gt;"",'项目总控台账'!D105&lt;&gt;"/"),'项目总控台账'!D105,'项目总控台账'!C105))</f>
        <v/>
      </c>
      <c r="D106" s="124">
        <f>'项目总控台账'!F105</f>
        <v/>
      </c>
      <c r="E106" s="124">
        <f>'项目总控台账'!G105</f>
        <v/>
      </c>
      <c r="F106" s="124">
        <f>'项目总控台账'!H105</f>
        <v/>
      </c>
      <c r="G106" s="125">
        <f>'项目总控台账'!J105</f>
        <v/>
      </c>
      <c r="H106" s="124">
        <f>IF(G106="","",G106-'项目驾驶舱'!$B$3)</f>
        <v/>
      </c>
      <c r="I106" s="124">
        <f>'项目总控台账'!AC105</f>
        <v/>
      </c>
      <c r="J106" s="124">
        <f>'项目总控台账'!AD105</f>
        <v/>
      </c>
      <c r="K106" s="124">
        <f>IF(A106&lt;&gt;"是","",IF(OR(E106="暂停",E106="挂起"),"确认暂停原因、恢复条件和责任人",IF(H106&lt;0,"立即确认延期原因、影响及补救计划",IF(H106&lt;=7,"本周确认交付承诺和完成证据","提前检查依赖与风险"))))</f>
        <v/>
      </c>
      <c r="L106" s="126" t="n"/>
      <c r="M106" s="127" t="n"/>
    </row>
    <row r="107">
      <c r="A107" s="124">
        <f>IF(B107="","",IF(AND(E107&lt;&gt;"已完成",ISNUMBER(G107),G107&lt;='项目驾驶舱'!$B$3+14),"是","否"))</f>
        <v/>
      </c>
      <c r="B107" s="124">
        <f>'项目总控台账'!A106</f>
        <v/>
      </c>
      <c r="C107" s="124">
        <f>IF(AND('项目总控台账'!E106&lt;&gt;"",'项目总控台账'!E106&lt;&gt;"/"),'项目总控台账'!E106,IF(AND('项目总控台账'!D106&lt;&gt;"",'项目总控台账'!D106&lt;&gt;"/"),'项目总控台账'!D106,'项目总控台账'!C106))</f>
        <v/>
      </c>
      <c r="D107" s="124">
        <f>'项目总控台账'!F106</f>
        <v/>
      </c>
      <c r="E107" s="124">
        <f>'项目总控台账'!G106</f>
        <v/>
      </c>
      <c r="F107" s="124">
        <f>'项目总控台账'!H106</f>
        <v/>
      </c>
      <c r="G107" s="125">
        <f>'项目总控台账'!J106</f>
        <v/>
      </c>
      <c r="H107" s="124">
        <f>IF(G107="","",G107-'项目驾驶舱'!$B$3)</f>
        <v/>
      </c>
      <c r="I107" s="124">
        <f>'项目总控台账'!AC106</f>
        <v/>
      </c>
      <c r="J107" s="124">
        <f>'项目总控台账'!AD106</f>
        <v/>
      </c>
      <c r="K107" s="124">
        <f>IF(A107&lt;&gt;"是","",IF(OR(E107="暂停",E107="挂起"),"确认暂停原因、恢复条件和责任人",IF(H107&lt;0,"立即确认延期原因、影响及补救计划",IF(H107&lt;=7,"本周确认交付承诺和完成证据","提前检查依赖与风险"))))</f>
        <v/>
      </c>
      <c r="L107" s="126" t="n"/>
      <c r="M107" s="127" t="n"/>
    </row>
    <row r="108">
      <c r="A108" s="124">
        <f>IF(B108="","",IF(AND(E108&lt;&gt;"已完成",ISNUMBER(G108),G108&lt;='项目驾驶舱'!$B$3+14),"是","否"))</f>
        <v/>
      </c>
      <c r="B108" s="124">
        <f>'项目总控台账'!A107</f>
        <v/>
      </c>
      <c r="C108" s="124">
        <f>IF(AND('项目总控台账'!E107&lt;&gt;"",'项目总控台账'!E107&lt;&gt;"/"),'项目总控台账'!E107,IF(AND('项目总控台账'!D107&lt;&gt;"",'项目总控台账'!D107&lt;&gt;"/"),'项目总控台账'!D107,'项目总控台账'!C107))</f>
        <v/>
      </c>
      <c r="D108" s="124">
        <f>'项目总控台账'!F107</f>
        <v/>
      </c>
      <c r="E108" s="124">
        <f>'项目总控台账'!G107</f>
        <v/>
      </c>
      <c r="F108" s="124">
        <f>'项目总控台账'!H107</f>
        <v/>
      </c>
      <c r="G108" s="125">
        <f>'项目总控台账'!J107</f>
        <v/>
      </c>
      <c r="H108" s="124">
        <f>IF(G108="","",G108-'项目驾驶舱'!$B$3)</f>
        <v/>
      </c>
      <c r="I108" s="124">
        <f>'项目总控台账'!AC107</f>
        <v/>
      </c>
      <c r="J108" s="124">
        <f>'项目总控台账'!AD107</f>
        <v/>
      </c>
      <c r="K108" s="124">
        <f>IF(A108&lt;&gt;"是","",IF(OR(E108="暂停",E108="挂起"),"确认暂停原因、恢复条件和责任人",IF(H108&lt;0,"立即确认延期原因、影响及补救计划",IF(H108&lt;=7,"本周确认交付承诺和完成证据","提前检查依赖与风险"))))</f>
        <v/>
      </c>
      <c r="L108" s="126" t="n"/>
      <c r="M108" s="127" t="n"/>
    </row>
    <row r="109">
      <c r="A109" s="124">
        <f>IF(B109="","",IF(AND(E109&lt;&gt;"已完成",ISNUMBER(G109),G109&lt;='项目驾驶舱'!$B$3+14),"是","否"))</f>
        <v/>
      </c>
      <c r="B109" s="124">
        <f>'项目总控台账'!A108</f>
        <v/>
      </c>
      <c r="C109" s="124">
        <f>IF(AND('项目总控台账'!E108&lt;&gt;"",'项目总控台账'!E108&lt;&gt;"/"),'项目总控台账'!E108,IF(AND('项目总控台账'!D108&lt;&gt;"",'项目总控台账'!D108&lt;&gt;"/"),'项目总控台账'!D108,'项目总控台账'!C108))</f>
        <v/>
      </c>
      <c r="D109" s="124">
        <f>'项目总控台账'!F108</f>
        <v/>
      </c>
      <c r="E109" s="124">
        <f>'项目总控台账'!G108</f>
        <v/>
      </c>
      <c r="F109" s="124">
        <f>'项目总控台账'!H108</f>
        <v/>
      </c>
      <c r="G109" s="125">
        <f>'项目总控台账'!J108</f>
        <v/>
      </c>
      <c r="H109" s="124">
        <f>IF(G109="","",G109-'项目驾驶舱'!$B$3)</f>
        <v/>
      </c>
      <c r="I109" s="124">
        <f>'项目总控台账'!AC108</f>
        <v/>
      </c>
      <c r="J109" s="124">
        <f>'项目总控台账'!AD108</f>
        <v/>
      </c>
      <c r="K109" s="124">
        <f>IF(A109&lt;&gt;"是","",IF(OR(E109="暂停",E109="挂起"),"确认暂停原因、恢复条件和责任人",IF(H109&lt;0,"立即确认延期原因、影响及补救计划",IF(H109&lt;=7,"本周确认交付承诺和完成证据","提前检查依赖与风险"))))</f>
        <v/>
      </c>
      <c r="L109" s="126" t="n"/>
      <c r="M109" s="127" t="n"/>
    </row>
    <row r="110">
      <c r="A110" s="124">
        <f>IF(B110="","",IF(AND(E110&lt;&gt;"已完成",ISNUMBER(G110),G110&lt;='项目驾驶舱'!$B$3+14),"是","否"))</f>
        <v/>
      </c>
      <c r="B110" s="124">
        <f>'项目总控台账'!A109</f>
        <v/>
      </c>
      <c r="C110" s="124">
        <f>IF(AND('项目总控台账'!E109&lt;&gt;"",'项目总控台账'!E109&lt;&gt;"/"),'项目总控台账'!E109,IF(AND('项目总控台账'!D109&lt;&gt;"",'项目总控台账'!D109&lt;&gt;"/"),'项目总控台账'!D109,'项目总控台账'!C109))</f>
        <v/>
      </c>
      <c r="D110" s="124">
        <f>'项目总控台账'!F109</f>
        <v/>
      </c>
      <c r="E110" s="124">
        <f>'项目总控台账'!G109</f>
        <v/>
      </c>
      <c r="F110" s="124">
        <f>'项目总控台账'!H109</f>
        <v/>
      </c>
      <c r="G110" s="125">
        <f>'项目总控台账'!J109</f>
        <v/>
      </c>
      <c r="H110" s="124">
        <f>IF(G110="","",G110-'项目驾驶舱'!$B$3)</f>
        <v/>
      </c>
      <c r="I110" s="124">
        <f>'项目总控台账'!AC109</f>
        <v/>
      </c>
      <c r="J110" s="124">
        <f>'项目总控台账'!AD109</f>
        <v/>
      </c>
      <c r="K110" s="124">
        <f>IF(A110&lt;&gt;"是","",IF(OR(E110="暂停",E110="挂起"),"确认暂停原因、恢复条件和责任人",IF(H110&lt;0,"立即确认延期原因、影响及补救计划",IF(H110&lt;=7,"本周确认交付承诺和完成证据","提前检查依赖与风险"))))</f>
        <v/>
      </c>
      <c r="L110" s="126" t="n"/>
      <c r="M110" s="127" t="n"/>
    </row>
    <row r="111">
      <c r="A111" s="124">
        <f>IF(B111="","",IF(AND(E111&lt;&gt;"已完成",ISNUMBER(G111),G111&lt;='项目驾驶舱'!$B$3+14),"是","否"))</f>
        <v/>
      </c>
      <c r="B111" s="124">
        <f>'项目总控台账'!A110</f>
        <v/>
      </c>
      <c r="C111" s="124">
        <f>IF(AND('项目总控台账'!E110&lt;&gt;"",'项目总控台账'!E110&lt;&gt;"/"),'项目总控台账'!E110,IF(AND('项目总控台账'!D110&lt;&gt;"",'项目总控台账'!D110&lt;&gt;"/"),'项目总控台账'!D110,'项目总控台账'!C110))</f>
        <v/>
      </c>
      <c r="D111" s="124">
        <f>'项目总控台账'!F110</f>
        <v/>
      </c>
      <c r="E111" s="124">
        <f>'项目总控台账'!G110</f>
        <v/>
      </c>
      <c r="F111" s="124">
        <f>'项目总控台账'!H110</f>
        <v/>
      </c>
      <c r="G111" s="125">
        <f>'项目总控台账'!J110</f>
        <v/>
      </c>
      <c r="H111" s="124">
        <f>IF(G111="","",G111-'项目驾驶舱'!$B$3)</f>
        <v/>
      </c>
      <c r="I111" s="124">
        <f>'项目总控台账'!AC110</f>
        <v/>
      </c>
      <c r="J111" s="124">
        <f>'项目总控台账'!AD110</f>
        <v/>
      </c>
      <c r="K111" s="124">
        <f>IF(A111&lt;&gt;"是","",IF(OR(E111="暂停",E111="挂起"),"确认暂停原因、恢复条件和责任人",IF(H111&lt;0,"立即确认延期原因、影响及补救计划",IF(H111&lt;=7,"本周确认交付承诺和完成证据","提前检查依赖与风险"))))</f>
        <v/>
      </c>
      <c r="L111" s="126" t="n"/>
      <c r="M111" s="127" t="n"/>
    </row>
    <row r="112">
      <c r="A112" s="124">
        <f>IF(B112="","",IF(AND(E112&lt;&gt;"已完成",ISNUMBER(G112),G112&lt;='项目驾驶舱'!$B$3+14),"是","否"))</f>
        <v/>
      </c>
      <c r="B112" s="124">
        <f>'项目总控台账'!A111</f>
        <v/>
      </c>
      <c r="C112" s="124">
        <f>IF(AND('项目总控台账'!E111&lt;&gt;"",'项目总控台账'!E111&lt;&gt;"/"),'项目总控台账'!E111,IF(AND('项目总控台账'!D111&lt;&gt;"",'项目总控台账'!D111&lt;&gt;"/"),'项目总控台账'!D111,'项目总控台账'!C111))</f>
        <v/>
      </c>
      <c r="D112" s="124">
        <f>'项目总控台账'!F111</f>
        <v/>
      </c>
      <c r="E112" s="124">
        <f>'项目总控台账'!G111</f>
        <v/>
      </c>
      <c r="F112" s="124">
        <f>'项目总控台账'!H111</f>
        <v/>
      </c>
      <c r="G112" s="125">
        <f>'项目总控台账'!J111</f>
        <v/>
      </c>
      <c r="H112" s="124">
        <f>IF(G112="","",G112-'项目驾驶舱'!$B$3)</f>
        <v/>
      </c>
      <c r="I112" s="124">
        <f>'项目总控台账'!AC111</f>
        <v/>
      </c>
      <c r="J112" s="124">
        <f>'项目总控台账'!AD111</f>
        <v/>
      </c>
      <c r="K112" s="124">
        <f>IF(A112&lt;&gt;"是","",IF(OR(E112="暂停",E112="挂起"),"确认暂停原因、恢复条件和责任人",IF(H112&lt;0,"立即确认延期原因、影响及补救计划",IF(H112&lt;=7,"本周确认交付承诺和完成证据","提前检查依赖与风险"))))</f>
        <v/>
      </c>
      <c r="L112" s="126" t="n"/>
      <c r="M112" s="127" t="n"/>
    </row>
    <row r="113">
      <c r="A113" s="124">
        <f>IF(B113="","",IF(AND(E113&lt;&gt;"已完成",ISNUMBER(G113),G113&lt;='项目驾驶舱'!$B$3+14),"是","否"))</f>
        <v/>
      </c>
      <c r="B113" s="124">
        <f>'项目总控台账'!A112</f>
        <v/>
      </c>
      <c r="C113" s="124">
        <f>IF(AND('项目总控台账'!E112&lt;&gt;"",'项目总控台账'!E112&lt;&gt;"/"),'项目总控台账'!E112,IF(AND('项目总控台账'!D112&lt;&gt;"",'项目总控台账'!D112&lt;&gt;"/"),'项目总控台账'!D112,'项目总控台账'!C112))</f>
        <v/>
      </c>
      <c r="D113" s="124">
        <f>'项目总控台账'!F112</f>
        <v/>
      </c>
      <c r="E113" s="124">
        <f>'项目总控台账'!G112</f>
        <v/>
      </c>
      <c r="F113" s="124">
        <f>'项目总控台账'!H112</f>
        <v/>
      </c>
      <c r="G113" s="125">
        <f>'项目总控台账'!J112</f>
        <v/>
      </c>
      <c r="H113" s="124">
        <f>IF(G113="","",G113-'项目驾驶舱'!$B$3)</f>
        <v/>
      </c>
      <c r="I113" s="124">
        <f>'项目总控台账'!AC112</f>
        <v/>
      </c>
      <c r="J113" s="124">
        <f>'项目总控台账'!AD112</f>
        <v/>
      </c>
      <c r="K113" s="124">
        <f>IF(A113&lt;&gt;"是","",IF(OR(E113="暂停",E113="挂起"),"确认暂停原因、恢复条件和责任人",IF(H113&lt;0,"立即确认延期原因、影响及补救计划",IF(H113&lt;=7,"本周确认交付承诺和完成证据","提前检查依赖与风险"))))</f>
        <v/>
      </c>
      <c r="L113" s="126" t="n"/>
      <c r="M113" s="127" t="n"/>
    </row>
    <row r="114">
      <c r="A114" s="124">
        <f>IF(B114="","",IF(AND(E114&lt;&gt;"已完成",ISNUMBER(G114),G114&lt;='项目驾驶舱'!$B$3+14),"是","否"))</f>
        <v/>
      </c>
      <c r="B114" s="124">
        <f>'项目总控台账'!A113</f>
        <v/>
      </c>
      <c r="C114" s="124">
        <f>IF(AND('项目总控台账'!E113&lt;&gt;"",'项目总控台账'!E113&lt;&gt;"/"),'项目总控台账'!E113,IF(AND('项目总控台账'!D113&lt;&gt;"",'项目总控台账'!D113&lt;&gt;"/"),'项目总控台账'!D113,'项目总控台账'!C113))</f>
        <v/>
      </c>
      <c r="D114" s="124">
        <f>'项目总控台账'!F113</f>
        <v/>
      </c>
      <c r="E114" s="124">
        <f>'项目总控台账'!G113</f>
        <v/>
      </c>
      <c r="F114" s="124">
        <f>'项目总控台账'!H113</f>
        <v/>
      </c>
      <c r="G114" s="125">
        <f>'项目总控台账'!J113</f>
        <v/>
      </c>
      <c r="H114" s="124">
        <f>IF(G114="","",G114-'项目驾驶舱'!$B$3)</f>
        <v/>
      </c>
      <c r="I114" s="124">
        <f>'项目总控台账'!AC113</f>
        <v/>
      </c>
      <c r="J114" s="124">
        <f>'项目总控台账'!AD113</f>
        <v/>
      </c>
      <c r="K114" s="124">
        <f>IF(A114&lt;&gt;"是","",IF(OR(E114="暂停",E114="挂起"),"确认暂停原因、恢复条件和责任人",IF(H114&lt;0,"立即确认延期原因、影响及补救计划",IF(H114&lt;=7,"本周确认交付承诺和完成证据","提前检查依赖与风险"))))</f>
        <v/>
      </c>
      <c r="L114" s="126" t="n"/>
      <c r="M114" s="127" t="n"/>
    </row>
    <row r="115">
      <c r="A115" s="124">
        <f>IF(B115="","",IF(AND(E115&lt;&gt;"已完成",ISNUMBER(G115),G115&lt;='项目驾驶舱'!$B$3+14),"是","否"))</f>
        <v/>
      </c>
      <c r="B115" s="124">
        <f>'项目总控台账'!A114</f>
        <v/>
      </c>
      <c r="C115" s="124">
        <f>IF(AND('项目总控台账'!E114&lt;&gt;"",'项目总控台账'!E114&lt;&gt;"/"),'项目总控台账'!E114,IF(AND('项目总控台账'!D114&lt;&gt;"",'项目总控台账'!D114&lt;&gt;"/"),'项目总控台账'!D114,'项目总控台账'!C114))</f>
        <v/>
      </c>
      <c r="D115" s="124">
        <f>'项目总控台账'!F114</f>
        <v/>
      </c>
      <c r="E115" s="124">
        <f>'项目总控台账'!G114</f>
        <v/>
      </c>
      <c r="F115" s="124">
        <f>'项目总控台账'!H114</f>
        <v/>
      </c>
      <c r="G115" s="125">
        <f>'项目总控台账'!J114</f>
        <v/>
      </c>
      <c r="H115" s="124">
        <f>IF(G115="","",G115-'项目驾驶舱'!$B$3)</f>
        <v/>
      </c>
      <c r="I115" s="124">
        <f>'项目总控台账'!AC114</f>
        <v/>
      </c>
      <c r="J115" s="124">
        <f>'项目总控台账'!AD114</f>
        <v/>
      </c>
      <c r="K115" s="124">
        <f>IF(A115&lt;&gt;"是","",IF(OR(E115="暂停",E115="挂起"),"确认暂停原因、恢复条件和责任人",IF(H115&lt;0,"立即确认延期原因、影响及补救计划",IF(H115&lt;=7,"本周确认交付承诺和完成证据","提前检查依赖与风险"))))</f>
        <v/>
      </c>
      <c r="L115" s="126" t="n"/>
      <c r="M115" s="127" t="n"/>
    </row>
    <row r="116">
      <c r="A116" s="124">
        <f>IF(B116="","",IF(AND(E116&lt;&gt;"已完成",ISNUMBER(G116),G116&lt;='项目驾驶舱'!$B$3+14),"是","否"))</f>
        <v/>
      </c>
      <c r="B116" s="124">
        <f>'项目总控台账'!A115</f>
        <v/>
      </c>
      <c r="C116" s="124">
        <f>IF(AND('项目总控台账'!E115&lt;&gt;"",'项目总控台账'!E115&lt;&gt;"/"),'项目总控台账'!E115,IF(AND('项目总控台账'!D115&lt;&gt;"",'项目总控台账'!D115&lt;&gt;"/"),'项目总控台账'!D115,'项目总控台账'!C115))</f>
        <v/>
      </c>
      <c r="D116" s="124">
        <f>'项目总控台账'!F115</f>
        <v/>
      </c>
      <c r="E116" s="124">
        <f>'项目总控台账'!G115</f>
        <v/>
      </c>
      <c r="F116" s="124">
        <f>'项目总控台账'!H115</f>
        <v/>
      </c>
      <c r="G116" s="125">
        <f>'项目总控台账'!J115</f>
        <v/>
      </c>
      <c r="H116" s="124">
        <f>IF(G116="","",G116-'项目驾驶舱'!$B$3)</f>
        <v/>
      </c>
      <c r="I116" s="124">
        <f>'项目总控台账'!AC115</f>
        <v/>
      </c>
      <c r="J116" s="124">
        <f>'项目总控台账'!AD115</f>
        <v/>
      </c>
      <c r="K116" s="124">
        <f>IF(A116&lt;&gt;"是","",IF(OR(E116="暂停",E116="挂起"),"确认暂停原因、恢复条件和责任人",IF(H116&lt;0,"立即确认延期原因、影响及补救计划",IF(H116&lt;=7,"本周确认交付承诺和完成证据","提前检查依赖与风险"))))</f>
        <v/>
      </c>
      <c r="L116" s="126" t="n"/>
      <c r="M116" s="127" t="n"/>
    </row>
    <row r="117">
      <c r="A117" s="124">
        <f>IF(B117="","",IF(AND(E117&lt;&gt;"已完成",ISNUMBER(G117),G117&lt;='项目驾驶舱'!$B$3+14),"是","否"))</f>
        <v/>
      </c>
      <c r="B117" s="124">
        <f>'项目总控台账'!A116</f>
        <v/>
      </c>
      <c r="C117" s="124">
        <f>IF(AND('项目总控台账'!E116&lt;&gt;"",'项目总控台账'!E116&lt;&gt;"/"),'项目总控台账'!E116,IF(AND('项目总控台账'!D116&lt;&gt;"",'项目总控台账'!D116&lt;&gt;"/"),'项目总控台账'!D116,'项目总控台账'!C116))</f>
        <v/>
      </c>
      <c r="D117" s="124">
        <f>'项目总控台账'!F116</f>
        <v/>
      </c>
      <c r="E117" s="124">
        <f>'项目总控台账'!G116</f>
        <v/>
      </c>
      <c r="F117" s="124">
        <f>'项目总控台账'!H116</f>
        <v/>
      </c>
      <c r="G117" s="125">
        <f>'项目总控台账'!J116</f>
        <v/>
      </c>
      <c r="H117" s="124">
        <f>IF(G117="","",G117-'项目驾驶舱'!$B$3)</f>
        <v/>
      </c>
      <c r="I117" s="124">
        <f>'项目总控台账'!AC116</f>
        <v/>
      </c>
      <c r="J117" s="124">
        <f>'项目总控台账'!AD116</f>
        <v/>
      </c>
      <c r="K117" s="124">
        <f>IF(A117&lt;&gt;"是","",IF(OR(E117="暂停",E117="挂起"),"确认暂停原因、恢复条件和责任人",IF(H117&lt;0,"立即确认延期原因、影响及补救计划",IF(H117&lt;=7,"本周确认交付承诺和完成证据","提前检查依赖与风险"))))</f>
        <v/>
      </c>
      <c r="L117" s="126" t="n"/>
      <c r="M117" s="127" t="n"/>
    </row>
    <row r="118">
      <c r="A118" s="124">
        <f>IF(B118="","",IF(AND(E118&lt;&gt;"已完成",ISNUMBER(G118),G118&lt;='项目驾驶舱'!$B$3+14),"是","否"))</f>
        <v/>
      </c>
      <c r="B118" s="124">
        <f>'项目总控台账'!A117</f>
        <v/>
      </c>
      <c r="C118" s="124">
        <f>IF(AND('项目总控台账'!E117&lt;&gt;"",'项目总控台账'!E117&lt;&gt;"/"),'项目总控台账'!E117,IF(AND('项目总控台账'!D117&lt;&gt;"",'项目总控台账'!D117&lt;&gt;"/"),'项目总控台账'!D117,'项目总控台账'!C117))</f>
        <v/>
      </c>
      <c r="D118" s="124">
        <f>'项目总控台账'!F117</f>
        <v/>
      </c>
      <c r="E118" s="124">
        <f>'项目总控台账'!G117</f>
        <v/>
      </c>
      <c r="F118" s="124">
        <f>'项目总控台账'!H117</f>
        <v/>
      </c>
      <c r="G118" s="125">
        <f>'项目总控台账'!J117</f>
        <v/>
      </c>
      <c r="H118" s="124">
        <f>IF(G118="","",G118-'项目驾驶舱'!$B$3)</f>
        <v/>
      </c>
      <c r="I118" s="124">
        <f>'项目总控台账'!AC117</f>
        <v/>
      </c>
      <c r="J118" s="124">
        <f>'项目总控台账'!AD117</f>
        <v/>
      </c>
      <c r="K118" s="124">
        <f>IF(A118&lt;&gt;"是","",IF(OR(E118="暂停",E118="挂起"),"确认暂停原因、恢复条件和责任人",IF(H118&lt;0,"立即确认延期原因、影响及补救计划",IF(H118&lt;=7,"本周确认交付承诺和完成证据","提前检查依赖与风险"))))</f>
        <v/>
      </c>
      <c r="L118" s="126" t="n"/>
      <c r="M118" s="127" t="n"/>
    </row>
    <row r="119">
      <c r="A119" s="124">
        <f>IF(B119="","",IF(AND(E119&lt;&gt;"已完成",ISNUMBER(G119),G119&lt;='项目驾驶舱'!$B$3+14),"是","否"))</f>
        <v/>
      </c>
      <c r="B119" s="124">
        <f>'项目总控台账'!A118</f>
        <v/>
      </c>
      <c r="C119" s="124">
        <f>IF(AND('项目总控台账'!E118&lt;&gt;"",'项目总控台账'!E118&lt;&gt;"/"),'项目总控台账'!E118,IF(AND('项目总控台账'!D118&lt;&gt;"",'项目总控台账'!D118&lt;&gt;"/"),'项目总控台账'!D118,'项目总控台账'!C118))</f>
        <v/>
      </c>
      <c r="D119" s="124">
        <f>'项目总控台账'!F118</f>
        <v/>
      </c>
      <c r="E119" s="124">
        <f>'项目总控台账'!G118</f>
        <v/>
      </c>
      <c r="F119" s="124">
        <f>'项目总控台账'!H118</f>
        <v/>
      </c>
      <c r="G119" s="125">
        <f>'项目总控台账'!J118</f>
        <v/>
      </c>
      <c r="H119" s="124">
        <f>IF(G119="","",G119-'项目驾驶舱'!$B$3)</f>
        <v/>
      </c>
      <c r="I119" s="124">
        <f>'项目总控台账'!AC118</f>
        <v/>
      </c>
      <c r="J119" s="124">
        <f>'项目总控台账'!AD118</f>
        <v/>
      </c>
      <c r="K119" s="124">
        <f>IF(A119&lt;&gt;"是","",IF(OR(E119="暂停",E119="挂起"),"确认暂停原因、恢复条件和责任人",IF(H119&lt;0,"立即确认延期原因、影响及补救计划",IF(H119&lt;=7,"本周确认交付承诺和完成证据","提前检查依赖与风险"))))</f>
        <v/>
      </c>
      <c r="L119" s="126" t="n"/>
      <c r="M119" s="127" t="n"/>
    </row>
    <row r="120">
      <c r="A120" s="124">
        <f>IF(B120="","",IF(AND(E120&lt;&gt;"已完成",ISNUMBER(G120),G120&lt;='项目驾驶舱'!$B$3+14),"是","否"))</f>
        <v/>
      </c>
      <c r="B120" s="124">
        <f>'项目总控台账'!A119</f>
        <v/>
      </c>
      <c r="C120" s="124">
        <f>IF(AND('项目总控台账'!E119&lt;&gt;"",'项目总控台账'!E119&lt;&gt;"/"),'项目总控台账'!E119,IF(AND('项目总控台账'!D119&lt;&gt;"",'项目总控台账'!D119&lt;&gt;"/"),'项目总控台账'!D119,'项目总控台账'!C119))</f>
        <v/>
      </c>
      <c r="D120" s="124">
        <f>'项目总控台账'!F119</f>
        <v/>
      </c>
      <c r="E120" s="124">
        <f>'项目总控台账'!G119</f>
        <v/>
      </c>
      <c r="F120" s="124">
        <f>'项目总控台账'!H119</f>
        <v/>
      </c>
      <c r="G120" s="125">
        <f>'项目总控台账'!J119</f>
        <v/>
      </c>
      <c r="H120" s="124">
        <f>IF(G120="","",G120-'项目驾驶舱'!$B$3)</f>
        <v/>
      </c>
      <c r="I120" s="124">
        <f>'项目总控台账'!AC119</f>
        <v/>
      </c>
      <c r="J120" s="124">
        <f>'项目总控台账'!AD119</f>
        <v/>
      </c>
      <c r="K120" s="124">
        <f>IF(A120&lt;&gt;"是","",IF(OR(E120="暂停",E120="挂起"),"确认暂停原因、恢复条件和责任人",IF(H120&lt;0,"立即确认延期原因、影响及补救计划",IF(H120&lt;=7,"本周确认交付承诺和完成证据","提前检查依赖与风险"))))</f>
        <v/>
      </c>
      <c r="L120" s="126" t="n"/>
      <c r="M120" s="127" t="n"/>
    </row>
    <row r="121">
      <c r="A121" s="124">
        <f>IF(B121="","",IF(AND(E121&lt;&gt;"已完成",ISNUMBER(G121),G121&lt;='项目驾驶舱'!$B$3+14),"是","否"))</f>
        <v/>
      </c>
      <c r="B121" s="124">
        <f>'项目总控台账'!A120</f>
        <v/>
      </c>
      <c r="C121" s="124">
        <f>IF(AND('项目总控台账'!E120&lt;&gt;"",'项目总控台账'!E120&lt;&gt;"/"),'项目总控台账'!E120,IF(AND('项目总控台账'!D120&lt;&gt;"",'项目总控台账'!D120&lt;&gt;"/"),'项目总控台账'!D120,'项目总控台账'!C120))</f>
        <v/>
      </c>
      <c r="D121" s="124">
        <f>'项目总控台账'!F120</f>
        <v/>
      </c>
      <c r="E121" s="124">
        <f>'项目总控台账'!G120</f>
        <v/>
      </c>
      <c r="F121" s="124">
        <f>'项目总控台账'!H120</f>
        <v/>
      </c>
      <c r="G121" s="125">
        <f>'项目总控台账'!J120</f>
        <v/>
      </c>
      <c r="H121" s="124">
        <f>IF(G121="","",G121-'项目驾驶舱'!$B$3)</f>
        <v/>
      </c>
      <c r="I121" s="124">
        <f>'项目总控台账'!AC120</f>
        <v/>
      </c>
      <c r="J121" s="124">
        <f>'项目总控台账'!AD120</f>
        <v/>
      </c>
      <c r="K121" s="124">
        <f>IF(A121&lt;&gt;"是","",IF(OR(E121="暂停",E121="挂起"),"确认暂停原因、恢复条件和责任人",IF(H121&lt;0,"立即确认延期原因、影响及补救计划",IF(H121&lt;=7,"本周确认交付承诺和完成证据","提前检查依赖与风险"))))</f>
        <v/>
      </c>
      <c r="L121" s="126" t="n"/>
      <c r="M121" s="127" t="n"/>
    </row>
    <row r="122">
      <c r="A122" s="124">
        <f>IF(B122="","",IF(AND(E122&lt;&gt;"已完成",ISNUMBER(G122),G122&lt;='项目驾驶舱'!$B$3+14),"是","否"))</f>
        <v/>
      </c>
      <c r="B122" s="124">
        <f>'项目总控台账'!A121</f>
        <v/>
      </c>
      <c r="C122" s="124">
        <f>IF(AND('项目总控台账'!E121&lt;&gt;"",'项目总控台账'!E121&lt;&gt;"/"),'项目总控台账'!E121,IF(AND('项目总控台账'!D121&lt;&gt;"",'项目总控台账'!D121&lt;&gt;"/"),'项目总控台账'!D121,'项目总控台账'!C121))</f>
        <v/>
      </c>
      <c r="D122" s="124">
        <f>'项目总控台账'!F121</f>
        <v/>
      </c>
      <c r="E122" s="124">
        <f>'项目总控台账'!G121</f>
        <v/>
      </c>
      <c r="F122" s="124">
        <f>'项目总控台账'!H121</f>
        <v/>
      </c>
      <c r="G122" s="125">
        <f>'项目总控台账'!J121</f>
        <v/>
      </c>
      <c r="H122" s="124">
        <f>IF(G122="","",G122-'项目驾驶舱'!$B$3)</f>
        <v/>
      </c>
      <c r="I122" s="124">
        <f>'项目总控台账'!AC121</f>
        <v/>
      </c>
      <c r="J122" s="124">
        <f>'项目总控台账'!AD121</f>
        <v/>
      </c>
      <c r="K122" s="124">
        <f>IF(A122&lt;&gt;"是","",IF(OR(E122="暂停",E122="挂起"),"确认暂停原因、恢复条件和责任人",IF(H122&lt;0,"立即确认延期原因、影响及补救计划",IF(H122&lt;=7,"本周确认交付承诺和完成证据","提前检查依赖与风险"))))</f>
        <v/>
      </c>
      <c r="L122" s="126" t="n"/>
      <c r="M122" s="127" t="n"/>
    </row>
    <row r="123">
      <c r="A123" s="124">
        <f>IF(B123="","",IF(AND(E123&lt;&gt;"已完成",ISNUMBER(G123),G123&lt;='项目驾驶舱'!$B$3+14),"是","否"))</f>
        <v/>
      </c>
      <c r="B123" s="124">
        <f>'项目总控台账'!A122</f>
        <v/>
      </c>
      <c r="C123" s="124">
        <f>IF(AND('项目总控台账'!E122&lt;&gt;"",'项目总控台账'!E122&lt;&gt;"/"),'项目总控台账'!E122,IF(AND('项目总控台账'!D122&lt;&gt;"",'项目总控台账'!D122&lt;&gt;"/"),'项目总控台账'!D122,'项目总控台账'!C122))</f>
        <v/>
      </c>
      <c r="D123" s="124">
        <f>'项目总控台账'!F122</f>
        <v/>
      </c>
      <c r="E123" s="124">
        <f>'项目总控台账'!G122</f>
        <v/>
      </c>
      <c r="F123" s="124">
        <f>'项目总控台账'!H122</f>
        <v/>
      </c>
      <c r="G123" s="125">
        <f>'项目总控台账'!J122</f>
        <v/>
      </c>
      <c r="H123" s="124">
        <f>IF(G123="","",G123-'项目驾驶舱'!$B$3)</f>
        <v/>
      </c>
      <c r="I123" s="124">
        <f>'项目总控台账'!AC122</f>
        <v/>
      </c>
      <c r="J123" s="124">
        <f>'项目总控台账'!AD122</f>
        <v/>
      </c>
      <c r="K123" s="124">
        <f>IF(A123&lt;&gt;"是","",IF(OR(E123="暂停",E123="挂起"),"确认暂停原因、恢复条件和责任人",IF(H123&lt;0,"立即确认延期原因、影响及补救计划",IF(H123&lt;=7,"本周确认交付承诺和完成证据","提前检查依赖与风险"))))</f>
        <v/>
      </c>
      <c r="L123" s="126" t="n"/>
      <c r="M123" s="127" t="n"/>
    </row>
    <row r="124">
      <c r="A124" s="124">
        <f>IF(B124="","",IF(AND(E124&lt;&gt;"已完成",ISNUMBER(G124),G124&lt;='项目驾驶舱'!$B$3+14),"是","否"))</f>
        <v/>
      </c>
      <c r="B124" s="124">
        <f>'项目总控台账'!A123</f>
        <v/>
      </c>
      <c r="C124" s="124">
        <f>IF(AND('项目总控台账'!E123&lt;&gt;"",'项目总控台账'!E123&lt;&gt;"/"),'项目总控台账'!E123,IF(AND('项目总控台账'!D123&lt;&gt;"",'项目总控台账'!D123&lt;&gt;"/"),'项目总控台账'!D123,'项目总控台账'!C123))</f>
        <v/>
      </c>
      <c r="D124" s="124">
        <f>'项目总控台账'!F123</f>
        <v/>
      </c>
      <c r="E124" s="124">
        <f>'项目总控台账'!G123</f>
        <v/>
      </c>
      <c r="F124" s="124">
        <f>'项目总控台账'!H123</f>
        <v/>
      </c>
      <c r="G124" s="125">
        <f>'项目总控台账'!J123</f>
        <v/>
      </c>
      <c r="H124" s="124">
        <f>IF(G124="","",G124-'项目驾驶舱'!$B$3)</f>
        <v/>
      </c>
      <c r="I124" s="124">
        <f>'项目总控台账'!AC123</f>
        <v/>
      </c>
      <c r="J124" s="124">
        <f>'项目总控台账'!AD123</f>
        <v/>
      </c>
      <c r="K124" s="124">
        <f>IF(A124&lt;&gt;"是","",IF(OR(E124="暂停",E124="挂起"),"确认暂停原因、恢复条件和责任人",IF(H124&lt;0,"立即确认延期原因、影响及补救计划",IF(H124&lt;=7,"本周确认交付承诺和完成证据","提前检查依赖与风险"))))</f>
        <v/>
      </c>
      <c r="L124" s="126" t="n"/>
      <c r="M124" s="127" t="n"/>
    </row>
    <row r="125">
      <c r="A125" s="124">
        <f>IF(B125="","",IF(AND(E125&lt;&gt;"已完成",ISNUMBER(G125),G125&lt;='项目驾驶舱'!$B$3+14),"是","否"))</f>
        <v/>
      </c>
      <c r="B125" s="124">
        <f>'项目总控台账'!A124</f>
        <v/>
      </c>
      <c r="C125" s="124">
        <f>IF(AND('项目总控台账'!E124&lt;&gt;"",'项目总控台账'!E124&lt;&gt;"/"),'项目总控台账'!E124,IF(AND('项目总控台账'!D124&lt;&gt;"",'项目总控台账'!D124&lt;&gt;"/"),'项目总控台账'!D124,'项目总控台账'!C124))</f>
        <v/>
      </c>
      <c r="D125" s="124">
        <f>'项目总控台账'!F124</f>
        <v/>
      </c>
      <c r="E125" s="124">
        <f>'项目总控台账'!G124</f>
        <v/>
      </c>
      <c r="F125" s="124">
        <f>'项目总控台账'!H124</f>
        <v/>
      </c>
      <c r="G125" s="125">
        <f>'项目总控台账'!J124</f>
        <v/>
      </c>
      <c r="H125" s="124">
        <f>IF(G125="","",G125-'项目驾驶舱'!$B$3)</f>
        <v/>
      </c>
      <c r="I125" s="124">
        <f>'项目总控台账'!AC124</f>
        <v/>
      </c>
      <c r="J125" s="124">
        <f>'项目总控台账'!AD124</f>
        <v/>
      </c>
      <c r="K125" s="124">
        <f>IF(A125&lt;&gt;"是","",IF(OR(E125="暂停",E125="挂起"),"确认暂停原因、恢复条件和责任人",IF(H125&lt;0,"立即确认延期原因、影响及补救计划",IF(H125&lt;=7,"本周确认交付承诺和完成证据","提前检查依赖与风险"))))</f>
        <v/>
      </c>
      <c r="L125" s="126" t="n"/>
      <c r="M125" s="127" t="n"/>
    </row>
    <row r="126">
      <c r="A126" s="124">
        <f>IF(B126="","",IF(AND(E126&lt;&gt;"已完成",ISNUMBER(G126),G126&lt;='项目驾驶舱'!$B$3+14),"是","否"))</f>
        <v/>
      </c>
      <c r="B126" s="124">
        <f>'项目总控台账'!A125</f>
        <v/>
      </c>
      <c r="C126" s="124">
        <f>IF(AND('项目总控台账'!E125&lt;&gt;"",'项目总控台账'!E125&lt;&gt;"/"),'项目总控台账'!E125,IF(AND('项目总控台账'!D125&lt;&gt;"",'项目总控台账'!D125&lt;&gt;"/"),'项目总控台账'!D125,'项目总控台账'!C125))</f>
        <v/>
      </c>
      <c r="D126" s="124">
        <f>'项目总控台账'!F125</f>
        <v/>
      </c>
      <c r="E126" s="124">
        <f>'项目总控台账'!G125</f>
        <v/>
      </c>
      <c r="F126" s="124">
        <f>'项目总控台账'!H125</f>
        <v/>
      </c>
      <c r="G126" s="125">
        <f>'项目总控台账'!J125</f>
        <v/>
      </c>
      <c r="H126" s="124">
        <f>IF(G126="","",G126-'项目驾驶舱'!$B$3)</f>
        <v/>
      </c>
      <c r="I126" s="124">
        <f>'项目总控台账'!AC125</f>
        <v/>
      </c>
      <c r="J126" s="124">
        <f>'项目总控台账'!AD125</f>
        <v/>
      </c>
      <c r="K126" s="124">
        <f>IF(A126&lt;&gt;"是","",IF(OR(E126="暂停",E126="挂起"),"确认暂停原因、恢复条件和责任人",IF(H126&lt;0,"立即确认延期原因、影响及补救计划",IF(H126&lt;=7,"本周确认交付承诺和完成证据","提前检查依赖与风险"))))</f>
        <v/>
      </c>
      <c r="L126" s="126" t="n"/>
      <c r="M126" s="127" t="n"/>
    </row>
    <row r="127">
      <c r="A127" s="124">
        <f>IF(B127="","",IF(AND(E127&lt;&gt;"已完成",ISNUMBER(G127),G127&lt;='项目驾驶舱'!$B$3+14),"是","否"))</f>
        <v/>
      </c>
      <c r="B127" s="124">
        <f>'项目总控台账'!A126</f>
        <v/>
      </c>
      <c r="C127" s="124">
        <f>IF(AND('项目总控台账'!E126&lt;&gt;"",'项目总控台账'!E126&lt;&gt;"/"),'项目总控台账'!E126,IF(AND('项目总控台账'!D126&lt;&gt;"",'项目总控台账'!D126&lt;&gt;"/"),'项目总控台账'!D126,'项目总控台账'!C126))</f>
        <v/>
      </c>
      <c r="D127" s="124">
        <f>'项目总控台账'!F126</f>
        <v/>
      </c>
      <c r="E127" s="124">
        <f>'项目总控台账'!G126</f>
        <v/>
      </c>
      <c r="F127" s="124">
        <f>'项目总控台账'!H126</f>
        <v/>
      </c>
      <c r="G127" s="125">
        <f>'项目总控台账'!J126</f>
        <v/>
      </c>
      <c r="H127" s="124">
        <f>IF(G127="","",G127-'项目驾驶舱'!$B$3)</f>
        <v/>
      </c>
      <c r="I127" s="124">
        <f>'项目总控台账'!AC126</f>
        <v/>
      </c>
      <c r="J127" s="124">
        <f>'项目总控台账'!AD126</f>
        <v/>
      </c>
      <c r="K127" s="124">
        <f>IF(A127&lt;&gt;"是","",IF(OR(E127="暂停",E127="挂起"),"确认暂停原因、恢复条件和责任人",IF(H127&lt;0,"立即确认延期原因、影响及补救计划",IF(H127&lt;=7,"本周确认交付承诺和完成证据","提前检查依赖与风险"))))</f>
        <v/>
      </c>
      <c r="L127" s="126" t="n"/>
      <c r="M127" s="127" t="n"/>
    </row>
    <row r="128">
      <c r="A128" s="124">
        <f>IF(B128="","",IF(AND(E128&lt;&gt;"已完成",ISNUMBER(G128),G128&lt;='项目驾驶舱'!$B$3+14),"是","否"))</f>
        <v/>
      </c>
      <c r="B128" s="124">
        <f>'项目总控台账'!A127</f>
        <v/>
      </c>
      <c r="C128" s="124">
        <f>IF(AND('项目总控台账'!E127&lt;&gt;"",'项目总控台账'!E127&lt;&gt;"/"),'项目总控台账'!E127,IF(AND('项目总控台账'!D127&lt;&gt;"",'项目总控台账'!D127&lt;&gt;"/"),'项目总控台账'!D127,'项目总控台账'!C127))</f>
        <v/>
      </c>
      <c r="D128" s="124">
        <f>'项目总控台账'!F127</f>
        <v/>
      </c>
      <c r="E128" s="124">
        <f>'项目总控台账'!G127</f>
        <v/>
      </c>
      <c r="F128" s="124">
        <f>'项目总控台账'!H127</f>
        <v/>
      </c>
      <c r="G128" s="125">
        <f>'项目总控台账'!J127</f>
        <v/>
      </c>
      <c r="H128" s="124">
        <f>IF(G128="","",G128-'项目驾驶舱'!$B$3)</f>
        <v/>
      </c>
      <c r="I128" s="124">
        <f>'项目总控台账'!AC127</f>
        <v/>
      </c>
      <c r="J128" s="124">
        <f>'项目总控台账'!AD127</f>
        <v/>
      </c>
      <c r="K128" s="124">
        <f>IF(A128&lt;&gt;"是","",IF(OR(E128="暂停",E128="挂起"),"确认暂停原因、恢复条件和责任人",IF(H128&lt;0,"立即确认延期原因、影响及补救计划",IF(H128&lt;=7,"本周确认交付承诺和完成证据","提前检查依赖与风险"))))</f>
        <v/>
      </c>
      <c r="L128" s="126" t="n"/>
      <c r="M128" s="127" t="n"/>
    </row>
    <row r="129">
      <c r="A129" s="124">
        <f>IF(B129="","",IF(AND(E129&lt;&gt;"已完成",ISNUMBER(G129),G129&lt;='项目驾驶舱'!$B$3+14),"是","否"))</f>
        <v/>
      </c>
      <c r="B129" s="124">
        <f>'项目总控台账'!A128</f>
        <v/>
      </c>
      <c r="C129" s="124">
        <f>IF(AND('项目总控台账'!E128&lt;&gt;"",'项目总控台账'!E128&lt;&gt;"/"),'项目总控台账'!E128,IF(AND('项目总控台账'!D128&lt;&gt;"",'项目总控台账'!D128&lt;&gt;"/"),'项目总控台账'!D128,'项目总控台账'!C128))</f>
        <v/>
      </c>
      <c r="D129" s="124">
        <f>'项目总控台账'!F128</f>
        <v/>
      </c>
      <c r="E129" s="124">
        <f>'项目总控台账'!G128</f>
        <v/>
      </c>
      <c r="F129" s="124">
        <f>'项目总控台账'!H128</f>
        <v/>
      </c>
      <c r="G129" s="125">
        <f>'项目总控台账'!J128</f>
        <v/>
      </c>
      <c r="H129" s="124">
        <f>IF(G129="","",G129-'项目驾驶舱'!$B$3)</f>
        <v/>
      </c>
      <c r="I129" s="124">
        <f>'项目总控台账'!AC128</f>
        <v/>
      </c>
      <c r="J129" s="124">
        <f>'项目总控台账'!AD128</f>
        <v/>
      </c>
      <c r="K129" s="124">
        <f>IF(A129&lt;&gt;"是","",IF(OR(E129="暂停",E129="挂起"),"确认暂停原因、恢复条件和责任人",IF(H129&lt;0,"立即确认延期原因、影响及补救计划",IF(H129&lt;=7,"本周确认交付承诺和完成证据","提前检查依赖与风险"))))</f>
        <v/>
      </c>
      <c r="L129" s="126" t="n"/>
      <c r="M129" s="127" t="n"/>
    </row>
    <row r="130">
      <c r="A130" s="124">
        <f>IF(B130="","",IF(AND(E130&lt;&gt;"已完成",ISNUMBER(G130),G130&lt;='项目驾驶舱'!$B$3+14),"是","否"))</f>
        <v/>
      </c>
      <c r="B130" s="124">
        <f>'项目总控台账'!A129</f>
        <v/>
      </c>
      <c r="C130" s="124">
        <f>IF(AND('项目总控台账'!E129&lt;&gt;"",'项目总控台账'!E129&lt;&gt;"/"),'项目总控台账'!E129,IF(AND('项目总控台账'!D129&lt;&gt;"",'项目总控台账'!D129&lt;&gt;"/"),'项目总控台账'!D129,'项目总控台账'!C129))</f>
        <v/>
      </c>
      <c r="D130" s="124">
        <f>'项目总控台账'!F129</f>
        <v/>
      </c>
      <c r="E130" s="124">
        <f>'项目总控台账'!G129</f>
        <v/>
      </c>
      <c r="F130" s="124">
        <f>'项目总控台账'!H129</f>
        <v/>
      </c>
      <c r="G130" s="125">
        <f>'项目总控台账'!J129</f>
        <v/>
      </c>
      <c r="H130" s="124">
        <f>IF(G130="","",G130-'项目驾驶舱'!$B$3)</f>
        <v/>
      </c>
      <c r="I130" s="124">
        <f>'项目总控台账'!AC129</f>
        <v/>
      </c>
      <c r="J130" s="124">
        <f>'项目总控台账'!AD129</f>
        <v/>
      </c>
      <c r="K130" s="124">
        <f>IF(A130&lt;&gt;"是","",IF(OR(E130="暂停",E130="挂起"),"确认暂停原因、恢复条件和责任人",IF(H130&lt;0,"立即确认延期原因、影响及补救计划",IF(H130&lt;=7,"本周确认交付承诺和完成证据","提前检查依赖与风险"))))</f>
        <v/>
      </c>
      <c r="L130" s="126" t="n"/>
      <c r="M130" s="127" t="n"/>
    </row>
    <row r="131">
      <c r="A131" s="124">
        <f>IF(B131="","",IF(AND(E131&lt;&gt;"已完成",ISNUMBER(G131),G131&lt;='项目驾驶舱'!$B$3+14),"是","否"))</f>
        <v/>
      </c>
      <c r="B131" s="124">
        <f>'项目总控台账'!A130</f>
        <v/>
      </c>
      <c r="C131" s="124">
        <f>IF(AND('项目总控台账'!E130&lt;&gt;"",'项目总控台账'!E130&lt;&gt;"/"),'项目总控台账'!E130,IF(AND('项目总控台账'!D130&lt;&gt;"",'项目总控台账'!D130&lt;&gt;"/"),'项目总控台账'!D130,'项目总控台账'!C130))</f>
        <v/>
      </c>
      <c r="D131" s="124">
        <f>'项目总控台账'!F130</f>
        <v/>
      </c>
      <c r="E131" s="124">
        <f>'项目总控台账'!G130</f>
        <v/>
      </c>
      <c r="F131" s="124">
        <f>'项目总控台账'!H130</f>
        <v/>
      </c>
      <c r="G131" s="125">
        <f>'项目总控台账'!J130</f>
        <v/>
      </c>
      <c r="H131" s="124">
        <f>IF(G131="","",G131-'项目驾驶舱'!$B$3)</f>
        <v/>
      </c>
      <c r="I131" s="124">
        <f>'项目总控台账'!AC130</f>
        <v/>
      </c>
      <c r="J131" s="124">
        <f>'项目总控台账'!AD130</f>
        <v/>
      </c>
      <c r="K131" s="124">
        <f>IF(A131&lt;&gt;"是","",IF(OR(E131="暂停",E131="挂起"),"确认暂停原因、恢复条件和责任人",IF(H131&lt;0,"立即确认延期原因、影响及补救计划",IF(H131&lt;=7,"本周确认交付承诺和完成证据","提前检查依赖与风险"))))</f>
        <v/>
      </c>
      <c r="L131" s="126" t="n"/>
      <c r="M131" s="127" t="n"/>
    </row>
    <row r="132">
      <c r="A132" s="124">
        <f>IF(B132="","",IF(AND(E132&lt;&gt;"已完成",ISNUMBER(G132),G132&lt;='项目驾驶舱'!$B$3+14),"是","否"))</f>
        <v/>
      </c>
      <c r="B132" s="124">
        <f>'项目总控台账'!A131</f>
        <v/>
      </c>
      <c r="C132" s="124">
        <f>IF(AND('项目总控台账'!E131&lt;&gt;"",'项目总控台账'!E131&lt;&gt;"/"),'项目总控台账'!E131,IF(AND('项目总控台账'!D131&lt;&gt;"",'项目总控台账'!D131&lt;&gt;"/"),'项目总控台账'!D131,'项目总控台账'!C131))</f>
        <v/>
      </c>
      <c r="D132" s="124">
        <f>'项目总控台账'!F131</f>
        <v/>
      </c>
      <c r="E132" s="124">
        <f>'项目总控台账'!G131</f>
        <v/>
      </c>
      <c r="F132" s="124">
        <f>'项目总控台账'!H131</f>
        <v/>
      </c>
      <c r="G132" s="125">
        <f>'项目总控台账'!J131</f>
        <v/>
      </c>
      <c r="H132" s="124">
        <f>IF(G132="","",G132-'项目驾驶舱'!$B$3)</f>
        <v/>
      </c>
      <c r="I132" s="124">
        <f>'项目总控台账'!AC131</f>
        <v/>
      </c>
      <c r="J132" s="124">
        <f>'项目总控台账'!AD131</f>
        <v/>
      </c>
      <c r="K132" s="124">
        <f>IF(A132&lt;&gt;"是","",IF(OR(E132="暂停",E132="挂起"),"确认暂停原因、恢复条件和责任人",IF(H132&lt;0,"立即确认延期原因、影响及补救计划",IF(H132&lt;=7,"本周确认交付承诺和完成证据","提前检查依赖与风险"))))</f>
        <v/>
      </c>
      <c r="L132" s="126" t="n"/>
      <c r="M132" s="127" t="n"/>
    </row>
    <row r="133">
      <c r="A133" s="124">
        <f>IF(B133="","",IF(AND(E133&lt;&gt;"已完成",ISNUMBER(G133),G133&lt;='项目驾驶舱'!$B$3+14),"是","否"))</f>
        <v/>
      </c>
      <c r="B133" s="124">
        <f>'项目总控台账'!A132</f>
        <v/>
      </c>
      <c r="C133" s="124">
        <f>IF(AND('项目总控台账'!E132&lt;&gt;"",'项目总控台账'!E132&lt;&gt;"/"),'项目总控台账'!E132,IF(AND('项目总控台账'!D132&lt;&gt;"",'项目总控台账'!D132&lt;&gt;"/"),'项目总控台账'!D132,'项目总控台账'!C132))</f>
        <v/>
      </c>
      <c r="D133" s="124">
        <f>'项目总控台账'!F132</f>
        <v/>
      </c>
      <c r="E133" s="124">
        <f>'项目总控台账'!G132</f>
        <v/>
      </c>
      <c r="F133" s="124">
        <f>'项目总控台账'!H132</f>
        <v/>
      </c>
      <c r="G133" s="125">
        <f>'项目总控台账'!J132</f>
        <v/>
      </c>
      <c r="H133" s="124">
        <f>IF(G133="","",G133-'项目驾驶舱'!$B$3)</f>
        <v/>
      </c>
      <c r="I133" s="124">
        <f>'项目总控台账'!AC132</f>
        <v/>
      </c>
      <c r="J133" s="124">
        <f>'项目总控台账'!AD132</f>
        <v/>
      </c>
      <c r="K133" s="124">
        <f>IF(A133&lt;&gt;"是","",IF(OR(E133="暂停",E133="挂起"),"确认暂停原因、恢复条件和责任人",IF(H133&lt;0,"立即确认延期原因、影响及补救计划",IF(H133&lt;=7,"本周确认交付承诺和完成证据","提前检查依赖与风险"))))</f>
        <v/>
      </c>
      <c r="L133" s="126" t="n"/>
      <c r="M133" s="127" t="n"/>
    </row>
    <row r="134">
      <c r="A134" s="124">
        <f>IF(B134="","",IF(AND(E134&lt;&gt;"已完成",ISNUMBER(G134),G134&lt;='项目驾驶舱'!$B$3+14),"是","否"))</f>
        <v/>
      </c>
      <c r="B134" s="124">
        <f>'项目总控台账'!A133</f>
        <v/>
      </c>
      <c r="C134" s="124">
        <f>IF(AND('项目总控台账'!E133&lt;&gt;"",'项目总控台账'!E133&lt;&gt;"/"),'项目总控台账'!E133,IF(AND('项目总控台账'!D133&lt;&gt;"",'项目总控台账'!D133&lt;&gt;"/"),'项目总控台账'!D133,'项目总控台账'!C133))</f>
        <v/>
      </c>
      <c r="D134" s="124">
        <f>'项目总控台账'!F133</f>
        <v/>
      </c>
      <c r="E134" s="124">
        <f>'项目总控台账'!G133</f>
        <v/>
      </c>
      <c r="F134" s="124">
        <f>'项目总控台账'!H133</f>
        <v/>
      </c>
      <c r="G134" s="125">
        <f>'项目总控台账'!J133</f>
        <v/>
      </c>
      <c r="H134" s="124">
        <f>IF(G134="","",G134-'项目驾驶舱'!$B$3)</f>
        <v/>
      </c>
      <c r="I134" s="124">
        <f>'项目总控台账'!AC133</f>
        <v/>
      </c>
      <c r="J134" s="124">
        <f>'项目总控台账'!AD133</f>
        <v/>
      </c>
      <c r="K134" s="124">
        <f>IF(A134&lt;&gt;"是","",IF(OR(E134="暂停",E134="挂起"),"确认暂停原因、恢复条件和责任人",IF(H134&lt;0,"立即确认延期原因、影响及补救计划",IF(H134&lt;=7,"本周确认交付承诺和完成证据","提前检查依赖与风险"))))</f>
        <v/>
      </c>
      <c r="L134" s="126" t="n"/>
      <c r="M134" s="127" t="n"/>
    </row>
    <row r="135">
      <c r="A135" s="124">
        <f>IF(B135="","",IF(AND(E135&lt;&gt;"已完成",ISNUMBER(G135),G135&lt;='项目驾驶舱'!$B$3+14),"是","否"))</f>
        <v/>
      </c>
      <c r="B135" s="124">
        <f>'项目总控台账'!A134</f>
        <v/>
      </c>
      <c r="C135" s="124">
        <f>IF(AND('项目总控台账'!E134&lt;&gt;"",'项目总控台账'!E134&lt;&gt;"/"),'项目总控台账'!E134,IF(AND('项目总控台账'!D134&lt;&gt;"",'项目总控台账'!D134&lt;&gt;"/"),'项目总控台账'!D134,'项目总控台账'!C134))</f>
        <v/>
      </c>
      <c r="D135" s="124">
        <f>'项目总控台账'!F134</f>
        <v/>
      </c>
      <c r="E135" s="124">
        <f>'项目总控台账'!G134</f>
        <v/>
      </c>
      <c r="F135" s="124">
        <f>'项目总控台账'!H134</f>
        <v/>
      </c>
      <c r="G135" s="125">
        <f>'项目总控台账'!J134</f>
        <v/>
      </c>
      <c r="H135" s="124">
        <f>IF(G135="","",G135-'项目驾驶舱'!$B$3)</f>
        <v/>
      </c>
      <c r="I135" s="124">
        <f>'项目总控台账'!AC134</f>
        <v/>
      </c>
      <c r="J135" s="124">
        <f>'项目总控台账'!AD134</f>
        <v/>
      </c>
      <c r="K135" s="124">
        <f>IF(A135&lt;&gt;"是","",IF(OR(E135="暂停",E135="挂起"),"确认暂停原因、恢复条件和责任人",IF(H135&lt;0,"立即确认延期原因、影响及补救计划",IF(H135&lt;=7,"本周确认交付承诺和完成证据","提前检查依赖与风险"))))</f>
        <v/>
      </c>
      <c r="L135" s="126" t="n"/>
      <c r="M135" s="127" t="n"/>
    </row>
    <row r="136">
      <c r="A136" s="124">
        <f>IF(B136="","",IF(AND(E136&lt;&gt;"已完成",ISNUMBER(G136),G136&lt;='项目驾驶舱'!$B$3+14),"是","否"))</f>
        <v/>
      </c>
      <c r="B136" s="124">
        <f>'项目总控台账'!A135</f>
        <v/>
      </c>
      <c r="C136" s="124">
        <f>IF(AND('项目总控台账'!E135&lt;&gt;"",'项目总控台账'!E135&lt;&gt;"/"),'项目总控台账'!E135,IF(AND('项目总控台账'!D135&lt;&gt;"",'项目总控台账'!D135&lt;&gt;"/"),'项目总控台账'!D135,'项目总控台账'!C135))</f>
        <v/>
      </c>
      <c r="D136" s="124">
        <f>'项目总控台账'!F135</f>
        <v/>
      </c>
      <c r="E136" s="124">
        <f>'项目总控台账'!G135</f>
        <v/>
      </c>
      <c r="F136" s="124">
        <f>'项目总控台账'!H135</f>
        <v/>
      </c>
      <c r="G136" s="125">
        <f>'项目总控台账'!J135</f>
        <v/>
      </c>
      <c r="H136" s="124">
        <f>IF(G136="","",G136-'项目驾驶舱'!$B$3)</f>
        <v/>
      </c>
      <c r="I136" s="124">
        <f>'项目总控台账'!AC135</f>
        <v/>
      </c>
      <c r="J136" s="124">
        <f>'项目总控台账'!AD135</f>
        <v/>
      </c>
      <c r="K136" s="124">
        <f>IF(A136&lt;&gt;"是","",IF(OR(E136="暂停",E136="挂起"),"确认暂停原因、恢复条件和责任人",IF(H136&lt;0,"立即确认延期原因、影响及补救计划",IF(H136&lt;=7,"本周确认交付承诺和完成证据","提前检查依赖与风险"))))</f>
        <v/>
      </c>
      <c r="L136" s="126" t="n"/>
      <c r="M136" s="127" t="n"/>
    </row>
    <row r="137">
      <c r="A137" s="124">
        <f>IF(B137="","",IF(AND(E137&lt;&gt;"已完成",ISNUMBER(G137),G137&lt;='项目驾驶舱'!$B$3+14),"是","否"))</f>
        <v/>
      </c>
      <c r="B137" s="124">
        <f>'项目总控台账'!A136</f>
        <v/>
      </c>
      <c r="C137" s="124">
        <f>IF(AND('项目总控台账'!E136&lt;&gt;"",'项目总控台账'!E136&lt;&gt;"/"),'项目总控台账'!E136,IF(AND('项目总控台账'!D136&lt;&gt;"",'项目总控台账'!D136&lt;&gt;"/"),'项目总控台账'!D136,'项目总控台账'!C136))</f>
        <v/>
      </c>
      <c r="D137" s="124">
        <f>'项目总控台账'!F136</f>
        <v/>
      </c>
      <c r="E137" s="124">
        <f>'项目总控台账'!G136</f>
        <v/>
      </c>
      <c r="F137" s="124">
        <f>'项目总控台账'!H136</f>
        <v/>
      </c>
      <c r="G137" s="125">
        <f>'项目总控台账'!J136</f>
        <v/>
      </c>
      <c r="H137" s="124">
        <f>IF(G137="","",G137-'项目驾驶舱'!$B$3)</f>
        <v/>
      </c>
      <c r="I137" s="124">
        <f>'项目总控台账'!AC136</f>
        <v/>
      </c>
      <c r="J137" s="124">
        <f>'项目总控台账'!AD136</f>
        <v/>
      </c>
      <c r="K137" s="124">
        <f>IF(A137&lt;&gt;"是","",IF(OR(E137="暂停",E137="挂起"),"确认暂停原因、恢复条件和责任人",IF(H137&lt;0,"立即确认延期原因、影响及补救计划",IF(H137&lt;=7,"本周确认交付承诺和完成证据","提前检查依赖与风险"))))</f>
        <v/>
      </c>
      <c r="L137" s="126" t="n"/>
      <c r="M137" s="127" t="n"/>
    </row>
    <row r="138">
      <c r="A138" s="124">
        <f>IF(B138="","",IF(AND(E138&lt;&gt;"已完成",ISNUMBER(G138),G138&lt;='项目驾驶舱'!$B$3+14),"是","否"))</f>
        <v/>
      </c>
      <c r="B138" s="124">
        <f>'项目总控台账'!A137</f>
        <v/>
      </c>
      <c r="C138" s="124">
        <f>IF(AND('项目总控台账'!E137&lt;&gt;"",'项目总控台账'!E137&lt;&gt;"/"),'项目总控台账'!E137,IF(AND('项目总控台账'!D137&lt;&gt;"",'项目总控台账'!D137&lt;&gt;"/"),'项目总控台账'!D137,'项目总控台账'!C137))</f>
        <v/>
      </c>
      <c r="D138" s="124">
        <f>'项目总控台账'!F137</f>
        <v/>
      </c>
      <c r="E138" s="124">
        <f>'项目总控台账'!G137</f>
        <v/>
      </c>
      <c r="F138" s="124">
        <f>'项目总控台账'!H137</f>
        <v/>
      </c>
      <c r="G138" s="125">
        <f>'项目总控台账'!J137</f>
        <v/>
      </c>
      <c r="H138" s="124">
        <f>IF(G138="","",G138-'项目驾驶舱'!$B$3)</f>
        <v/>
      </c>
      <c r="I138" s="124">
        <f>'项目总控台账'!AC137</f>
        <v/>
      </c>
      <c r="J138" s="124">
        <f>'项目总控台账'!AD137</f>
        <v/>
      </c>
      <c r="K138" s="124">
        <f>IF(A138&lt;&gt;"是","",IF(OR(E138="暂停",E138="挂起"),"确认暂停原因、恢复条件和责任人",IF(H138&lt;0,"立即确认延期原因、影响及补救计划",IF(H138&lt;=7,"本周确认交付承诺和完成证据","提前检查依赖与风险"))))</f>
        <v/>
      </c>
      <c r="L138" s="126" t="n"/>
      <c r="M138" s="127" t="n"/>
    </row>
    <row r="139">
      <c r="A139" s="124">
        <f>IF(B139="","",IF(AND(E139&lt;&gt;"已完成",ISNUMBER(G139),G139&lt;='项目驾驶舱'!$B$3+14),"是","否"))</f>
        <v/>
      </c>
      <c r="B139" s="124">
        <f>'项目总控台账'!A138</f>
        <v/>
      </c>
      <c r="C139" s="124">
        <f>IF(AND('项目总控台账'!E138&lt;&gt;"",'项目总控台账'!E138&lt;&gt;"/"),'项目总控台账'!E138,IF(AND('项目总控台账'!D138&lt;&gt;"",'项目总控台账'!D138&lt;&gt;"/"),'项目总控台账'!D138,'项目总控台账'!C138))</f>
        <v/>
      </c>
      <c r="D139" s="124">
        <f>'项目总控台账'!F138</f>
        <v/>
      </c>
      <c r="E139" s="124">
        <f>'项目总控台账'!G138</f>
        <v/>
      </c>
      <c r="F139" s="124">
        <f>'项目总控台账'!H138</f>
        <v/>
      </c>
      <c r="G139" s="125">
        <f>'项目总控台账'!J138</f>
        <v/>
      </c>
      <c r="H139" s="124">
        <f>IF(G139="","",G139-'项目驾驶舱'!$B$3)</f>
        <v/>
      </c>
      <c r="I139" s="124">
        <f>'项目总控台账'!AC138</f>
        <v/>
      </c>
      <c r="J139" s="124">
        <f>'项目总控台账'!AD138</f>
        <v/>
      </c>
      <c r="K139" s="124">
        <f>IF(A139&lt;&gt;"是","",IF(OR(E139="暂停",E139="挂起"),"确认暂停原因、恢复条件和责任人",IF(H139&lt;0,"立即确认延期原因、影响及补救计划",IF(H139&lt;=7,"本周确认交付承诺和完成证据","提前检查依赖与风险"))))</f>
        <v/>
      </c>
      <c r="L139" s="126" t="n"/>
      <c r="M139" s="127" t="n"/>
    </row>
    <row r="140">
      <c r="A140" s="124">
        <f>IF(B140="","",IF(AND(E140&lt;&gt;"已完成",ISNUMBER(G140),G140&lt;='项目驾驶舱'!$B$3+14),"是","否"))</f>
        <v/>
      </c>
      <c r="B140" s="124">
        <f>'项目总控台账'!A139</f>
        <v/>
      </c>
      <c r="C140" s="124">
        <f>IF(AND('项目总控台账'!E139&lt;&gt;"",'项目总控台账'!E139&lt;&gt;"/"),'项目总控台账'!E139,IF(AND('项目总控台账'!D139&lt;&gt;"",'项目总控台账'!D139&lt;&gt;"/"),'项目总控台账'!D139,'项目总控台账'!C139))</f>
        <v/>
      </c>
      <c r="D140" s="124">
        <f>'项目总控台账'!F139</f>
        <v/>
      </c>
      <c r="E140" s="124">
        <f>'项目总控台账'!G139</f>
        <v/>
      </c>
      <c r="F140" s="124">
        <f>'项目总控台账'!H139</f>
        <v/>
      </c>
      <c r="G140" s="125">
        <f>'项目总控台账'!J139</f>
        <v/>
      </c>
      <c r="H140" s="124">
        <f>IF(G140="","",G140-'项目驾驶舱'!$B$3)</f>
        <v/>
      </c>
      <c r="I140" s="124">
        <f>'项目总控台账'!AC139</f>
        <v/>
      </c>
      <c r="J140" s="124">
        <f>'项目总控台账'!AD139</f>
        <v/>
      </c>
      <c r="K140" s="124">
        <f>IF(A140&lt;&gt;"是","",IF(OR(E140="暂停",E140="挂起"),"确认暂停原因、恢复条件和责任人",IF(H140&lt;0,"立即确认延期原因、影响及补救计划",IF(H140&lt;=7,"本周确认交付承诺和完成证据","提前检查依赖与风险"))))</f>
        <v/>
      </c>
      <c r="L140" s="126" t="n"/>
      <c r="M140" s="127" t="n"/>
    </row>
    <row r="141">
      <c r="A141" s="124">
        <f>IF(B141="","",IF(AND(E141&lt;&gt;"已完成",ISNUMBER(G141),G141&lt;='项目驾驶舱'!$B$3+14),"是","否"))</f>
        <v/>
      </c>
      <c r="B141" s="124">
        <f>'项目总控台账'!A140</f>
        <v/>
      </c>
      <c r="C141" s="124">
        <f>IF(AND('项目总控台账'!E140&lt;&gt;"",'项目总控台账'!E140&lt;&gt;"/"),'项目总控台账'!E140,IF(AND('项目总控台账'!D140&lt;&gt;"",'项目总控台账'!D140&lt;&gt;"/"),'项目总控台账'!D140,'项目总控台账'!C140))</f>
        <v/>
      </c>
      <c r="D141" s="124">
        <f>'项目总控台账'!F140</f>
        <v/>
      </c>
      <c r="E141" s="124">
        <f>'项目总控台账'!G140</f>
        <v/>
      </c>
      <c r="F141" s="124">
        <f>'项目总控台账'!H140</f>
        <v/>
      </c>
      <c r="G141" s="125">
        <f>'项目总控台账'!J140</f>
        <v/>
      </c>
      <c r="H141" s="124">
        <f>IF(G141="","",G141-'项目驾驶舱'!$B$3)</f>
        <v/>
      </c>
      <c r="I141" s="124">
        <f>'项目总控台账'!AC140</f>
        <v/>
      </c>
      <c r="J141" s="124">
        <f>'项目总控台账'!AD140</f>
        <v/>
      </c>
      <c r="K141" s="124">
        <f>IF(A141&lt;&gt;"是","",IF(OR(E141="暂停",E141="挂起"),"确认暂停原因、恢复条件和责任人",IF(H141&lt;0,"立即确认延期原因、影响及补救计划",IF(H141&lt;=7,"本周确认交付承诺和完成证据","提前检查依赖与风险"))))</f>
        <v/>
      </c>
      <c r="L141" s="126" t="n"/>
      <c r="M141" s="127" t="n"/>
    </row>
    <row r="142">
      <c r="A142" s="124">
        <f>IF(B142="","",IF(AND(E142&lt;&gt;"已完成",ISNUMBER(G142),G142&lt;='项目驾驶舱'!$B$3+14),"是","否"))</f>
        <v/>
      </c>
      <c r="B142" s="124">
        <f>'项目总控台账'!A141</f>
        <v/>
      </c>
      <c r="C142" s="124">
        <f>IF(AND('项目总控台账'!E141&lt;&gt;"",'项目总控台账'!E141&lt;&gt;"/"),'项目总控台账'!E141,IF(AND('项目总控台账'!D141&lt;&gt;"",'项目总控台账'!D141&lt;&gt;"/"),'项目总控台账'!D141,'项目总控台账'!C141))</f>
        <v/>
      </c>
      <c r="D142" s="124">
        <f>'项目总控台账'!F141</f>
        <v/>
      </c>
      <c r="E142" s="124">
        <f>'项目总控台账'!G141</f>
        <v/>
      </c>
      <c r="F142" s="124">
        <f>'项目总控台账'!H141</f>
        <v/>
      </c>
      <c r="G142" s="125">
        <f>'项目总控台账'!J141</f>
        <v/>
      </c>
      <c r="H142" s="124">
        <f>IF(G142="","",G142-'项目驾驶舱'!$B$3)</f>
        <v/>
      </c>
      <c r="I142" s="124">
        <f>'项目总控台账'!AC141</f>
        <v/>
      </c>
      <c r="J142" s="124">
        <f>'项目总控台账'!AD141</f>
        <v/>
      </c>
      <c r="K142" s="124">
        <f>IF(A142&lt;&gt;"是","",IF(OR(E142="暂停",E142="挂起"),"确认暂停原因、恢复条件和责任人",IF(H142&lt;0,"立即确认延期原因、影响及补救计划",IF(H142&lt;=7,"本周确认交付承诺和完成证据","提前检查依赖与风险"))))</f>
        <v/>
      </c>
      <c r="L142" s="126" t="n"/>
      <c r="M142" s="127" t="n"/>
    </row>
    <row r="143">
      <c r="A143" s="124">
        <f>IF(B143="","",IF(AND(E143&lt;&gt;"已完成",ISNUMBER(G143),G143&lt;='项目驾驶舱'!$B$3+14),"是","否"))</f>
        <v/>
      </c>
      <c r="B143" s="124">
        <f>'项目总控台账'!A142</f>
        <v/>
      </c>
      <c r="C143" s="124">
        <f>IF(AND('项目总控台账'!E142&lt;&gt;"",'项目总控台账'!E142&lt;&gt;"/"),'项目总控台账'!E142,IF(AND('项目总控台账'!D142&lt;&gt;"",'项目总控台账'!D142&lt;&gt;"/"),'项目总控台账'!D142,'项目总控台账'!C142))</f>
        <v/>
      </c>
      <c r="D143" s="124">
        <f>'项目总控台账'!F142</f>
        <v/>
      </c>
      <c r="E143" s="124">
        <f>'项目总控台账'!G142</f>
        <v/>
      </c>
      <c r="F143" s="124">
        <f>'项目总控台账'!H142</f>
        <v/>
      </c>
      <c r="G143" s="125">
        <f>'项目总控台账'!J142</f>
        <v/>
      </c>
      <c r="H143" s="124">
        <f>IF(G143="","",G143-'项目驾驶舱'!$B$3)</f>
        <v/>
      </c>
      <c r="I143" s="124">
        <f>'项目总控台账'!AC142</f>
        <v/>
      </c>
      <c r="J143" s="124">
        <f>'项目总控台账'!AD142</f>
        <v/>
      </c>
      <c r="K143" s="124">
        <f>IF(A143&lt;&gt;"是","",IF(OR(E143="暂停",E143="挂起"),"确认暂停原因、恢复条件和责任人",IF(H143&lt;0,"立即确认延期原因、影响及补救计划",IF(H143&lt;=7,"本周确认交付承诺和完成证据","提前检查依赖与风险"))))</f>
        <v/>
      </c>
      <c r="L143" s="126" t="n"/>
      <c r="M143" s="127" t="n"/>
    </row>
    <row r="144">
      <c r="A144" s="124">
        <f>IF(B144="","",IF(AND(E144&lt;&gt;"已完成",ISNUMBER(G144),G144&lt;='项目驾驶舱'!$B$3+14),"是","否"))</f>
        <v/>
      </c>
      <c r="B144" s="124">
        <f>'项目总控台账'!A143</f>
        <v/>
      </c>
      <c r="C144" s="124">
        <f>IF(AND('项目总控台账'!E143&lt;&gt;"",'项目总控台账'!E143&lt;&gt;"/"),'项目总控台账'!E143,IF(AND('项目总控台账'!D143&lt;&gt;"",'项目总控台账'!D143&lt;&gt;"/"),'项目总控台账'!D143,'项目总控台账'!C143))</f>
        <v/>
      </c>
      <c r="D144" s="124">
        <f>'项目总控台账'!F143</f>
        <v/>
      </c>
      <c r="E144" s="124">
        <f>'项目总控台账'!G143</f>
        <v/>
      </c>
      <c r="F144" s="124">
        <f>'项目总控台账'!H143</f>
        <v/>
      </c>
      <c r="G144" s="125">
        <f>'项目总控台账'!J143</f>
        <v/>
      </c>
      <c r="H144" s="124">
        <f>IF(G144="","",G144-'项目驾驶舱'!$B$3)</f>
        <v/>
      </c>
      <c r="I144" s="124">
        <f>'项目总控台账'!AC143</f>
        <v/>
      </c>
      <c r="J144" s="124">
        <f>'项目总控台账'!AD143</f>
        <v/>
      </c>
      <c r="K144" s="124">
        <f>IF(A144&lt;&gt;"是","",IF(OR(E144="暂停",E144="挂起"),"确认暂停原因、恢复条件和责任人",IF(H144&lt;0,"立即确认延期原因、影响及补救计划",IF(H144&lt;=7,"本周确认交付承诺和完成证据","提前检查依赖与风险"))))</f>
        <v/>
      </c>
      <c r="L144" s="126" t="n"/>
      <c r="M144" s="127" t="n"/>
    </row>
    <row r="145">
      <c r="A145" s="124">
        <f>IF(B145="","",IF(AND(E145&lt;&gt;"已完成",ISNUMBER(G145),G145&lt;='项目驾驶舱'!$B$3+14),"是","否"))</f>
        <v/>
      </c>
      <c r="B145" s="124">
        <f>'项目总控台账'!A144</f>
        <v/>
      </c>
      <c r="C145" s="124">
        <f>IF(AND('项目总控台账'!E144&lt;&gt;"",'项目总控台账'!E144&lt;&gt;"/"),'项目总控台账'!E144,IF(AND('项目总控台账'!D144&lt;&gt;"",'项目总控台账'!D144&lt;&gt;"/"),'项目总控台账'!D144,'项目总控台账'!C144))</f>
        <v/>
      </c>
      <c r="D145" s="124">
        <f>'项目总控台账'!F144</f>
        <v/>
      </c>
      <c r="E145" s="124">
        <f>'项目总控台账'!G144</f>
        <v/>
      </c>
      <c r="F145" s="124">
        <f>'项目总控台账'!H144</f>
        <v/>
      </c>
      <c r="G145" s="125">
        <f>'项目总控台账'!J144</f>
        <v/>
      </c>
      <c r="H145" s="124">
        <f>IF(G145="","",G145-'项目驾驶舱'!$B$3)</f>
        <v/>
      </c>
      <c r="I145" s="124">
        <f>'项目总控台账'!AC144</f>
        <v/>
      </c>
      <c r="J145" s="124">
        <f>'项目总控台账'!AD144</f>
        <v/>
      </c>
      <c r="K145" s="124">
        <f>IF(A145&lt;&gt;"是","",IF(OR(E145="暂停",E145="挂起"),"确认暂停原因、恢复条件和责任人",IF(H145&lt;0,"立即确认延期原因、影响及补救计划",IF(H145&lt;=7,"本周确认交付承诺和完成证据","提前检查依赖与风险"))))</f>
        <v/>
      </c>
      <c r="L145" s="126" t="n"/>
      <c r="M145" s="127" t="n"/>
    </row>
    <row r="146">
      <c r="A146" s="124">
        <f>IF(B146="","",IF(AND(E146&lt;&gt;"已完成",ISNUMBER(G146),G146&lt;='项目驾驶舱'!$B$3+14),"是","否"))</f>
        <v/>
      </c>
      <c r="B146" s="124">
        <f>'项目总控台账'!A145</f>
        <v/>
      </c>
      <c r="C146" s="124">
        <f>IF(AND('项目总控台账'!E145&lt;&gt;"",'项目总控台账'!E145&lt;&gt;"/"),'项目总控台账'!E145,IF(AND('项目总控台账'!D145&lt;&gt;"",'项目总控台账'!D145&lt;&gt;"/"),'项目总控台账'!D145,'项目总控台账'!C145))</f>
        <v/>
      </c>
      <c r="D146" s="124">
        <f>'项目总控台账'!F145</f>
        <v/>
      </c>
      <c r="E146" s="124">
        <f>'项目总控台账'!G145</f>
        <v/>
      </c>
      <c r="F146" s="124">
        <f>'项目总控台账'!H145</f>
        <v/>
      </c>
      <c r="G146" s="125">
        <f>'项目总控台账'!J145</f>
        <v/>
      </c>
      <c r="H146" s="124">
        <f>IF(G146="","",G146-'项目驾驶舱'!$B$3)</f>
        <v/>
      </c>
      <c r="I146" s="124">
        <f>'项目总控台账'!AC145</f>
        <v/>
      </c>
      <c r="J146" s="124">
        <f>'项目总控台账'!AD145</f>
        <v/>
      </c>
      <c r="K146" s="124">
        <f>IF(A146&lt;&gt;"是","",IF(OR(E146="暂停",E146="挂起"),"确认暂停原因、恢复条件和责任人",IF(H146&lt;0,"立即确认延期原因、影响及补救计划",IF(H146&lt;=7,"本周确认交付承诺和完成证据","提前检查依赖与风险"))))</f>
        <v/>
      </c>
      <c r="L146" s="126" t="n"/>
      <c r="M146" s="127" t="n"/>
    </row>
    <row r="147">
      <c r="A147" s="124">
        <f>IF(B147="","",IF(AND(E147&lt;&gt;"已完成",ISNUMBER(G147),G147&lt;='项目驾驶舱'!$B$3+14),"是","否"))</f>
        <v/>
      </c>
      <c r="B147" s="124">
        <f>'项目总控台账'!A146</f>
        <v/>
      </c>
      <c r="C147" s="124">
        <f>IF(AND('项目总控台账'!E146&lt;&gt;"",'项目总控台账'!E146&lt;&gt;"/"),'项目总控台账'!E146,IF(AND('项目总控台账'!D146&lt;&gt;"",'项目总控台账'!D146&lt;&gt;"/"),'项目总控台账'!D146,'项目总控台账'!C146))</f>
        <v/>
      </c>
      <c r="D147" s="124">
        <f>'项目总控台账'!F146</f>
        <v/>
      </c>
      <c r="E147" s="124">
        <f>'项目总控台账'!G146</f>
        <v/>
      </c>
      <c r="F147" s="124">
        <f>'项目总控台账'!H146</f>
        <v/>
      </c>
      <c r="G147" s="125">
        <f>'项目总控台账'!J146</f>
        <v/>
      </c>
      <c r="H147" s="124">
        <f>IF(G147="","",G147-'项目驾驶舱'!$B$3)</f>
        <v/>
      </c>
      <c r="I147" s="124">
        <f>'项目总控台账'!AC146</f>
        <v/>
      </c>
      <c r="J147" s="124">
        <f>'项目总控台账'!AD146</f>
        <v/>
      </c>
      <c r="K147" s="124">
        <f>IF(A147&lt;&gt;"是","",IF(OR(E147="暂停",E147="挂起"),"确认暂停原因、恢复条件和责任人",IF(H147&lt;0,"立即确认延期原因、影响及补救计划",IF(H147&lt;=7,"本周确认交付承诺和完成证据","提前检查依赖与风险"))))</f>
        <v/>
      </c>
      <c r="L147" s="126" t="n"/>
      <c r="M147" s="127" t="n"/>
    </row>
    <row r="148">
      <c r="A148" s="124">
        <f>IF(B148="","",IF(AND(E148&lt;&gt;"已完成",ISNUMBER(G148),G148&lt;='项目驾驶舱'!$B$3+14),"是","否"))</f>
        <v/>
      </c>
      <c r="B148" s="124">
        <f>'项目总控台账'!A147</f>
        <v/>
      </c>
      <c r="C148" s="124">
        <f>IF(AND('项目总控台账'!E147&lt;&gt;"",'项目总控台账'!E147&lt;&gt;"/"),'项目总控台账'!E147,IF(AND('项目总控台账'!D147&lt;&gt;"",'项目总控台账'!D147&lt;&gt;"/"),'项目总控台账'!D147,'项目总控台账'!C147))</f>
        <v/>
      </c>
      <c r="D148" s="124">
        <f>'项目总控台账'!F147</f>
        <v/>
      </c>
      <c r="E148" s="124">
        <f>'项目总控台账'!G147</f>
        <v/>
      </c>
      <c r="F148" s="124">
        <f>'项目总控台账'!H147</f>
        <v/>
      </c>
      <c r="G148" s="125">
        <f>'项目总控台账'!J147</f>
        <v/>
      </c>
      <c r="H148" s="124">
        <f>IF(G148="","",G148-'项目驾驶舱'!$B$3)</f>
        <v/>
      </c>
      <c r="I148" s="124">
        <f>'项目总控台账'!AC147</f>
        <v/>
      </c>
      <c r="J148" s="124">
        <f>'项目总控台账'!AD147</f>
        <v/>
      </c>
      <c r="K148" s="124">
        <f>IF(A148&lt;&gt;"是","",IF(OR(E148="暂停",E148="挂起"),"确认暂停原因、恢复条件和责任人",IF(H148&lt;0,"立即确认延期原因、影响及补救计划",IF(H148&lt;=7,"本周确认交付承诺和完成证据","提前检查依赖与风险"))))</f>
        <v/>
      </c>
      <c r="L148" s="126" t="n"/>
      <c r="M148" s="127" t="n"/>
    </row>
    <row r="149">
      <c r="A149" s="124">
        <f>IF(B149="","",IF(AND(E149&lt;&gt;"已完成",ISNUMBER(G149),G149&lt;='项目驾驶舱'!$B$3+14),"是","否"))</f>
        <v/>
      </c>
      <c r="B149" s="124">
        <f>'项目总控台账'!A148</f>
        <v/>
      </c>
      <c r="C149" s="124">
        <f>IF(AND('项目总控台账'!E148&lt;&gt;"",'项目总控台账'!E148&lt;&gt;"/"),'项目总控台账'!E148,IF(AND('项目总控台账'!D148&lt;&gt;"",'项目总控台账'!D148&lt;&gt;"/"),'项目总控台账'!D148,'项目总控台账'!C148))</f>
        <v/>
      </c>
      <c r="D149" s="124">
        <f>'项目总控台账'!F148</f>
        <v/>
      </c>
      <c r="E149" s="124">
        <f>'项目总控台账'!G148</f>
        <v/>
      </c>
      <c r="F149" s="124">
        <f>'项目总控台账'!H148</f>
        <v/>
      </c>
      <c r="G149" s="125">
        <f>'项目总控台账'!J148</f>
        <v/>
      </c>
      <c r="H149" s="124">
        <f>IF(G149="","",G149-'项目驾驶舱'!$B$3)</f>
        <v/>
      </c>
      <c r="I149" s="124">
        <f>'项目总控台账'!AC148</f>
        <v/>
      </c>
      <c r="J149" s="124">
        <f>'项目总控台账'!AD148</f>
        <v/>
      </c>
      <c r="K149" s="124">
        <f>IF(A149&lt;&gt;"是","",IF(OR(E149="暂停",E149="挂起"),"确认暂停原因、恢复条件和责任人",IF(H149&lt;0,"立即确认延期原因、影响及补救计划",IF(H149&lt;=7,"本周确认交付承诺和完成证据","提前检查依赖与风险"))))</f>
        <v/>
      </c>
      <c r="L149" s="126" t="n"/>
      <c r="M149" s="127" t="n"/>
    </row>
  </sheetData>
  <autoFilter ref="A4:M149"/>
  <mergeCells count="2">
    <mergeCell ref="A2:M2"/>
    <mergeCell ref="A1:M1"/>
  </mergeCells>
  <conditionalFormatting sqref="A5:A149">
    <cfRule type="expression" priority="1" dxfId="6">
      <formula>$A5="是"</formula>
    </cfRule>
  </conditionalFormatting>
  <conditionalFormatting sqref="H5:H149">
    <cfRule type="expression" priority="2" dxfId="5">
      <formula>$H5&lt;0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FF5B9BD5"/>
    <outlinePr summaryBelow="1" summaryRight="1"/>
    <pageSetUpPr fitToPage="1"/>
  </sheetPr>
  <dimension ref="A1:L707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14" customWidth="1" style="1" min="2" max="2"/>
    <col width="11" customWidth="1" style="1" min="3" max="3"/>
    <col width="28" customWidth="1" style="1" min="4" max="4"/>
    <col width="13" customWidth="1" style="1" min="5" max="5"/>
    <col width="13" customWidth="1" style="1" min="6" max="6"/>
    <col width="13" customWidth="1" style="1" min="7" max="7"/>
    <col width="13" customWidth="1" style="1" min="8" max="8"/>
    <col width="14" customWidth="1" style="1" min="9" max="9"/>
    <col width="13" customWidth="1" style="1" min="10" max="10"/>
    <col width="28" customWidth="1" style="1" min="11" max="11"/>
    <col width="24" customWidth="1" style="1" min="12" max="12"/>
  </cols>
  <sheetData>
    <row r="1" ht="28" customHeight="1" s="1">
      <c r="A1" s="114" t="inlineStr">
        <is>
          <t>资源计划</t>
        </is>
      </c>
    </row>
    <row r="2" ht="22" customHeight="1" s="1">
      <c r="A2" s="115" t="inlineStr">
        <is>
          <t>汇总业务、后端、前端和测试任务分配。黄色区域用于填写可用工时、任务投入工时和资源调整说明。</t>
        </is>
      </c>
    </row>
    <row r="3">
      <c r="A3" s="116" t="n"/>
      <c r="B3" s="116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</row>
    <row r="4" ht="28" customHeight="1" s="1">
      <c r="A4" s="122" t="inlineStr">
        <is>
          <t>人员</t>
        </is>
      </c>
      <c r="B4" s="122" t="inlineStr">
        <is>
          <t>角色</t>
        </is>
      </c>
      <c r="C4" s="122" t="inlineStr">
        <is>
          <t>任务数</t>
        </is>
      </c>
      <c r="D4" s="122" t="inlineStr">
        <is>
          <t>未完成任务</t>
        </is>
      </c>
      <c r="E4" s="122" t="inlineStr">
        <is>
          <t>最早开始</t>
        </is>
      </c>
      <c r="F4" s="122" t="inlineStr">
        <is>
          <t>最晚结束</t>
        </is>
      </c>
      <c r="G4" s="122" t="inlineStr">
        <is>
          <t>周可用工时</t>
        </is>
      </c>
      <c r="H4" s="122" t="inlineStr">
        <is>
          <t>计划投入工时</t>
        </is>
      </c>
      <c r="I4" s="122" t="inlineStr">
        <is>
          <t>负荷率</t>
        </is>
      </c>
      <c r="J4" s="122" t="inlineStr">
        <is>
          <t>负荷判断</t>
        </is>
      </c>
      <c r="K4" s="122" t="inlineStr">
        <is>
          <t>资源建议</t>
        </is>
      </c>
      <c r="L4" s="122" t="inlineStr">
        <is>
          <t>备注</t>
        </is>
      </c>
    </row>
    <row r="5">
      <c r="A5" s="124" t="inlineStr">
        <is>
          <t>刘凯</t>
        </is>
      </c>
      <c r="B5" s="124" t="inlineStr">
        <is>
          <t>后端</t>
        </is>
      </c>
      <c r="C5" s="124">
        <f>COUNTA($C$16:$C$145)</f>
        <v/>
      </c>
      <c r="D5" s="124">
        <f>COUNTIFS($F$16:$F$145,"&lt;&gt;已完成")</f>
        <v/>
      </c>
      <c r="E5" s="125">
        <f>IFERROR(MINIFS($G$16:$G$145,$G$16:$G$145,"&gt;0"),"")</f>
        <v/>
      </c>
      <c r="F5" s="125">
        <f>IFERROR(MAX($H$16:$H$145),"")</f>
        <v/>
      </c>
      <c r="G5" s="127" t="n">
        <v>40</v>
      </c>
      <c r="H5" s="124">
        <f>SUM($I$16:$I$145)</f>
        <v/>
      </c>
      <c r="I5" s="128">
        <f>IF(OR(G5=0,H5=0),"",H5/(G5*MAX(1,NETWORKDAYS(E5,F5)/5)))</f>
        <v/>
      </c>
      <c r="J5" s="124">
        <f>IF(D5=0,"无在途任务",IF(H5=0,"待估算",IF(I5&gt;1,"超负荷",IF(I5&gt;0.85,"高负荷",IF(I5&lt;0.4,"低负荷","正常")))))</f>
        <v/>
      </c>
      <c r="K5" s="124">
        <f>IF(J5="超负荷","调整任务或增加资源",IF(J5="高负荷","确认优先级并预留缓冲",IF(J5="待估算","补充任务投入工时","按计划跟踪")))</f>
        <v/>
      </c>
      <c r="L5" s="127" t="n"/>
    </row>
    <row r="6">
      <c r="A6" s="124" t="inlineStr">
        <is>
          <t>常浩</t>
        </is>
      </c>
      <c r="B6" s="124" t="inlineStr">
        <is>
          <t>前端、后端</t>
        </is>
      </c>
      <c r="C6" s="124">
        <f>COUNTA($C$146:$C$163)</f>
        <v/>
      </c>
      <c r="D6" s="124">
        <f>COUNTIFS($F$146:$F$163,"&lt;&gt;已完成")</f>
        <v/>
      </c>
      <c r="E6" s="125">
        <f>IFERROR(MINIFS($G$146:$G$163,$G$146:$G$163,"&gt;0"),"")</f>
        <v/>
      </c>
      <c r="F6" s="125">
        <f>IFERROR(MAX($H$146:$H$163),"")</f>
        <v/>
      </c>
      <c r="G6" s="127" t="n">
        <v>40</v>
      </c>
      <c r="H6" s="124">
        <f>SUM($I$146:$I$163)</f>
        <v/>
      </c>
      <c r="I6" s="128">
        <f>IF(OR(G6=0,H6=0),"",H6/(G6*MAX(1,NETWORKDAYS(E6,F6)/5)))</f>
        <v/>
      </c>
      <c r="J6" s="124">
        <f>IF(D6=0,"无在途任务",IF(H6=0,"待估算",IF(I6&gt;1,"超负荷",IF(I6&gt;0.85,"高负荷",IF(I6&lt;0.4,"低负荷","正常")))))</f>
        <v/>
      </c>
      <c r="K6" s="124">
        <f>IF(J6="超负荷","调整任务或增加资源",IF(J6="高负荷","确认优先级并预留缓冲",IF(J6="待估算","补充任务投入工时","按计划跟踪")))</f>
        <v/>
      </c>
      <c r="L6" s="127" t="n"/>
    </row>
    <row r="7">
      <c r="A7" s="124" t="inlineStr">
        <is>
          <t>石军磊</t>
        </is>
      </c>
      <c r="B7" s="124" t="inlineStr">
        <is>
          <t>后端</t>
        </is>
      </c>
      <c r="C7" s="124">
        <f>COUNTA($C$164:$C$296)</f>
        <v/>
      </c>
      <c r="D7" s="124">
        <f>COUNTIFS($F$164:$F$296,"&lt;&gt;已完成")</f>
        <v/>
      </c>
      <c r="E7" s="125">
        <f>IFERROR(MINIFS($G$164:$G$296,$G$164:$G$296,"&gt;0"),"")</f>
        <v/>
      </c>
      <c r="F7" s="125">
        <f>IFERROR(MAX($H$164:$H$296),"")</f>
        <v/>
      </c>
      <c r="G7" s="127" t="n">
        <v>40</v>
      </c>
      <c r="H7" s="124">
        <f>SUM($I$164:$I$296)</f>
        <v/>
      </c>
      <c r="I7" s="128">
        <f>IF(OR(G7=0,H7=0),"",H7/(G7*MAX(1,NETWORKDAYS(E7,F7)/5)))</f>
        <v/>
      </c>
      <c r="J7" s="124">
        <f>IF(D7=0,"无在途任务",IF(H7=0,"待估算",IF(I7&gt;1,"超负荷",IF(I7&gt;0.85,"高负荷",IF(I7&lt;0.4,"低负荷","正常")))))</f>
        <v/>
      </c>
      <c r="K7" s="124">
        <f>IF(J7="超负荷","调整任务或增加资源",IF(J7="高负荷","确认优先级并预留缓冲",IF(J7="待估算","补充任务投入工时","按计划跟踪")))</f>
        <v/>
      </c>
      <c r="L7" s="127" t="n"/>
    </row>
    <row r="8">
      <c r="A8" s="124" t="inlineStr">
        <is>
          <t>袁丽荣</t>
        </is>
      </c>
      <c r="B8" s="124" t="inlineStr">
        <is>
          <t>测试</t>
        </is>
      </c>
      <c r="C8" s="124">
        <f>COUNTA($C$297:$C$435)</f>
        <v/>
      </c>
      <c r="D8" s="124">
        <f>COUNTIFS($F$297:$F$435,"&lt;&gt;已完成")</f>
        <v/>
      </c>
      <c r="E8" s="125">
        <f>IFERROR(MINIFS($G$297:$G$435,$G$297:$G$435,"&gt;0"),"")</f>
        <v/>
      </c>
      <c r="F8" s="125">
        <f>IFERROR(MAX($H$297:$H$435),"")</f>
        <v/>
      </c>
      <c r="G8" s="127" t="n">
        <v>40</v>
      </c>
      <c r="H8" s="124">
        <f>SUM($I$297:$I$435)</f>
        <v/>
      </c>
      <c r="I8" s="128">
        <f>IF(OR(G8=0,H8=0),"",H8/(G8*MAX(1,NETWORKDAYS(E8,F8)/5)))</f>
        <v/>
      </c>
      <c r="J8" s="124">
        <f>IF(D8=0,"无在途任务",IF(H8=0,"待估算",IF(I8&gt;1,"超负荷",IF(I8&gt;0.85,"高负荷",IF(I8&lt;0.4,"低负荷","正常")))))</f>
        <v/>
      </c>
      <c r="K8" s="124">
        <f>IF(J8="超负荷","调整任务或增加资源",IF(J8="高负荷","确认优先级并预留缓冲",IF(J8="待估算","补充任务投入工时","按计划跟踪")))</f>
        <v/>
      </c>
      <c r="L8" s="127" t="n"/>
    </row>
    <row r="9">
      <c r="A9" s="124" t="inlineStr">
        <is>
          <t>贺航</t>
        </is>
      </c>
      <c r="B9" s="124" t="inlineStr">
        <is>
          <t>前端</t>
        </is>
      </c>
      <c r="C9" s="124">
        <f>COUNTA($C$436:$C$568)</f>
        <v/>
      </c>
      <c r="D9" s="124">
        <f>COUNTIFS($F$436:$F$568,"&lt;&gt;已完成")</f>
        <v/>
      </c>
      <c r="E9" s="125">
        <f>IFERROR(MINIFS($G$436:$G$568,$G$436:$G$568,"&gt;0"),"")</f>
        <v/>
      </c>
      <c r="F9" s="125">
        <f>IFERROR(MAX($H$436:$H$568),"")</f>
        <v/>
      </c>
      <c r="G9" s="127" t="n">
        <v>40</v>
      </c>
      <c r="H9" s="124">
        <f>SUM($I$436:$I$568)</f>
        <v/>
      </c>
      <c r="I9" s="128">
        <f>IF(OR(G9=0,H9=0),"",H9/(G9*MAX(1,NETWORKDAYS(E9,F9)/5)))</f>
        <v/>
      </c>
      <c r="J9" s="124">
        <f>IF(D9=0,"无在途任务",IF(H9=0,"待估算",IF(I9&gt;1,"超负荷",IF(I9&gt;0.85,"高负荷",IF(I9&lt;0.4,"低负荷","正常")))))</f>
        <v/>
      </c>
      <c r="K9" s="124">
        <f>IF(J9="超负荷","调整任务或增加资源",IF(J9="高负荷","确认优先级并预留缓冲",IF(J9="待估算","补充任务投入工时","按计划跟踪")))</f>
        <v/>
      </c>
      <c r="L9" s="127" t="n"/>
    </row>
    <row r="10">
      <c r="A10" s="124" t="inlineStr">
        <is>
          <t>郑士旺</t>
        </is>
      </c>
      <c r="B10" s="124" t="inlineStr">
        <is>
          <t>业务</t>
        </is>
      </c>
      <c r="C10" s="124">
        <f>COUNTA($C$569:$C$707)</f>
        <v/>
      </c>
      <c r="D10" s="124">
        <f>COUNTIFS($F$569:$F$707,"&lt;&gt;已完成")</f>
        <v/>
      </c>
      <c r="E10" s="125">
        <f>IFERROR(MINIFS($G$569:$G$707,$G$569:$G$707,"&gt;0"),"")</f>
        <v/>
      </c>
      <c r="F10" s="125">
        <f>IFERROR(MAX($H$569:$H$707),"")</f>
        <v/>
      </c>
      <c r="G10" s="127" t="n">
        <v>40</v>
      </c>
      <c r="H10" s="124">
        <f>SUM($I$569:$I$707)</f>
        <v/>
      </c>
      <c r="I10" s="128">
        <f>IF(OR(G10=0,H10=0),"",H10/(G10*MAX(1,NETWORKDAYS(E10,F10)/5)))</f>
        <v/>
      </c>
      <c r="J10" s="124">
        <f>IF(D10=0,"无在途任务",IF(H10=0,"待估算",IF(I10&gt;1,"超负荷",IF(I10&gt;0.85,"高负荷",IF(I10&lt;0.4,"低负荷","正常")))))</f>
        <v/>
      </c>
      <c r="K10" s="124">
        <f>IF(J10="超负荷","调整任务或增加资源",IF(J10="高负荷","确认优先级并预留缓冲",IF(J10="待估算","补充任务投入工时","按计划跟踪")))</f>
        <v/>
      </c>
      <c r="L10" s="127" t="n"/>
    </row>
    <row r="13">
      <c r="A13" s="121" t="inlineStr">
        <is>
          <t>任务资源明细</t>
        </is>
      </c>
    </row>
    <row r="15" ht="28" customHeight="1" s="1">
      <c r="A15" s="122" t="inlineStr">
        <is>
          <t>人员</t>
        </is>
      </c>
      <c r="B15" s="122" t="inlineStr">
        <is>
          <t>角色</t>
        </is>
      </c>
      <c r="C15" s="122" t="inlineStr">
        <is>
          <t>任务ID</t>
        </is>
      </c>
      <c r="D15" s="122" t="inlineStr">
        <is>
          <t>任务名称</t>
        </is>
      </c>
      <c r="E15" s="122" t="inlineStr">
        <is>
          <t>批次</t>
        </is>
      </c>
      <c r="F15" s="122" t="inlineStr">
        <is>
          <t>总体状态</t>
        </is>
      </c>
      <c r="G15" s="122" t="inlineStr">
        <is>
          <t>计划开始</t>
        </is>
      </c>
      <c r="H15" s="122" t="inlineStr">
        <is>
          <t>计划结束</t>
        </is>
      </c>
      <c r="I15" s="122" t="inlineStr">
        <is>
          <t>计划投入工时</t>
        </is>
      </c>
      <c r="J15" s="122" t="inlineStr">
        <is>
          <t>分配状态</t>
        </is>
      </c>
      <c r="K15" s="122" t="inlineStr">
        <is>
          <t>调整建议</t>
        </is>
      </c>
      <c r="L15" s="122" t="inlineStr">
        <is>
          <t>说明</t>
        </is>
      </c>
    </row>
    <row r="16">
      <c r="A16" s="129" t="inlineStr">
        <is>
          <t>刘凯</t>
        </is>
      </c>
      <c r="B16" s="129" t="inlineStr">
        <is>
          <t>后端</t>
        </is>
      </c>
      <c r="C16" s="130" t="inlineStr">
        <is>
          <t>T058</t>
        </is>
      </c>
      <c r="D16" s="130" t="inlineStr">
        <is>
          <t>OCR识别及编辑</t>
        </is>
      </c>
      <c r="E16" s="130" t="inlineStr">
        <is>
          <t>第一批次</t>
        </is>
      </c>
      <c r="F16" s="130">
        <f>IF(OR(M61="挂起",M61="暂停",Q61="挂起",Q61="暂停",U61="挂起",U61="暂停",Y61="挂起",Y61="暂停"),"暂停","已完成")</f>
        <v/>
      </c>
      <c r="G16" s="131" t="n">
        <v>46195</v>
      </c>
      <c r="H16" s="131" t="n">
        <v>46206</v>
      </c>
      <c r="I16" s="132" t="n">
        <v>40</v>
      </c>
      <c r="J16" s="130">
        <f>IF(I16="","待估算",IF(F16="已完成","已结束",IF(AND(ISNUMBER(G16),ISNUMBER(H16),G16&lt;='项目驾驶舱'!$B$3,H16&gt;='项目驾驶舱'!$B$3),"进行中","计划中")))</f>
        <v/>
      </c>
      <c r="K16" s="130">
        <f>IF(J16="待估算","补充投入工时",IF(AND(H16&lt;'项目驾驶舱'!$B$3,F16&lt;&gt;"已完成"),"确认延期和后续安排","按计划跟踪"))</f>
        <v/>
      </c>
      <c r="L16" s="132" t="n"/>
    </row>
    <row r="17">
      <c r="C17" s="124" t="inlineStr">
        <is>
          <t>T070</t>
        </is>
      </c>
      <c r="D17" s="124" t="inlineStr">
        <is>
          <t>生成报告</t>
        </is>
      </c>
      <c r="E17" s="124" t="inlineStr">
        <is>
          <t>第一批次</t>
        </is>
      </c>
      <c r="F17" s="124">
        <f>IF(OR(M73="挂起",M73="暂停",Q73="挂起",Q73="暂停",U73="挂起",U73="暂停",Y73="挂起",Y73="暂停"),"暂停","已完成")</f>
        <v/>
      </c>
      <c r="G17" s="125" t="n">
        <v>46195</v>
      </c>
      <c r="H17" s="125" t="n">
        <v>46206</v>
      </c>
      <c r="I17" s="127" t="n">
        <v>40</v>
      </c>
      <c r="J17" s="124">
        <f>IF(I17="","待估算",IF(F17="已完成","已结束",IF(AND(ISNUMBER(G17),ISNUMBER(H17),G17&lt;='项目驾驶舱'!$B$3,H17&gt;='项目驾驶舱'!$B$3),"进行中","计划中")))</f>
        <v/>
      </c>
      <c r="K17" s="124">
        <f>IF(J17="待估算","补充投入工时",IF(AND(H17&lt;'项目驾驶舱'!$B$3,F17&lt;&gt;"已完成"),"确认延期和后续安排","按计划跟踪"))</f>
        <v/>
      </c>
      <c r="L17" s="127" t="n"/>
    </row>
    <row r="18">
      <c r="C18" s="124" t="inlineStr">
        <is>
          <t>T071</t>
        </is>
      </c>
      <c r="D18" s="124" t="inlineStr">
        <is>
          <t>装船作业信息录入优化（太仓）</t>
        </is>
      </c>
      <c r="E18" s="124" t="inlineStr">
        <is>
          <t>第一批次</t>
        </is>
      </c>
      <c r="F18" s="124">
        <f>IF(OR(M74="挂起",M74="暂停",Q74="挂起",Q74="暂停",U74="挂起",U74="暂停",Y74="挂起",Y74="暂停"),"暂停","已完成")</f>
        <v/>
      </c>
      <c r="G18" s="125" t="n">
        <v>46195</v>
      </c>
      <c r="H18" s="125" t="n">
        <v>46206</v>
      </c>
      <c r="I18" s="127" t="n">
        <v>40</v>
      </c>
      <c r="J18" s="124">
        <f>IF(I18="","待估算",IF(F18="已完成","已结束",IF(AND(ISNUMBER(G18),ISNUMBER(H18),G18&lt;='项目驾驶舱'!$B$3,H18&gt;='项目驾驶舱'!$B$3),"进行中","计划中")))</f>
        <v/>
      </c>
      <c r="K18" s="124">
        <f>IF(J18="待估算","补充投入工时",IF(AND(H18&lt;'项目驾驶舱'!$B$3,F18&lt;&gt;"已完成"),"确认延期和后续安排","按计划跟踪"))</f>
        <v/>
      </c>
      <c r="L18" s="127" t="n"/>
    </row>
    <row r="19">
      <c r="C19" s="124" t="inlineStr">
        <is>
          <t>T001</t>
        </is>
      </c>
      <c r="D19" s="124" t="inlineStr">
        <is>
          <t>新增车辆信息</t>
        </is>
      </c>
      <c r="E19" s="124" t="inlineStr">
        <is>
          <t>第一批次</t>
        </is>
      </c>
      <c r="F19" s="124">
        <f>IF(OR(M4="挂起",M4="暂停",Q4="挂起",Q4="暂停",U4="挂起",U4="暂停",Y4="挂起",Y4="暂停"),"暂停","已完成")</f>
        <v/>
      </c>
      <c r="G19" s="125" t="n">
        <v>46209</v>
      </c>
      <c r="H19" s="125" t="n">
        <v>46225</v>
      </c>
      <c r="I19" s="127" t="n">
        <v>40</v>
      </c>
      <c r="J19" s="124">
        <f>IF(I19="","待估算",IF(F19="已完成","已结束",IF(AND(ISNUMBER(G19),ISNUMBER(H19),G19&lt;='项目驾驶舱'!$B$3,H19&gt;='项目驾驶舱'!$B$3),"进行中","计划中")))</f>
        <v/>
      </c>
      <c r="K19" s="124">
        <f>IF(J19="待估算","补充投入工时",IF(AND(H19&lt;'项目驾驶舱'!$B$3,F19&lt;&gt;"已完成"),"确认延期和后续安排","按计划跟踪"))</f>
        <v/>
      </c>
      <c r="L19" s="127" t="n"/>
    </row>
    <row r="20">
      <c r="C20" s="124" t="inlineStr">
        <is>
          <t>T002</t>
        </is>
      </c>
      <c r="D20" s="124" t="inlineStr">
        <is>
          <t>修改车辆信息</t>
        </is>
      </c>
      <c r="E20" s="124" t="inlineStr">
        <is>
          <t>第一批次</t>
        </is>
      </c>
      <c r="F20" s="124">
        <f>IF(OR(M5="挂起",M5="暂停",Q5="挂起",Q5="暂停",U5="挂起",U5="暂停",Y5="挂起",Y5="暂停"),"暂停","已完成")</f>
        <v/>
      </c>
      <c r="G20" s="125" t="n">
        <v>46209</v>
      </c>
      <c r="H20" s="125" t="n">
        <v>46225</v>
      </c>
      <c r="I20" s="127" t="n">
        <v>40</v>
      </c>
      <c r="J20" s="124">
        <f>IF(I20="","待估算",IF(F20="已完成","已结束",IF(AND(ISNUMBER(G20),ISNUMBER(H20),G20&lt;='项目驾驶舱'!$B$3,H20&gt;='项目驾驶舱'!$B$3),"进行中","计划中")))</f>
        <v/>
      </c>
      <c r="K20" s="124">
        <f>IF(J20="待估算","补充投入工时",IF(AND(H20&lt;'项目驾驶舱'!$B$3,F20&lt;&gt;"已完成"),"确认延期和后续安排","按计划跟踪"))</f>
        <v/>
      </c>
      <c r="L20" s="127" t="n"/>
    </row>
    <row r="21">
      <c r="C21" s="124" t="inlineStr">
        <is>
          <t>T003</t>
        </is>
      </c>
      <c r="D21" s="124" t="inlineStr">
        <is>
          <t>删除车辆信息</t>
        </is>
      </c>
      <c r="E21" s="124" t="inlineStr">
        <is>
          <t>第一批次</t>
        </is>
      </c>
      <c r="F21" s="124">
        <f>IF(OR(M6="挂起",M6="暂停",Q6="挂起",Q6="暂停",U6="挂起",U6="暂停",Y6="挂起",Y6="暂停"),"暂停","已完成")</f>
        <v/>
      </c>
      <c r="G21" s="125" t="n">
        <v>46209</v>
      </c>
      <c r="H21" s="125" t="n">
        <v>46225</v>
      </c>
      <c r="I21" s="127" t="n">
        <v>40</v>
      </c>
      <c r="J21" s="124">
        <f>IF(I21="","待估算",IF(F21="已完成","已结束",IF(AND(ISNUMBER(G21),ISNUMBER(H21),G21&lt;='项目驾驶舱'!$B$3,H21&gt;='项目驾驶舱'!$B$3),"进行中","计划中")))</f>
        <v/>
      </c>
      <c r="K21" s="124">
        <f>IF(J21="待估算","补充投入工时",IF(AND(H21&lt;'项目驾驶舱'!$B$3,F21&lt;&gt;"已完成"),"确认延期和后续安排","按计划跟踪"))</f>
        <v/>
      </c>
      <c r="L21" s="127" t="n"/>
    </row>
    <row r="22">
      <c r="C22" s="124" t="inlineStr">
        <is>
          <t>T004</t>
        </is>
      </c>
      <c r="D22" s="124" t="inlineStr">
        <is>
          <t>查询展示车辆信息</t>
        </is>
      </c>
      <c r="E22" s="124" t="inlineStr">
        <is>
          <t>第一批次</t>
        </is>
      </c>
      <c r="F22" s="124">
        <f>IF(OR(M7="挂起",M7="暂停",Q7="挂起",Q7="暂停",U7="挂起",U7="暂停",Y7="挂起",Y7="暂停"),"暂停","已完成")</f>
        <v/>
      </c>
      <c r="G22" s="125" t="n">
        <v>46209</v>
      </c>
      <c r="H22" s="125" t="n">
        <v>46225</v>
      </c>
      <c r="I22" s="127" t="n">
        <v>40</v>
      </c>
      <c r="J22" s="124">
        <f>IF(I22="","待估算",IF(F22="已完成","已结束",IF(AND(ISNUMBER(G22),ISNUMBER(H22),G22&lt;='项目驾驶舱'!$B$3,H22&gt;='项目驾驶舱'!$B$3),"进行中","计划中")))</f>
        <v/>
      </c>
      <c r="K22" s="124">
        <f>IF(J22="待估算","补充投入工时",IF(AND(H22&lt;'项目驾驶舱'!$B$3,F22&lt;&gt;"已完成"),"确认延期和后续安排","按计划跟踪"))</f>
        <v/>
      </c>
      <c r="L22" s="127" t="n"/>
    </row>
    <row r="23">
      <c r="C23" s="124" t="inlineStr">
        <is>
          <t>T006</t>
        </is>
      </c>
      <c r="D23" s="124" t="inlineStr">
        <is>
          <t>优化收费标准（装卸费）新增</t>
        </is>
      </c>
      <c r="E23" s="124" t="inlineStr">
        <is>
          <t>第一批次</t>
        </is>
      </c>
      <c r="F23" s="124">
        <f>IF(OR(M9="挂起",M9="暂停",Q9="挂起",Q9="暂停",U9="挂起",U9="暂停",Y9="挂起",Y9="暂停"),"暂停","已完成")</f>
        <v/>
      </c>
      <c r="G23" s="125" t="n">
        <v>46209</v>
      </c>
      <c r="H23" s="125" t="n">
        <v>46227</v>
      </c>
      <c r="I23" s="127" t="n">
        <v>40</v>
      </c>
      <c r="J23" s="124">
        <f>IF(I23="","待估算",IF(F23="已完成","已结束",IF(AND(ISNUMBER(G23),ISNUMBER(H23),G23&lt;='项目驾驶舱'!$B$3,H23&gt;='项目驾驶舱'!$B$3),"进行中","计划中")))</f>
        <v/>
      </c>
      <c r="K23" s="124">
        <f>IF(J23="待估算","补充投入工时",IF(AND(H23&lt;'项目驾驶舱'!$B$3,F23&lt;&gt;"已完成"),"确认延期和后续安排","按计划跟踪"))</f>
        <v/>
      </c>
      <c r="L23" s="127" t="n"/>
    </row>
    <row r="24">
      <c r="C24" s="124" t="inlineStr">
        <is>
          <t>T007</t>
        </is>
      </c>
      <c r="D24" s="124" t="inlineStr">
        <is>
          <t>优化收费标准（装卸费）编辑</t>
        </is>
      </c>
      <c r="E24" s="124" t="inlineStr">
        <is>
          <t>第一批次</t>
        </is>
      </c>
      <c r="F24" s="124">
        <f>IF(OR(M10="挂起",M10="暂停",Q10="挂起",Q10="暂停",U10="挂起",U10="暂停",Y10="挂起",Y10="暂停"),"暂停","已完成")</f>
        <v/>
      </c>
      <c r="G24" s="125" t="n">
        <v>46209</v>
      </c>
      <c r="H24" s="125" t="n">
        <v>46227</v>
      </c>
      <c r="I24" s="127" t="n">
        <v>40</v>
      </c>
      <c r="J24" s="124">
        <f>IF(I24="","待估算",IF(F24="已完成","已结束",IF(AND(ISNUMBER(G24),ISNUMBER(H24),G24&lt;='项目驾驶舱'!$B$3,H24&gt;='项目驾驶舱'!$B$3),"进行中","计划中")))</f>
        <v/>
      </c>
      <c r="K24" s="124">
        <f>IF(J24="待估算","补充投入工时",IF(AND(H24&lt;'项目驾驶舱'!$B$3,F24&lt;&gt;"已完成"),"确认延期和后续安排","按计划跟踪"))</f>
        <v/>
      </c>
      <c r="L24" s="127" t="n"/>
    </row>
    <row r="25">
      <c r="C25" s="124" t="inlineStr">
        <is>
          <t>T008</t>
        </is>
      </c>
      <c r="D25" s="124" t="inlineStr">
        <is>
          <t>优化收费标准（装卸费）详情</t>
        </is>
      </c>
      <c r="E25" s="124" t="inlineStr">
        <is>
          <t>第一批次</t>
        </is>
      </c>
      <c r="F25" s="124">
        <f>IF(OR(M11="挂起",M11="暂停",Q11="挂起",Q11="暂停",U11="挂起",U11="暂停",Y11="挂起",Y11="暂停"),"暂停","已完成")</f>
        <v/>
      </c>
      <c r="G25" s="125" t="n">
        <v>46209</v>
      </c>
      <c r="H25" s="125" t="n">
        <v>46227</v>
      </c>
      <c r="I25" s="127" t="n">
        <v>40</v>
      </c>
      <c r="J25" s="124">
        <f>IF(I25="","待估算",IF(F25="已完成","已结束",IF(AND(ISNUMBER(G25),ISNUMBER(H25),G25&lt;='项目驾驶舱'!$B$3,H25&gt;='项目驾驶舱'!$B$3),"进行中","计划中")))</f>
        <v/>
      </c>
      <c r="K25" s="124">
        <f>IF(J25="待估算","补充投入工时",IF(AND(H25&lt;'项目驾驶舱'!$B$3,F25&lt;&gt;"已完成"),"确认延期和后续安排","按计划跟踪"))</f>
        <v/>
      </c>
      <c r="L25" s="127" t="n"/>
    </row>
    <row r="26">
      <c r="C26" s="124" t="inlineStr">
        <is>
          <t>T009</t>
        </is>
      </c>
      <c r="D26" s="124" t="inlineStr">
        <is>
          <t>优化采样方式新增</t>
        </is>
      </c>
      <c r="E26" s="124" t="inlineStr">
        <is>
          <t>第一批次</t>
        </is>
      </c>
      <c r="F26" s="124">
        <f>IF(OR(M12="挂起",M12="暂停",Q12="挂起",Q12="暂停",U12="挂起",U12="暂停",Y12="挂起",Y12="暂停"),"暂停","已完成")</f>
        <v/>
      </c>
      <c r="G26" s="125" t="n">
        <v>46209</v>
      </c>
      <c r="H26" s="125" t="n">
        <v>46227</v>
      </c>
      <c r="I26" s="127" t="n">
        <v>40</v>
      </c>
      <c r="J26" s="124">
        <f>IF(I26="","待估算",IF(F26="已完成","已结束",IF(AND(ISNUMBER(G26),ISNUMBER(H26),G26&lt;='项目驾驶舱'!$B$3,H26&gt;='项目驾驶舱'!$B$3),"进行中","计划中")))</f>
        <v/>
      </c>
      <c r="K26" s="124">
        <f>IF(J26="待估算","补充投入工时",IF(AND(H26&lt;'项目驾驶舱'!$B$3,F26&lt;&gt;"已完成"),"确认延期和后续安排","按计划跟踪"))</f>
        <v/>
      </c>
      <c r="L26" s="127" t="n"/>
    </row>
    <row r="27">
      <c r="A27" s="22" t="n"/>
      <c r="B27" s="22" t="n"/>
      <c r="C27" s="124" t="inlineStr">
        <is>
          <t>T010</t>
        </is>
      </c>
      <c r="D27" s="124" t="inlineStr">
        <is>
          <t>优化采样方式编辑</t>
        </is>
      </c>
      <c r="E27" s="124" t="inlineStr">
        <is>
          <t>第一批次</t>
        </is>
      </c>
      <c r="F27" s="124">
        <f>IF(OR(M13="挂起",M13="暂停",Q13="挂起",Q13="暂停",U13="挂起",U13="暂停",Y13="挂起",Y13="暂停"),"暂停","已完成")</f>
        <v/>
      </c>
      <c r="G27" s="125" t="n">
        <v>46209</v>
      </c>
      <c r="H27" s="125" t="n">
        <v>46227</v>
      </c>
      <c r="I27" s="127" t="n">
        <v>40</v>
      </c>
      <c r="J27" s="124">
        <f>IF(I27="","待估算",IF(F27="已完成","已结束",IF(AND(ISNUMBER(G27),ISNUMBER(H27),G27&lt;='项目驾驶舱'!$B$3,H27&gt;='项目驾驶舱'!$B$3),"进行中","计划中")))</f>
        <v/>
      </c>
      <c r="K27" s="124">
        <f>IF(J27="待估算","补充投入工时",IF(AND(H27&lt;'项目驾驶舱'!$B$3,F27&lt;&gt;"已完成"),"确认延期和后续安排","按计划跟踪"))</f>
        <v/>
      </c>
      <c r="L27" s="127" t="n"/>
    </row>
    <row r="28">
      <c r="A28" s="133" t="inlineStr">
        <is>
          <t>刘凯</t>
        </is>
      </c>
      <c r="B28" s="133" t="inlineStr">
        <is>
          <t>后端</t>
        </is>
      </c>
      <c r="C28" s="124" t="inlineStr">
        <is>
          <t>T011</t>
        </is>
      </c>
      <c r="D28" s="124" t="inlineStr">
        <is>
          <t>获取报单数据及展示</t>
        </is>
      </c>
      <c r="E28" s="124" t="inlineStr">
        <is>
          <t>第一批次</t>
        </is>
      </c>
      <c r="F28" s="124">
        <f>IF(OR(M14="挂起",M14="暂停",Q14="挂起",Q14="暂停",U14="挂起",U14="暂停",Y14="挂起",Y14="暂停"),"暂停","已完成")</f>
        <v/>
      </c>
      <c r="G28" s="125" t="n">
        <v>46209</v>
      </c>
      <c r="H28" s="125" t="n">
        <v>46227</v>
      </c>
      <c r="I28" s="127" t="n">
        <v>40</v>
      </c>
      <c r="J28" s="124">
        <f>IF(I28="","待估算",IF(F28="已完成","已结束",IF(AND(ISNUMBER(G28),ISNUMBER(H28),G28&lt;='项目驾驶舱'!$B$3,H28&gt;='项目驾驶舱'!$B$3),"进行中","计划中")))</f>
        <v/>
      </c>
      <c r="K28" s="124">
        <f>IF(J28="待估算","补充投入工时",IF(AND(H28&lt;'项目驾驶舱'!$B$3,F28&lt;&gt;"已完成"),"确认延期和后续安排","按计划跟踪"))</f>
        <v/>
      </c>
      <c r="L28" s="127" t="n"/>
    </row>
    <row r="29">
      <c r="C29" s="124" t="inlineStr">
        <is>
          <t>T012</t>
        </is>
      </c>
      <c r="D29" s="124" t="inlineStr">
        <is>
          <t>应单入口</t>
        </is>
      </c>
      <c r="E29" s="124" t="inlineStr">
        <is>
          <t>第一批次</t>
        </is>
      </c>
      <c r="F29" s="124">
        <f>IF(OR(M15="挂起",M15="暂停",Q15="挂起",Q15="暂停",U15="挂起",U15="暂停",Y15="挂起",Y15="暂停"),"暂停","已完成")</f>
        <v/>
      </c>
      <c r="G29" s="125" t="n">
        <v>46209</v>
      </c>
      <c r="H29" s="125" t="n">
        <v>46227</v>
      </c>
      <c r="I29" s="127" t="n">
        <v>40</v>
      </c>
      <c r="J29" s="124">
        <f>IF(I29="","待估算",IF(F29="已完成","已结束",IF(AND(ISNUMBER(G29),ISNUMBER(H29),G29&lt;='项目驾驶舱'!$B$3,H29&gt;='项目驾驶舱'!$B$3),"进行中","计划中")))</f>
        <v/>
      </c>
      <c r="K29" s="124">
        <f>IF(J29="待估算","补充投入工时",IF(AND(H29&lt;'项目驾驶舱'!$B$3,F29&lt;&gt;"已完成"),"确认延期和后续安排","按计划跟踪"))</f>
        <v/>
      </c>
      <c r="L29" s="127" t="n"/>
    </row>
    <row r="30">
      <c r="C30" s="124" t="inlineStr">
        <is>
          <t>T060</t>
        </is>
      </c>
      <c r="D30" s="124" t="inlineStr">
        <is>
          <t>货权录入</t>
        </is>
      </c>
      <c r="E30" s="124" t="inlineStr">
        <is>
          <t>第一批次</t>
        </is>
      </c>
      <c r="F30" s="124">
        <f>IF(OR(M63="挂起",M63="暂停",Q63="挂起",Q63="暂停",U63="挂起",U63="暂停",Y63="挂起",Y63="暂停"),"暂停","已完成")</f>
        <v/>
      </c>
      <c r="G30" s="125" t="n">
        <v>46209</v>
      </c>
      <c r="H30" s="125" t="n">
        <v>46227</v>
      </c>
      <c r="I30" s="127" t="n">
        <v>40</v>
      </c>
      <c r="J30" s="124">
        <f>IF(I30="","待估算",IF(F30="已完成","已结束",IF(AND(ISNUMBER(G30),ISNUMBER(H30),G30&lt;='项目驾驶舱'!$B$3,H30&gt;='项目驾驶舱'!$B$3),"进行中","计划中")))</f>
        <v/>
      </c>
      <c r="K30" s="124">
        <f>IF(J30="待估算","补充投入工时",IF(AND(H30&lt;'项目驾驶舱'!$B$3,F30&lt;&gt;"已完成"),"确认延期和后续安排","按计划跟踪"))</f>
        <v/>
      </c>
      <c r="L30" s="127" t="n"/>
    </row>
    <row r="31">
      <c r="C31" s="124" t="inlineStr">
        <is>
          <t>T061</t>
        </is>
      </c>
      <c r="D31" s="124" t="inlineStr">
        <is>
          <t>货权修改</t>
        </is>
      </c>
      <c r="E31" s="124" t="inlineStr">
        <is>
          <t>第一批次</t>
        </is>
      </c>
      <c r="F31" s="124">
        <f>IF(OR(M64="挂起",M64="暂停",Q64="挂起",Q64="暂停",U64="挂起",U64="暂停",Y64="挂起",Y64="暂停"),"暂停","已完成")</f>
        <v/>
      </c>
      <c r="G31" s="125" t="n">
        <v>46209</v>
      </c>
      <c r="H31" s="125" t="n">
        <v>46227</v>
      </c>
      <c r="I31" s="127" t="n">
        <v>40</v>
      </c>
      <c r="J31" s="124">
        <f>IF(I31="","待估算",IF(F31="已完成","已结束",IF(AND(ISNUMBER(G31),ISNUMBER(H31),G31&lt;='项目驾驶舱'!$B$3,H31&gt;='项目驾驶舱'!$B$3),"进行中","计划中")))</f>
        <v/>
      </c>
      <c r="K31" s="124">
        <f>IF(J31="待估算","补充投入工时",IF(AND(H31&lt;'项目驾驶舱'!$B$3,F31&lt;&gt;"已完成"),"确认延期和后续安排","按计划跟踪"))</f>
        <v/>
      </c>
      <c r="L31" s="127" t="n"/>
    </row>
    <row r="32">
      <c r="C32" s="124" t="inlineStr">
        <is>
          <t>T062</t>
        </is>
      </c>
      <c r="D32" s="124" t="inlineStr">
        <is>
          <t>获取查询</t>
        </is>
      </c>
      <c r="E32" s="124" t="inlineStr">
        <is>
          <t>第一批次</t>
        </is>
      </c>
      <c r="F32" s="124">
        <f>IF(OR(M65="挂起",M65="暂停",Q65="挂起",Q65="暂停",U65="挂起",U65="暂停",Y65="挂起",Y65="暂停"),"暂停","已完成")</f>
        <v/>
      </c>
      <c r="G32" s="125" t="n">
        <v>46209</v>
      </c>
      <c r="H32" s="125" t="n">
        <v>46227</v>
      </c>
      <c r="I32" s="127" t="n">
        <v>40</v>
      </c>
      <c r="J32" s="124">
        <f>IF(I32="","待估算",IF(F32="已完成","已结束",IF(AND(ISNUMBER(G32),ISNUMBER(H32),G32&lt;='项目驾驶舱'!$B$3,H32&gt;='项目驾驶舱'!$B$3),"进行中","计划中")))</f>
        <v/>
      </c>
      <c r="K32" s="124">
        <f>IF(J32="待估算","补充投入工时",IF(AND(H32&lt;'项目驾驶舱'!$B$3,F32&lt;&gt;"已完成"),"确认延期和后续安排","按计划跟踪"))</f>
        <v/>
      </c>
      <c r="L32" s="127" t="n"/>
    </row>
    <row r="33">
      <c r="C33" s="124" t="inlineStr">
        <is>
          <t>T063</t>
        </is>
      </c>
      <c r="D33" s="124" t="inlineStr">
        <is>
          <t>卸船作业货权跟踪</t>
        </is>
      </c>
      <c r="E33" s="124" t="inlineStr">
        <is>
          <t>第一批次</t>
        </is>
      </c>
      <c r="F33" s="124">
        <f>IF(OR(M66="挂起",M66="暂停",Q66="挂起",Q66="暂停",U66="挂起",U66="暂停",Y66="挂起",Y66="暂停"),"暂停","已完成")</f>
        <v/>
      </c>
      <c r="G33" s="125" t="n">
        <v>46209</v>
      </c>
      <c r="H33" s="125" t="n">
        <v>46227</v>
      </c>
      <c r="I33" s="127" t="n">
        <v>40</v>
      </c>
      <c r="J33" s="124">
        <f>IF(I33="","待估算",IF(F33="已完成","已结束",IF(AND(ISNUMBER(G33),ISNUMBER(H33),G33&lt;='项目驾驶舱'!$B$3,H33&gt;='项目驾驶舱'!$B$3),"进行中","计划中")))</f>
        <v/>
      </c>
      <c r="K33" s="124">
        <f>IF(J33="待估算","补充投入工时",IF(AND(H33&lt;'项目驾驶舱'!$B$3,F33&lt;&gt;"已完成"),"确认延期和后续安排","按计划跟踪"))</f>
        <v/>
      </c>
      <c r="L33" s="127" t="n"/>
    </row>
    <row r="34">
      <c r="C34" s="124" t="inlineStr">
        <is>
          <t>T064</t>
        </is>
      </c>
      <c r="D34" s="124" t="inlineStr">
        <is>
          <t>卸船作业货权跟踪</t>
        </is>
      </c>
      <c r="E34" s="124" t="inlineStr">
        <is>
          <t>第一批次</t>
        </is>
      </c>
      <c r="F34" s="124">
        <f>IF(OR(M67="挂起",M67="暂停",Q67="挂起",Q67="暂停",U67="挂起",U67="暂停",Y67="挂起",Y67="暂停"),"暂停","已完成")</f>
        <v/>
      </c>
      <c r="G34" s="125" t="n">
        <v>46209</v>
      </c>
      <c r="H34" s="125" t="n">
        <v>46227</v>
      </c>
      <c r="I34" s="127" t="n">
        <v>40</v>
      </c>
      <c r="J34" s="124">
        <f>IF(I34="","待估算",IF(F34="已完成","已结束",IF(AND(ISNUMBER(G34),ISNUMBER(H34),G34&lt;='项目驾驶舱'!$B$3,H34&gt;='项目驾驶舱'!$B$3),"进行中","计划中")))</f>
        <v/>
      </c>
      <c r="K34" s="124">
        <f>IF(J34="待估算","补充投入工时",IF(AND(H34&lt;'项目驾驶舱'!$B$3,F34&lt;&gt;"已完成"),"确认延期和后续安排","按计划跟踪"))</f>
        <v/>
      </c>
      <c r="L34" s="127" t="n"/>
    </row>
    <row r="35">
      <c r="C35" s="124" t="inlineStr">
        <is>
          <t>T065</t>
        </is>
      </c>
      <c r="D35" s="124" t="inlineStr">
        <is>
          <t>装船作业货权跟踪</t>
        </is>
      </c>
      <c r="E35" s="124" t="inlineStr">
        <is>
          <t>第一批次</t>
        </is>
      </c>
      <c r="F35" s="124">
        <f>IF(OR(M68="挂起",M68="暂停",Q68="挂起",Q68="暂停",U68="挂起",U68="暂停",Y68="挂起",Y68="暂停"),"暂停","已完成")</f>
        <v/>
      </c>
      <c r="G35" s="125" t="n">
        <v>46209</v>
      </c>
      <c r="H35" s="125" t="n">
        <v>46227</v>
      </c>
      <c r="I35" s="127" t="n">
        <v>40</v>
      </c>
      <c r="J35" s="124">
        <f>IF(I35="","待估算",IF(F35="已完成","已结束",IF(AND(ISNUMBER(G35),ISNUMBER(H35),G35&lt;='项目驾驶舱'!$B$3,H35&gt;='项目驾驶舱'!$B$3),"进行中","计划中")))</f>
        <v/>
      </c>
      <c r="K35" s="124">
        <f>IF(J35="待估算","补充投入工时",IF(AND(H35&lt;'项目驾驶舱'!$B$3,F35&lt;&gt;"已完成"),"确认延期和后续安排","按计划跟踪"))</f>
        <v/>
      </c>
      <c r="L35" s="127" t="n"/>
    </row>
    <row r="36">
      <c r="C36" s="124" t="inlineStr">
        <is>
          <t>T066</t>
        </is>
      </c>
      <c r="D36" s="124" t="inlineStr">
        <is>
          <t>装船作业货权跟踪</t>
        </is>
      </c>
      <c r="E36" s="124" t="inlineStr">
        <is>
          <t>第一批次</t>
        </is>
      </c>
      <c r="F36" s="124">
        <f>IF(OR(M69="挂起",M69="暂停",Q69="挂起",Q69="暂停",U69="挂起",U69="暂停",Y69="挂起",Y69="暂停"),"暂停","已完成")</f>
        <v/>
      </c>
      <c r="G36" s="125" t="n">
        <v>46209</v>
      </c>
      <c r="H36" s="125" t="n">
        <v>46227</v>
      </c>
      <c r="I36" s="127" t="n">
        <v>40</v>
      </c>
      <c r="J36" s="124">
        <f>IF(I36="","待估算",IF(F36="已完成","已结束",IF(AND(ISNUMBER(G36),ISNUMBER(H36),G36&lt;='项目驾驶舱'!$B$3,H36&gt;='项目驾驶舱'!$B$3),"进行中","计划中")))</f>
        <v/>
      </c>
      <c r="K36" s="124">
        <f>IF(J36="待估算","补充投入工时",IF(AND(H36&lt;'项目驾驶舱'!$B$3,F36&lt;&gt;"已完成"),"确认延期和后续安排","按计划跟踪"))</f>
        <v/>
      </c>
      <c r="L36" s="127" t="n"/>
    </row>
    <row r="37">
      <c r="C37" s="124" t="inlineStr">
        <is>
          <t>T067</t>
        </is>
      </c>
      <c r="D37" s="124" t="inlineStr">
        <is>
          <t>装船作业货权跟踪</t>
        </is>
      </c>
      <c r="E37" s="124" t="inlineStr">
        <is>
          <t>第一批次</t>
        </is>
      </c>
      <c r="F37" s="124">
        <f>IF(OR(M70="挂起",M70="暂停",Q70="挂起",Q70="暂停",U70="挂起",U70="暂停",Y70="挂起",Y70="暂停"),"暂停","已完成")</f>
        <v/>
      </c>
      <c r="G37" s="125" t="n">
        <v>46209</v>
      </c>
      <c r="H37" s="125" t="n">
        <v>46227</v>
      </c>
      <c r="I37" s="127" t="n">
        <v>40</v>
      </c>
      <c r="J37" s="124">
        <f>IF(I37="","待估算",IF(F37="已完成","已结束",IF(AND(ISNUMBER(G37),ISNUMBER(H37),G37&lt;='项目驾驶舱'!$B$3,H37&gt;='项目驾驶舱'!$B$3),"进行中","计划中")))</f>
        <v/>
      </c>
      <c r="K37" s="124">
        <f>IF(J37="待估算","补充投入工时",IF(AND(H37&lt;'项目驾驶舱'!$B$3,F37&lt;&gt;"已完成"),"确认延期和后续安排","按计划跟踪"))</f>
        <v/>
      </c>
      <c r="L37" s="127" t="n"/>
    </row>
    <row r="38">
      <c r="C38" s="124" t="inlineStr">
        <is>
          <t>T068</t>
        </is>
      </c>
      <c r="D38" s="124" t="inlineStr">
        <is>
          <t>装船作业货权跟踪</t>
        </is>
      </c>
      <c r="E38" s="124" t="inlineStr">
        <is>
          <t>第一批次</t>
        </is>
      </c>
      <c r="F38" s="124">
        <f>IF(OR(M71="挂起",M71="暂停",Q71="挂起",Q71="暂停",U71="挂起",U71="暂停",Y71="挂起",Y71="暂停"),"暂停","已完成")</f>
        <v/>
      </c>
      <c r="G38" s="125" t="n">
        <v>46209</v>
      </c>
      <c r="H38" s="125" t="n">
        <v>46227</v>
      </c>
      <c r="I38" s="127" t="n">
        <v>40</v>
      </c>
      <c r="J38" s="124">
        <f>IF(I38="","待估算",IF(F38="已完成","已结束",IF(AND(ISNUMBER(G38),ISNUMBER(H38),G38&lt;='项目驾驶舱'!$B$3,H38&gt;='项目驾驶舱'!$B$3),"进行中","计划中")))</f>
        <v/>
      </c>
      <c r="K38" s="124">
        <f>IF(J38="待估算","补充投入工时",IF(AND(H38&lt;'项目驾驶舱'!$B$3,F38&lt;&gt;"已完成"),"确认延期和后续安排","按计划跟踪"))</f>
        <v/>
      </c>
      <c r="L38" s="127" t="n"/>
    </row>
    <row r="39">
      <c r="A39" s="22" t="n"/>
      <c r="B39" s="22" t="n"/>
      <c r="C39" s="124" t="inlineStr">
        <is>
          <t>T072</t>
        </is>
      </c>
      <c r="D39" s="124" t="inlineStr">
        <is>
          <t>OCR识别</t>
        </is>
      </c>
      <c r="E39" s="124" t="inlineStr">
        <is>
          <t>第一批次</t>
        </is>
      </c>
      <c r="F39" s="124">
        <f>IF(OR(M75="挂起",M75="暂停",Q75="挂起",Q75="暂停",U75="挂起",U75="暂停",Y75="挂起",Y75="暂停"),"暂停","已完成")</f>
        <v/>
      </c>
      <c r="G39" s="125" t="n">
        <v>46209</v>
      </c>
      <c r="H39" s="125" t="n">
        <v>46225</v>
      </c>
      <c r="I39" s="127" t="n">
        <v>40</v>
      </c>
      <c r="J39" s="124">
        <f>IF(I39="","待估算",IF(F39="已完成","已结束",IF(AND(ISNUMBER(G39),ISNUMBER(H39),G39&lt;='项目驾驶舱'!$B$3,H39&gt;='项目驾驶舱'!$B$3),"进行中","计划中")))</f>
        <v/>
      </c>
      <c r="K39" s="124">
        <f>IF(J39="待估算","补充投入工时",IF(AND(H39&lt;'项目驾驶舱'!$B$3,F39&lt;&gt;"已完成"),"确认延期和后续安排","按计划跟踪"))</f>
        <v/>
      </c>
      <c r="L39" s="127" t="n"/>
    </row>
    <row r="40">
      <c r="A40" s="133" t="inlineStr">
        <is>
          <t>刘凯</t>
        </is>
      </c>
      <c r="B40" s="133" t="inlineStr">
        <is>
          <t>后端</t>
        </is>
      </c>
      <c r="C40" s="124" t="inlineStr">
        <is>
          <t>T096</t>
        </is>
      </c>
      <c r="D40" s="124" t="inlineStr">
        <is>
          <t>自动生成装船港杂费</t>
        </is>
      </c>
      <c r="E40" s="124" t="inlineStr">
        <is>
          <t>第一批次</t>
        </is>
      </c>
      <c r="F40" s="124">
        <f>IF(OR(M99="挂起",M99="暂停",Q99="挂起",Q99="暂停",U99="挂起",U99="暂停",Y99="挂起",Y99="暂停"),"暂停","已完成")</f>
        <v/>
      </c>
      <c r="G40" s="125" t="n">
        <v>46209</v>
      </c>
      <c r="H40" s="125" t="n">
        <v>46225</v>
      </c>
      <c r="I40" s="127" t="n">
        <v>40</v>
      </c>
      <c r="J40" s="124">
        <f>IF(I40="","待估算",IF(F40="已完成","已结束",IF(AND(ISNUMBER(G40),ISNUMBER(H40),G40&lt;='项目驾驶舱'!$B$3,H40&gt;='项目驾驶舱'!$B$3),"进行中","计划中")))</f>
        <v/>
      </c>
      <c r="K40" s="124">
        <f>IF(J40="待估算","补充投入工时",IF(AND(H40&lt;'项目驾驶舱'!$B$3,F40&lt;&gt;"已完成"),"确认延期和后续安排","按计划跟踪"))</f>
        <v/>
      </c>
      <c r="L40" s="127" t="n"/>
    </row>
    <row r="41">
      <c r="C41" s="124" t="inlineStr">
        <is>
          <t>T073</t>
        </is>
      </c>
      <c r="D41" s="124" t="inlineStr">
        <is>
          <t>采样作业信息录入新增</t>
        </is>
      </c>
      <c r="E41" s="124" t="inlineStr">
        <is>
          <t>第一批次</t>
        </is>
      </c>
      <c r="F41" s="124">
        <f>IF(OR(M76="挂起",M76="暂停",Q76="挂起",Q76="暂停",U76="挂起",U76="暂停",Y76="挂起",Y76="暂停"),"暂停","已完成")</f>
        <v/>
      </c>
      <c r="G41" s="125" t="n">
        <v>46227</v>
      </c>
      <c r="H41" s="125" t="n">
        <v>46227</v>
      </c>
      <c r="I41" s="127" t="n">
        <v>40</v>
      </c>
      <c r="J41" s="124">
        <f>IF(I41="","待估算",IF(F41="已完成","已结束",IF(AND(ISNUMBER(G41),ISNUMBER(H41),G41&lt;='项目驾驶舱'!$B$3,H41&gt;='项目驾驶舱'!$B$3),"进行中","计划中")))</f>
        <v/>
      </c>
      <c r="K41" s="124">
        <f>IF(J41="待估算","补充投入工时",IF(AND(H41&lt;'项目驾驶舱'!$B$3,F41&lt;&gt;"已完成"),"确认延期和后续安排","按计划跟踪"))</f>
        <v/>
      </c>
      <c r="L41" s="127" t="n"/>
    </row>
    <row r="42">
      <c r="C42" s="124" t="inlineStr">
        <is>
          <t>T074</t>
        </is>
      </c>
      <c r="D42" s="124" t="inlineStr">
        <is>
          <t>采样作业信息录入编辑</t>
        </is>
      </c>
      <c r="E42" s="124" t="inlineStr">
        <is>
          <t>第一批次</t>
        </is>
      </c>
      <c r="F42" s="124">
        <f>IF(OR(M77="挂起",M77="暂停",Q77="挂起",Q77="暂停",U77="挂起",U77="暂停",Y77="挂起",Y77="暂停"),"暂停","已完成")</f>
        <v/>
      </c>
      <c r="G42" s="125" t="n">
        <v>46227</v>
      </c>
      <c r="H42" s="125" t="n">
        <v>46227</v>
      </c>
      <c r="I42" s="127" t="n">
        <v>40</v>
      </c>
      <c r="J42" s="124">
        <f>IF(I42="","待估算",IF(F42="已完成","已结束",IF(AND(ISNUMBER(G42),ISNUMBER(H42),G42&lt;='项目驾驶舱'!$B$3,H42&gt;='项目驾驶舱'!$B$3),"进行中","计划中")))</f>
        <v/>
      </c>
      <c r="K42" s="124">
        <f>IF(J42="待估算","补充投入工时",IF(AND(H42&lt;'项目驾驶舱'!$B$3,F42&lt;&gt;"已完成"),"确认延期和后续安排","按计划跟踪"))</f>
        <v/>
      </c>
      <c r="L42" s="127" t="n"/>
    </row>
    <row r="43">
      <c r="C43" s="124" t="inlineStr">
        <is>
          <t>T075</t>
        </is>
      </c>
      <c r="D43" s="124" t="inlineStr">
        <is>
          <t>采样作业信息录入详情</t>
        </is>
      </c>
      <c r="E43" s="124" t="inlineStr">
        <is>
          <t>第一批次</t>
        </is>
      </c>
      <c r="F43" s="124">
        <f>IF(OR(M78="挂起",M78="暂停",Q78="挂起",Q78="暂停",U78="挂起",U78="暂停",Y78="挂起",Y78="暂停"),"暂停","已完成")</f>
        <v/>
      </c>
      <c r="G43" s="125" t="n">
        <v>46227</v>
      </c>
      <c r="H43" s="125" t="n">
        <v>46227</v>
      </c>
      <c r="I43" s="127" t="n">
        <v>40</v>
      </c>
      <c r="J43" s="124">
        <f>IF(I43="","待估算",IF(F43="已完成","已结束",IF(AND(ISNUMBER(G43),ISNUMBER(H43),G43&lt;='项目驾驶舱'!$B$3,H43&gt;='项目驾驶舱'!$B$3),"进行中","计划中")))</f>
        <v/>
      </c>
      <c r="K43" s="124">
        <f>IF(J43="待估算","补充投入工时",IF(AND(H43&lt;'项目驾驶舱'!$B$3,F43&lt;&gt;"已完成"),"确认延期和后续安排","按计划跟踪"))</f>
        <v/>
      </c>
      <c r="L43" s="127" t="n"/>
    </row>
    <row r="44">
      <c r="C44" s="124" t="inlineStr">
        <is>
          <t>T076</t>
        </is>
      </c>
      <c r="D44" s="124" t="inlineStr">
        <is>
          <t>采样作业信息录入删除</t>
        </is>
      </c>
      <c r="E44" s="124" t="inlineStr">
        <is>
          <t>第一批次</t>
        </is>
      </c>
      <c r="F44" s="124">
        <f>IF(OR(M79="挂起",M79="暂停",Q79="挂起",Q79="暂停",U79="挂起",U79="暂停",Y79="挂起",Y79="暂停"),"暂停","已完成")</f>
        <v/>
      </c>
      <c r="G44" s="125" t="n">
        <v>46227</v>
      </c>
      <c r="H44" s="125" t="n">
        <v>46227</v>
      </c>
      <c r="I44" s="127" t="n">
        <v>40</v>
      </c>
      <c r="J44" s="124">
        <f>IF(I44="","待估算",IF(F44="已完成","已结束",IF(AND(ISNUMBER(G44),ISNUMBER(H44),G44&lt;='项目驾驶舱'!$B$3,H44&gt;='项目驾驶舱'!$B$3),"进行中","计划中")))</f>
        <v/>
      </c>
      <c r="K44" s="124">
        <f>IF(J44="待估算","补充投入工时",IF(AND(H44&lt;'项目驾驶舱'!$B$3,F44&lt;&gt;"已完成"),"确认延期和后续安排","按计划跟踪"))</f>
        <v/>
      </c>
      <c r="L44" s="127" t="n"/>
    </row>
    <row r="45">
      <c r="C45" s="124" t="inlineStr">
        <is>
          <t>T077</t>
        </is>
      </c>
      <c r="D45" s="124" t="inlineStr">
        <is>
          <t>采样作业信息录入列表</t>
        </is>
      </c>
      <c r="E45" s="124" t="inlineStr">
        <is>
          <t>第一批次</t>
        </is>
      </c>
      <c r="F45" s="124">
        <f>IF(OR(M80="挂起",M80="暂停",Q80="挂起",Q80="暂停",U80="挂起",U80="暂停",Y80="挂起",Y80="暂停"),"暂停","已完成")</f>
        <v/>
      </c>
      <c r="G45" s="125" t="n">
        <v>46227</v>
      </c>
      <c r="H45" s="125" t="n">
        <v>46227</v>
      </c>
      <c r="I45" s="127" t="n">
        <v>40</v>
      </c>
      <c r="J45" s="124">
        <f>IF(I45="","待估算",IF(F45="已完成","已结束",IF(AND(ISNUMBER(G45),ISNUMBER(H45),G45&lt;='项目驾驶舱'!$B$3,H45&gt;='项目驾驶舱'!$B$3),"进行中","计划中")))</f>
        <v/>
      </c>
      <c r="K45" s="124">
        <f>IF(J45="待估算","补充投入工时",IF(AND(H45&lt;'项目驾驶舱'!$B$3,F45&lt;&gt;"已完成"),"确认延期和后续安排","按计划跟踪"))</f>
        <v/>
      </c>
      <c r="L45" s="127" t="n"/>
    </row>
    <row r="46">
      <c r="C46" s="124" t="inlineStr">
        <is>
          <t>T097</t>
        </is>
      </c>
      <c r="D46" s="124" t="inlineStr">
        <is>
          <t>自动生成租赁费</t>
        </is>
      </c>
      <c r="E46" s="124" t="inlineStr">
        <is>
          <t>第一批次</t>
        </is>
      </c>
      <c r="F46" s="124">
        <f>IF(OR(M100="挂起",M100="暂停",Q100="挂起",Q100="暂停",U100="挂起",U100="暂停",Y100="挂起",Y100="暂停"),"暂停","已完成")</f>
        <v/>
      </c>
      <c r="G46" s="125" t="n">
        <v>46227</v>
      </c>
      <c r="H46" s="125" t="n">
        <v>46227</v>
      </c>
      <c r="I46" s="127" t="n">
        <v>40</v>
      </c>
      <c r="J46" s="124">
        <f>IF(I46="","待估算",IF(F46="已完成","已结束",IF(AND(ISNUMBER(G46),ISNUMBER(H46),G46&lt;='项目驾驶舱'!$B$3,H46&gt;='项目驾驶舱'!$B$3),"进行中","计划中")))</f>
        <v/>
      </c>
      <c r="K46" s="124">
        <f>IF(J46="待估算","补充投入工时",IF(AND(H46&lt;'项目驾驶舱'!$B$3,F46&lt;&gt;"已完成"),"确认延期和后续安排","按计划跟踪"))</f>
        <v/>
      </c>
      <c r="L46" s="127" t="n"/>
    </row>
    <row r="47">
      <c r="C47" s="124" t="inlineStr">
        <is>
          <t>T098</t>
        </is>
      </c>
      <c r="D47" s="124" t="inlineStr">
        <is>
          <t>优化装卸费新增</t>
        </is>
      </c>
      <c r="E47" s="124" t="inlineStr">
        <is>
          <t>第一批次</t>
        </is>
      </c>
      <c r="F47" s="124">
        <f>IF(OR(M101="挂起",M101="暂停",Q101="挂起",Q101="暂停",U101="挂起",U101="暂停",Y101="挂起",Y101="暂停"),"暂停","已完成")</f>
        <v/>
      </c>
      <c r="G47" s="125" t="n">
        <v>46227</v>
      </c>
      <c r="H47" s="125" t="n">
        <v>46227</v>
      </c>
      <c r="I47" s="127" t="n">
        <v>40</v>
      </c>
      <c r="J47" s="124">
        <f>IF(I47="","待估算",IF(F47="已完成","已结束",IF(AND(ISNUMBER(G47),ISNUMBER(H47),G47&lt;='项目驾驶舱'!$B$3,H47&gt;='项目驾驶舱'!$B$3),"进行中","计划中")))</f>
        <v/>
      </c>
      <c r="K47" s="124">
        <f>IF(J47="待估算","补充投入工时",IF(AND(H47&lt;'项目驾驶舱'!$B$3,F47&lt;&gt;"已完成"),"确认延期和后续安排","按计划跟踪"))</f>
        <v/>
      </c>
      <c r="L47" s="127" t="n"/>
    </row>
    <row r="48">
      <c r="C48" s="124" t="inlineStr">
        <is>
          <t>T099</t>
        </is>
      </c>
      <c r="D48" s="124" t="inlineStr">
        <is>
          <t>优化装卸费编辑</t>
        </is>
      </c>
      <c r="E48" s="124" t="inlineStr">
        <is>
          <t>第一批次</t>
        </is>
      </c>
      <c r="F48" s="124">
        <f>IF(OR(M102="挂起",M102="暂停",Q102="挂起",Q102="暂停",U102="挂起",U102="暂停",Y102="挂起",Y102="暂停"),"暂停","已完成")</f>
        <v/>
      </c>
      <c r="G48" s="125" t="n">
        <v>46227</v>
      </c>
      <c r="H48" s="125" t="n">
        <v>46227</v>
      </c>
      <c r="I48" s="127" t="n">
        <v>40</v>
      </c>
      <c r="J48" s="124">
        <f>IF(I48="","待估算",IF(F48="已完成","已结束",IF(AND(ISNUMBER(G48),ISNUMBER(H48),G48&lt;='项目驾驶舱'!$B$3,H48&gt;='项目驾驶舱'!$B$3),"进行中","计划中")))</f>
        <v/>
      </c>
      <c r="K48" s="124">
        <f>IF(J48="待估算","补充投入工时",IF(AND(H48&lt;'项目驾驶舱'!$B$3,F48&lt;&gt;"已完成"),"确认延期和后续安排","按计划跟踪"))</f>
        <v/>
      </c>
      <c r="L48" s="127" t="n"/>
    </row>
    <row r="49">
      <c r="C49" s="124" t="inlineStr">
        <is>
          <t>T037</t>
        </is>
      </c>
      <c r="D49" s="124" t="inlineStr">
        <is>
          <t>创建卸车流程</t>
        </is>
      </c>
      <c r="E49" s="124" t="inlineStr">
        <is>
          <t>第一批次</t>
        </is>
      </c>
      <c r="F49" s="124">
        <f>IF(OR(M40="挂起",M40="暂停",Q40="挂起",Q40="暂停",U40="挂起",U40="暂停",Y40="挂起",Y40="暂停"),"暂停","已完成")</f>
        <v/>
      </c>
      <c r="G49" s="125" t="n">
        <v>46230</v>
      </c>
      <c r="H49" s="125" t="n">
        <v>46262</v>
      </c>
      <c r="I49" s="127" t="n">
        <v>40</v>
      </c>
      <c r="J49" s="124">
        <f>IF(I49="","待估算",IF(F49="已完成","已结束",IF(AND(ISNUMBER(G49),ISNUMBER(H49),G49&lt;='项目驾驶舱'!$B$3,H49&gt;='项目驾驶舱'!$B$3),"进行中","计划中")))</f>
        <v/>
      </c>
      <c r="K49" s="124">
        <f>IF(J49="待估算","补充投入工时",IF(AND(H49&lt;'项目驾驶舱'!$B$3,F49&lt;&gt;"已完成"),"确认延期和后续安排","按计划跟踪"))</f>
        <v/>
      </c>
      <c r="L49" s="127" t="n"/>
    </row>
    <row r="50">
      <c r="C50" s="124" t="inlineStr">
        <is>
          <t>T038</t>
        </is>
      </c>
      <c r="D50" s="124" t="inlineStr">
        <is>
          <t>查询卸车流程</t>
        </is>
      </c>
      <c r="E50" s="124" t="inlineStr">
        <is>
          <t>第一批次</t>
        </is>
      </c>
      <c r="F50" s="124">
        <f>IF(OR(M41="挂起",M41="暂停",Q41="挂起",Q41="暂停",U41="挂起",U41="暂停",Y41="挂起",Y41="暂停"),"暂停","已完成")</f>
        <v/>
      </c>
      <c r="G50" s="125" t="n">
        <v>46230</v>
      </c>
      <c r="H50" s="125" t="n">
        <v>46262</v>
      </c>
      <c r="I50" s="127" t="n">
        <v>40</v>
      </c>
      <c r="J50" s="124">
        <f>IF(I50="","待估算",IF(F50="已完成","已结束",IF(AND(ISNUMBER(G50),ISNUMBER(H50),G50&lt;='项目驾驶舱'!$B$3,H50&gt;='项目驾驶舱'!$B$3),"进行中","计划中")))</f>
        <v/>
      </c>
      <c r="K50" s="124">
        <f>IF(J50="待估算","补充投入工时",IF(AND(H50&lt;'项目驾驶舱'!$B$3,F50&lt;&gt;"已完成"),"确认延期和后续安排","按计划跟踪"))</f>
        <v/>
      </c>
      <c r="L50" s="127" t="n"/>
    </row>
    <row r="51">
      <c r="A51" s="22" t="n"/>
      <c r="B51" s="22" t="n"/>
      <c r="C51" s="124" t="inlineStr">
        <is>
          <t>T039</t>
        </is>
      </c>
      <c r="D51" s="124" t="inlineStr">
        <is>
          <t>修改卸车流程</t>
        </is>
      </c>
      <c r="E51" s="124" t="inlineStr">
        <is>
          <t>第一批次</t>
        </is>
      </c>
      <c r="F51" s="124">
        <f>IF(OR(M42="挂起",M42="暂停",Q42="挂起",Q42="暂停",U42="挂起",U42="暂停",Y42="挂起",Y42="暂停"),"暂停","已完成")</f>
        <v/>
      </c>
      <c r="G51" s="125" t="n">
        <v>46230</v>
      </c>
      <c r="H51" s="125" t="n">
        <v>46262</v>
      </c>
      <c r="I51" s="127" t="n">
        <v>40</v>
      </c>
      <c r="J51" s="124">
        <f>IF(I51="","待估算",IF(F51="已完成","已结束",IF(AND(ISNUMBER(G51),ISNUMBER(H51),G51&lt;='项目驾驶舱'!$B$3,H51&gt;='项目驾驶舱'!$B$3),"进行中","计划中")))</f>
        <v/>
      </c>
      <c r="K51" s="124">
        <f>IF(J51="待估算","补充投入工时",IF(AND(H51&lt;'项目驾驶舱'!$B$3,F51&lt;&gt;"已完成"),"确认延期和后续安排","按计划跟踪"))</f>
        <v/>
      </c>
      <c r="L51" s="127" t="n"/>
    </row>
    <row r="52">
      <c r="A52" s="133" t="inlineStr">
        <is>
          <t>刘凯</t>
        </is>
      </c>
      <c r="B52" s="133" t="inlineStr">
        <is>
          <t>后端</t>
        </is>
      </c>
      <c r="C52" s="124" t="inlineStr">
        <is>
          <t>T040</t>
        </is>
      </c>
      <c r="D52" s="124" t="inlineStr">
        <is>
          <t>创建装船流程</t>
        </is>
      </c>
      <c r="E52" s="124" t="inlineStr">
        <is>
          <t>第一批次</t>
        </is>
      </c>
      <c r="F52" s="124">
        <f>IF(OR(M43="挂起",M43="暂停",Q43="挂起",Q43="暂停",U43="挂起",U43="暂停",Y43="挂起",Y43="暂停"),"暂停","已完成")</f>
        <v/>
      </c>
      <c r="G52" s="125" t="n">
        <v>46230</v>
      </c>
      <c r="H52" s="125" t="n">
        <v>46262</v>
      </c>
      <c r="I52" s="127" t="n">
        <v>40</v>
      </c>
      <c r="J52" s="124">
        <f>IF(I52="","待估算",IF(F52="已完成","已结束",IF(AND(ISNUMBER(G52),ISNUMBER(H52),G52&lt;='项目驾驶舱'!$B$3,H52&gt;='项目驾驶舱'!$B$3),"进行中","计划中")))</f>
        <v/>
      </c>
      <c r="K52" s="124">
        <f>IF(J52="待估算","补充投入工时",IF(AND(H52&lt;'项目驾驶舱'!$B$3,F52&lt;&gt;"已完成"),"确认延期和后续安排","按计划跟踪"))</f>
        <v/>
      </c>
      <c r="L52" s="127" t="n"/>
    </row>
    <row r="53">
      <c r="C53" s="124" t="inlineStr">
        <is>
          <t>T041</t>
        </is>
      </c>
      <c r="D53" s="124" t="inlineStr">
        <is>
          <t>查询装船流程</t>
        </is>
      </c>
      <c r="E53" s="124" t="inlineStr">
        <is>
          <t>第一批次</t>
        </is>
      </c>
      <c r="F53" s="124">
        <f>IF(OR(M44="挂起",M44="暂停",Q44="挂起",Q44="暂停",U44="挂起",U44="暂停",Y44="挂起",Y44="暂停"),"暂停","已完成")</f>
        <v/>
      </c>
      <c r="G53" s="125" t="n">
        <v>46230</v>
      </c>
      <c r="H53" s="125" t="n">
        <v>46262</v>
      </c>
      <c r="I53" s="127" t="n">
        <v>40</v>
      </c>
      <c r="J53" s="124">
        <f>IF(I53="","待估算",IF(F53="已完成","已结束",IF(AND(ISNUMBER(G53),ISNUMBER(H53),G53&lt;='项目驾驶舱'!$B$3,H53&gt;='项目驾驶舱'!$B$3),"进行中","计划中")))</f>
        <v/>
      </c>
      <c r="K53" s="124">
        <f>IF(J53="待估算","补充投入工时",IF(AND(H53&lt;'项目驾驶舱'!$B$3,F53&lt;&gt;"已完成"),"确认延期和后续安排","按计划跟踪"))</f>
        <v/>
      </c>
      <c r="L53" s="127" t="n"/>
    </row>
    <row r="54">
      <c r="C54" s="124" t="inlineStr">
        <is>
          <t>T042</t>
        </is>
      </c>
      <c r="D54" s="124" t="inlineStr">
        <is>
          <t>修改装船流程</t>
        </is>
      </c>
      <c r="E54" s="124" t="inlineStr">
        <is>
          <t>第一批次</t>
        </is>
      </c>
      <c r="F54" s="124">
        <f>IF(OR(M45="挂起",M45="暂停",Q45="挂起",Q45="暂停",U45="挂起",U45="暂停",Y45="挂起",Y45="暂停"),"暂停","已完成")</f>
        <v/>
      </c>
      <c r="G54" s="125" t="n">
        <v>46230</v>
      </c>
      <c r="H54" s="125" t="n">
        <v>46262</v>
      </c>
      <c r="I54" s="127" t="n">
        <v>40</v>
      </c>
      <c r="J54" s="124">
        <f>IF(I54="","待估算",IF(F54="已完成","已结束",IF(AND(ISNUMBER(G54),ISNUMBER(H54),G54&lt;='项目驾驶舱'!$B$3,H54&gt;='项目驾驶舱'!$B$3),"进行中","计划中")))</f>
        <v/>
      </c>
      <c r="K54" s="124">
        <f>IF(J54="待估算","补充投入工时",IF(AND(H54&lt;'项目驾驶舱'!$B$3,F54&lt;&gt;"已完成"),"确认延期和后续安排","按计划跟踪"))</f>
        <v/>
      </c>
      <c r="L54" s="127" t="n"/>
    </row>
    <row r="55">
      <c r="C55" s="124" t="inlineStr">
        <is>
          <t>T043</t>
        </is>
      </c>
      <c r="D55" s="124" t="inlineStr">
        <is>
          <t>创建卸船流程</t>
        </is>
      </c>
      <c r="E55" s="124" t="inlineStr">
        <is>
          <t>第二批次</t>
        </is>
      </c>
      <c r="F55" s="124">
        <f>IF(OR(M46="挂起",M46="暂停",Q46="挂起",Q46="暂停",U46="挂起",U46="暂停",Y46="挂起",Y46="暂停"),"暂停","已完成")</f>
        <v/>
      </c>
      <c r="G55" s="125" t="n">
        <v>46230</v>
      </c>
      <c r="H55" s="125" t="n">
        <v>46262</v>
      </c>
      <c r="I55" s="127" t="n">
        <v>40</v>
      </c>
      <c r="J55" s="124">
        <f>IF(I55="","待估算",IF(F55="已完成","已结束",IF(AND(ISNUMBER(G55),ISNUMBER(H55),G55&lt;='项目驾驶舱'!$B$3,H55&gt;='项目驾驶舱'!$B$3),"进行中","计划中")))</f>
        <v/>
      </c>
      <c r="K55" s="124">
        <f>IF(J55="待估算","补充投入工时",IF(AND(H55&lt;'项目驾驶舱'!$B$3,F55&lt;&gt;"已完成"),"确认延期和后续安排","按计划跟踪"))</f>
        <v/>
      </c>
      <c r="L55" s="127" t="n"/>
    </row>
    <row r="56">
      <c r="C56" s="124" t="inlineStr">
        <is>
          <t>T044</t>
        </is>
      </c>
      <c r="D56" s="124" t="inlineStr">
        <is>
          <t>查询卸船流程</t>
        </is>
      </c>
      <c r="E56" s="124" t="inlineStr">
        <is>
          <t>第二批次</t>
        </is>
      </c>
      <c r="F56" s="124">
        <f>IF(OR(M47="挂起",M47="暂停",Q47="挂起",Q47="暂停",U47="挂起",U47="暂停",Y47="挂起",Y47="暂停"),"暂停","已完成")</f>
        <v/>
      </c>
      <c r="G56" s="125" t="n">
        <v>46230</v>
      </c>
      <c r="H56" s="125" t="n">
        <v>46262</v>
      </c>
      <c r="I56" s="127" t="n">
        <v>40</v>
      </c>
      <c r="J56" s="124">
        <f>IF(I56="","待估算",IF(F56="已完成","已结束",IF(AND(ISNUMBER(G56),ISNUMBER(H56),G56&lt;='项目驾驶舱'!$B$3,H56&gt;='项目驾驶舱'!$B$3),"进行中","计划中")))</f>
        <v/>
      </c>
      <c r="K56" s="124">
        <f>IF(J56="待估算","补充投入工时",IF(AND(H56&lt;'项目驾驶舱'!$B$3,F56&lt;&gt;"已完成"),"确认延期和后续安排","按计划跟踪"))</f>
        <v/>
      </c>
      <c r="L56" s="127" t="n"/>
    </row>
    <row r="57">
      <c r="C57" s="124" t="inlineStr">
        <is>
          <t>T045</t>
        </is>
      </c>
      <c r="D57" s="124" t="inlineStr">
        <is>
          <t>修改卸船流程</t>
        </is>
      </c>
      <c r="E57" s="124" t="inlineStr">
        <is>
          <t>第二批次</t>
        </is>
      </c>
      <c r="F57" s="124">
        <f>IF(OR(M48="挂起",M48="暂停",Q48="挂起",Q48="暂停",U48="挂起",U48="暂停",Y48="挂起",Y48="暂停"),"暂停","已完成")</f>
        <v/>
      </c>
      <c r="G57" s="125" t="n">
        <v>46230</v>
      </c>
      <c r="H57" s="125" t="n">
        <v>46262</v>
      </c>
      <c r="I57" s="127" t="n">
        <v>40</v>
      </c>
      <c r="J57" s="124">
        <f>IF(I57="","待估算",IF(F57="已完成","已结束",IF(AND(ISNUMBER(G57),ISNUMBER(H57),G57&lt;='项目驾驶舱'!$B$3,H57&gt;='项目驾驶舱'!$B$3),"进行中","计划中")))</f>
        <v/>
      </c>
      <c r="K57" s="124">
        <f>IF(J57="待估算","补充投入工时",IF(AND(H57&lt;'项目驾驶舱'!$B$3,F57&lt;&gt;"已完成"),"确认延期和后续安排","按计划跟踪"))</f>
        <v/>
      </c>
      <c r="L57" s="127" t="n"/>
    </row>
    <row r="58">
      <c r="C58" s="124" t="inlineStr">
        <is>
          <t>T059</t>
        </is>
      </c>
      <c r="D58" s="124" t="inlineStr">
        <is>
          <t>优化新增装车作业信息</t>
        </is>
      </c>
      <c r="E58" s="124" t="inlineStr">
        <is>
          <t>第一批次</t>
        </is>
      </c>
      <c r="F58" s="124">
        <f>IF(OR(M62="挂起",M62="暂停",Q62="挂起",Q62="暂停",U62="挂起",U62="暂停",Y62="挂起",Y62="暂停"),"暂停","已完成")</f>
        <v/>
      </c>
      <c r="G58" s="125" t="n">
        <v>46230</v>
      </c>
      <c r="H58" s="125" t="n">
        <v>46241</v>
      </c>
      <c r="I58" s="127" t="n">
        <v>40</v>
      </c>
      <c r="J58" s="124">
        <f>IF(I58="","待估算",IF(F58="已完成","已结束",IF(AND(ISNUMBER(G58),ISNUMBER(H58),G58&lt;='项目驾驶舱'!$B$3,H58&gt;='项目驾驶舱'!$B$3),"进行中","计划中")))</f>
        <v/>
      </c>
      <c r="K58" s="124">
        <f>IF(J58="待估算","补充投入工时",IF(AND(H58&lt;'项目驾驶舱'!$B$3,F58&lt;&gt;"已完成"),"确认延期和后续安排","按计划跟踪"))</f>
        <v/>
      </c>
      <c r="L58" s="127" t="n"/>
    </row>
    <row r="59">
      <c r="C59" s="124" t="inlineStr">
        <is>
          <t>T104</t>
        </is>
      </c>
      <c r="D59" s="124" t="inlineStr">
        <is>
          <t>吞吐量统计（曹妃甸）</t>
        </is>
      </c>
      <c r="E59" s="124" t="inlineStr">
        <is>
          <t>第一批次</t>
        </is>
      </c>
      <c r="F59" s="124">
        <f>IF(OR(M107="挂起",M107="暂停",Q107="挂起",Q107="暂停",U107="挂起",U107="暂停",Y107="挂起",Y107="暂停"),"暂停","已完成")</f>
        <v/>
      </c>
      <c r="G59" s="125" t="n">
        <v>46230</v>
      </c>
      <c r="H59" s="125" t="n">
        <v>46262</v>
      </c>
      <c r="I59" s="127" t="n">
        <v>40</v>
      </c>
      <c r="J59" s="124">
        <f>IF(I59="","待估算",IF(F59="已完成","已结束",IF(AND(ISNUMBER(G59),ISNUMBER(H59),G59&lt;='项目驾驶舱'!$B$3,H59&gt;='项目驾驶舱'!$B$3),"进行中","计划中")))</f>
        <v/>
      </c>
      <c r="K59" s="124">
        <f>IF(J59="待估算","补充投入工时",IF(AND(H59&lt;'项目驾驶舱'!$B$3,F59&lt;&gt;"已完成"),"确认延期和后续安排","按计划跟踪"))</f>
        <v/>
      </c>
      <c r="L59" s="127" t="n"/>
    </row>
    <row r="60">
      <c r="C60" s="124" t="inlineStr">
        <is>
          <t>T105</t>
        </is>
      </c>
      <c r="D60" s="124" t="inlineStr">
        <is>
          <t>泊位占用率分析（曹妃甸）</t>
        </is>
      </c>
      <c r="E60" s="124" t="inlineStr">
        <is>
          <t>第一批次</t>
        </is>
      </c>
      <c r="F60" s="124">
        <f>IF(OR(M108="挂起",M108="暂停",Q108="挂起",Q108="暂停",U108="挂起",U108="暂停",Y108="挂起",Y108="暂停"),"暂停","已完成")</f>
        <v/>
      </c>
      <c r="G60" s="125" t="n">
        <v>46230</v>
      </c>
      <c r="H60" s="125" t="n">
        <v>46262</v>
      </c>
      <c r="I60" s="127" t="n">
        <v>40</v>
      </c>
      <c r="J60" s="124">
        <f>IF(I60="","待估算",IF(F60="已完成","已结束",IF(AND(ISNUMBER(G60),ISNUMBER(H60),G60&lt;='项目驾驶舱'!$B$3,H60&gt;='项目驾驶舱'!$B$3),"进行中","计划中")))</f>
        <v/>
      </c>
      <c r="K60" s="124">
        <f>IF(J60="待估算","补充投入工时",IF(AND(H60&lt;'项目驾驶舱'!$B$3,F60&lt;&gt;"已完成"),"确认延期和后续安排","按计划跟踪"))</f>
        <v/>
      </c>
      <c r="L60" s="127" t="n"/>
    </row>
    <row r="61">
      <c r="C61" s="124" t="inlineStr">
        <is>
          <t>T106</t>
        </is>
      </c>
      <c r="D61" s="124" t="inlineStr">
        <is>
          <t>堆存库存统计（曹妃甸）</t>
        </is>
      </c>
      <c r="E61" s="124" t="inlineStr">
        <is>
          <t>第一批次</t>
        </is>
      </c>
      <c r="F61" s="124">
        <f>IF(OR(M109="挂起",M109="暂停",Q109="挂起",Q109="暂停",U109="挂起",U109="暂停",Y109="挂起",Y109="暂停"),"暂停","已完成")</f>
        <v/>
      </c>
      <c r="G61" s="125" t="n">
        <v>46230</v>
      </c>
      <c r="H61" s="125" t="n">
        <v>46262</v>
      </c>
      <c r="I61" s="127" t="n">
        <v>40</v>
      </c>
      <c r="J61" s="124">
        <f>IF(I61="","待估算",IF(F61="已完成","已结束",IF(AND(ISNUMBER(G61),ISNUMBER(H61),G61&lt;='项目驾驶舱'!$B$3,H61&gt;='项目驾驶舱'!$B$3),"进行中","计划中")))</f>
        <v/>
      </c>
      <c r="K61" s="124">
        <f>IF(J61="待估算","补充投入工时",IF(AND(H61&lt;'项目驾驶舱'!$B$3,F61&lt;&gt;"已完成"),"确认延期和后续安排","按计划跟踪"))</f>
        <v/>
      </c>
      <c r="L61" s="127" t="n"/>
    </row>
    <row r="62">
      <c r="C62" s="124" t="inlineStr">
        <is>
          <t>T107</t>
        </is>
      </c>
      <c r="D62" s="124" t="inlineStr">
        <is>
          <t>分货主实时统计表（曹妃甸）</t>
        </is>
      </c>
      <c r="E62" s="124" t="inlineStr">
        <is>
          <t>第一批次</t>
        </is>
      </c>
      <c r="F62" s="124">
        <f>IF(OR(M110="挂起",M110="暂停",Q110="挂起",Q110="暂停",U110="挂起",U110="暂停",Y110="挂起",Y110="暂停"),"暂停","已完成")</f>
        <v/>
      </c>
      <c r="G62" s="125" t="n">
        <v>46230</v>
      </c>
      <c r="H62" s="125" t="n">
        <v>46262</v>
      </c>
      <c r="I62" s="127" t="n">
        <v>40</v>
      </c>
      <c r="J62" s="124">
        <f>IF(I62="","待估算",IF(F62="已完成","已结束",IF(AND(ISNUMBER(G62),ISNUMBER(H62),G62&lt;='项目驾驶舱'!$B$3,H62&gt;='项目驾驶舱'!$B$3),"进行中","计划中")))</f>
        <v/>
      </c>
      <c r="K62" s="124">
        <f>IF(J62="待估算","补充投入工时",IF(AND(H62&lt;'项目驾驶舱'!$B$3,F62&lt;&gt;"已完成"),"确认延期和后续安排","按计划跟踪"))</f>
        <v/>
      </c>
      <c r="L62" s="127" t="n"/>
    </row>
    <row r="63">
      <c r="A63" s="22" t="n"/>
      <c r="B63" s="22" t="n"/>
      <c r="C63" s="124" t="inlineStr">
        <is>
          <t>T108</t>
        </is>
      </c>
      <c r="D63" s="124" t="inlineStr">
        <is>
          <t>综合装船效率分析（曹妃甸）</t>
        </is>
      </c>
      <c r="E63" s="124" t="inlineStr">
        <is>
          <t>第一批次</t>
        </is>
      </c>
      <c r="F63" s="124">
        <f>IF(OR(M111="挂起",M111="暂停",Q111="挂起",Q111="暂停",U111="挂起",U111="暂停",Y111="挂起",Y111="暂停"),"暂停","已完成")</f>
        <v/>
      </c>
      <c r="G63" s="125" t="n">
        <v>46230</v>
      </c>
      <c r="H63" s="125" t="n">
        <v>46262</v>
      </c>
      <c r="I63" s="127" t="n">
        <v>40</v>
      </c>
      <c r="J63" s="124">
        <f>IF(I63="","待估算",IF(F63="已完成","已结束",IF(AND(ISNUMBER(G63),ISNUMBER(H63),G63&lt;='项目驾驶舱'!$B$3,H63&gt;='项目驾驶舱'!$B$3),"进行中","计划中")))</f>
        <v/>
      </c>
      <c r="K63" s="124">
        <f>IF(J63="待估算","补充投入工时",IF(AND(H63&lt;'项目驾驶舱'!$B$3,F63&lt;&gt;"已完成"),"确认延期和后续安排","按计划跟踪"))</f>
        <v/>
      </c>
      <c r="L63" s="127" t="n"/>
    </row>
    <row r="64">
      <c r="A64" s="133" t="inlineStr">
        <is>
          <t>刘凯</t>
        </is>
      </c>
      <c r="B64" s="133" t="inlineStr">
        <is>
          <t>后端</t>
        </is>
      </c>
      <c r="C64" s="124" t="inlineStr">
        <is>
          <t>T109</t>
        </is>
      </c>
      <c r="D64" s="124" t="inlineStr">
        <is>
          <t>综合卸车效率分析（曹妃甸）</t>
        </is>
      </c>
      <c r="E64" s="124" t="inlineStr">
        <is>
          <t>第一批次</t>
        </is>
      </c>
      <c r="F64" s="124">
        <f>IF(OR(M112="挂起",M112="暂停",Q112="挂起",Q112="暂停",U112="挂起",U112="暂停",Y112="挂起",Y112="暂停"),"暂停","已完成")</f>
        <v/>
      </c>
      <c r="G64" s="125" t="n">
        <v>46230</v>
      </c>
      <c r="H64" s="125" t="n">
        <v>46262</v>
      </c>
      <c r="I64" s="127" t="n">
        <v>40</v>
      </c>
      <c r="J64" s="124">
        <f>IF(I64="","待估算",IF(F64="已完成","已结束",IF(AND(ISNUMBER(G64),ISNUMBER(H64),G64&lt;='项目驾驶舱'!$B$3,H64&gt;='项目驾驶舱'!$B$3),"进行中","计划中")))</f>
        <v/>
      </c>
      <c r="K64" s="124">
        <f>IF(J64="待估算","补充投入工时",IF(AND(H64&lt;'项目驾驶舱'!$B$3,F64&lt;&gt;"已完成"),"确认延期和后续安排","按计划跟踪"))</f>
        <v/>
      </c>
      <c r="L64" s="127" t="n"/>
    </row>
    <row r="65">
      <c r="C65" s="124" t="inlineStr">
        <is>
          <t>T110</t>
        </is>
      </c>
      <c r="D65" s="124" t="inlineStr">
        <is>
          <t>综合卸船效率分析（曹妃甸）</t>
        </is>
      </c>
      <c r="E65" s="124" t="inlineStr">
        <is>
          <t>第二批次</t>
        </is>
      </c>
      <c r="F65" s="124">
        <f>IF(OR(M113="挂起",M113="暂停",Q113="挂起",Q113="暂停",U113="挂起",U113="暂停",Y113="挂起",Y113="暂停"),"暂停","已完成")</f>
        <v/>
      </c>
      <c r="G65" s="125" t="n">
        <v>46230</v>
      </c>
      <c r="H65" s="125" t="n">
        <v>46262</v>
      </c>
      <c r="I65" s="127" t="n">
        <v>40</v>
      </c>
      <c r="J65" s="124">
        <f>IF(I65="","待估算",IF(F65="已完成","已结束",IF(AND(ISNUMBER(G65),ISNUMBER(H65),G65&lt;='项目驾驶舱'!$B$3,H65&gt;='项目驾驶舱'!$B$3),"进行中","计划中")))</f>
        <v/>
      </c>
      <c r="K65" s="124">
        <f>IF(J65="待估算","补充投入工时",IF(AND(H65&lt;'项目驾驶舱'!$B$3,F65&lt;&gt;"已完成"),"确认延期和后续安排","按计划跟踪"))</f>
        <v/>
      </c>
      <c r="L65" s="127" t="n"/>
    </row>
    <row r="66">
      <c r="C66" s="124" t="inlineStr">
        <is>
          <t>T117</t>
        </is>
      </c>
      <c r="D66" s="124" t="inlineStr">
        <is>
          <t>经营任务情况分析报告</t>
        </is>
      </c>
      <c r="E66" s="124" t="inlineStr">
        <is>
          <t>第一批次</t>
        </is>
      </c>
      <c r="F66" s="124">
        <f>IF(OR(M120="挂起",M120="暂停",Q120="挂起",Q120="暂停",U120="挂起",U120="暂停",Y120="挂起",Y120="暂停"),"暂停","已完成")</f>
        <v/>
      </c>
      <c r="G66" s="125" t="n">
        <v>46230</v>
      </c>
      <c r="H66" s="125" t="n">
        <v>46262</v>
      </c>
      <c r="I66" s="127" t="n">
        <v>40</v>
      </c>
      <c r="J66" s="124">
        <f>IF(I66="","待估算",IF(F66="已完成","已结束",IF(AND(ISNUMBER(G66),ISNUMBER(H66),G66&lt;='项目驾驶舱'!$B$3,H66&gt;='项目驾驶舱'!$B$3),"进行中","计划中")))</f>
        <v/>
      </c>
      <c r="K66" s="124">
        <f>IF(J66="待估算","补充投入工时",IF(AND(H66&lt;'项目驾驶舱'!$B$3,F66&lt;&gt;"已完成"),"确认延期和后续安排","按计划跟踪"))</f>
        <v/>
      </c>
      <c r="L66" s="127" t="n"/>
    </row>
    <row r="67">
      <c r="C67" s="124" t="inlineStr">
        <is>
          <t>T118</t>
        </is>
      </c>
      <c r="D67" s="124" t="inlineStr">
        <is>
          <t>客户月报报告</t>
        </is>
      </c>
      <c r="E67" s="124" t="inlineStr">
        <is>
          <t>第一批次</t>
        </is>
      </c>
      <c r="F67" s="124">
        <f>IF(OR(M121="挂起",M121="暂停",Q121="挂起",Q121="暂停",U121="挂起",U121="暂停",Y121="挂起",Y121="暂停"),"暂停","已完成")</f>
        <v/>
      </c>
      <c r="G67" s="125" t="n">
        <v>46230</v>
      </c>
      <c r="H67" s="125" t="n">
        <v>46262</v>
      </c>
      <c r="I67" s="127" t="n">
        <v>40</v>
      </c>
      <c r="J67" s="124">
        <f>IF(I67="","待估算",IF(F67="已完成","已结束",IF(AND(ISNUMBER(G67),ISNUMBER(H67),G67&lt;='项目驾驶舱'!$B$3,H67&gt;='项目驾驶舱'!$B$3),"进行中","计划中")))</f>
        <v/>
      </c>
      <c r="K67" s="124">
        <f>IF(J67="待估算","补充投入工时",IF(AND(H67&lt;'项目驾驶舱'!$B$3,F67&lt;&gt;"已完成"),"确认延期和后续安排","按计划跟踪"))</f>
        <v/>
      </c>
      <c r="L67" s="127" t="n"/>
    </row>
    <row r="68">
      <c r="C68" s="124" t="inlineStr">
        <is>
          <t>T119</t>
        </is>
      </c>
      <c r="D68" s="124" t="inlineStr">
        <is>
          <t>月度客户情况报告</t>
        </is>
      </c>
      <c r="E68" s="124" t="inlineStr">
        <is>
          <t>第一批次</t>
        </is>
      </c>
      <c r="F68" s="124">
        <f>IF(OR(M122="挂起",M122="暂停",Q122="挂起",Q122="暂停",U122="挂起",U122="暂停",Y122="挂起",Y122="暂停"),"暂停","已完成")</f>
        <v/>
      </c>
      <c r="G68" s="125" t="n">
        <v>46230</v>
      </c>
      <c r="H68" s="125" t="n">
        <v>46262</v>
      </c>
      <c r="I68" s="127" t="n">
        <v>40</v>
      </c>
      <c r="J68" s="124">
        <f>IF(I68="","待估算",IF(F68="已完成","已结束",IF(AND(ISNUMBER(G68),ISNUMBER(H68),G68&lt;='项目驾驶舱'!$B$3,H68&gt;='项目驾驶舱'!$B$3),"进行中","计划中")))</f>
        <v/>
      </c>
      <c r="K68" s="124">
        <f>IF(J68="待估算","补充投入工时",IF(AND(H68&lt;'项目驾驶舱'!$B$3,F68&lt;&gt;"已完成"),"确认延期和后续安排","按计划跟踪"))</f>
        <v/>
      </c>
      <c r="L68" s="127" t="n"/>
    </row>
    <row r="69">
      <c r="C69" s="124" t="inlineStr">
        <is>
          <t>T120</t>
        </is>
      </c>
      <c r="D69" s="124" t="inlineStr">
        <is>
          <t>商务计划周报</t>
        </is>
      </c>
      <c r="E69" s="124" t="inlineStr">
        <is>
          <t>第一批次</t>
        </is>
      </c>
      <c r="F69" s="124">
        <f>IF(OR(M123="挂起",M123="暂停",Q123="挂起",Q123="暂停",U123="挂起",U123="暂停",Y123="挂起",Y123="暂停"),"暂停","已完成")</f>
        <v/>
      </c>
      <c r="G69" s="125" t="n">
        <v>46230</v>
      </c>
      <c r="H69" s="125" t="n">
        <v>46262</v>
      </c>
      <c r="I69" s="127" t="n">
        <v>40</v>
      </c>
      <c r="J69" s="124">
        <f>IF(I69="","待估算",IF(F69="已完成","已结束",IF(AND(ISNUMBER(G69),ISNUMBER(H69),G69&lt;='项目驾驶舱'!$B$3,H69&gt;='项目驾驶舱'!$B$3),"进行中","计划中")))</f>
        <v/>
      </c>
      <c r="K69" s="124">
        <f>IF(J69="待估算","补充投入工时",IF(AND(H69&lt;'项目驾驶舱'!$B$3,F69&lt;&gt;"已完成"),"确认延期和后续安排","按计划跟踪"))</f>
        <v/>
      </c>
      <c r="L69" s="127" t="n"/>
    </row>
    <row r="70">
      <c r="C70" s="124" t="inlineStr">
        <is>
          <t>T138</t>
        </is>
      </c>
      <c r="D70" s="124" t="inlineStr">
        <is>
          <t>查询卸车流程</t>
        </is>
      </c>
      <c r="E70" s="124" t="inlineStr">
        <is>
          <t>第二批次</t>
        </is>
      </c>
      <c r="F70" s="124">
        <f>IF(OR(M141="挂起",M141="暂停",Q141="挂起",Q141="暂停",U141="挂起",U141="暂停",Y141="挂起",Y141="暂停"),"暂停","已完成")</f>
        <v/>
      </c>
      <c r="G70" s="125" t="n">
        <v>46230</v>
      </c>
      <c r="H70" s="125" t="n">
        <v>46262</v>
      </c>
      <c r="I70" s="127" t="n">
        <v>40</v>
      </c>
      <c r="J70" s="124">
        <f>IF(I70="","待估算",IF(F70="已完成","已结束",IF(AND(ISNUMBER(G70),ISNUMBER(H70),G70&lt;='项目驾驶舱'!$B$3,H70&gt;='项目驾驶舱'!$B$3),"进行中","计划中")))</f>
        <v/>
      </c>
      <c r="K70" s="124">
        <f>IF(J70="待估算","补充投入工时",IF(AND(H70&lt;'项目驾驶舱'!$B$3,F70&lt;&gt;"已完成"),"确认延期和后续安排","按计划跟踪"))</f>
        <v/>
      </c>
      <c r="L70" s="127" t="n"/>
    </row>
    <row r="71">
      <c r="C71" s="124" t="inlineStr">
        <is>
          <t>T139</t>
        </is>
      </c>
      <c r="D71" s="124" t="inlineStr">
        <is>
          <t>查询装船流程</t>
        </is>
      </c>
      <c r="E71" s="124" t="inlineStr">
        <is>
          <t>第二批次</t>
        </is>
      </c>
      <c r="F71" s="124">
        <f>IF(OR(M142="挂起",M142="暂停",Q142="挂起",Q142="暂停",U142="挂起",U142="暂停",Y142="挂起",Y142="暂停"),"暂停","已完成")</f>
        <v/>
      </c>
      <c r="G71" s="125" t="n">
        <v>46230</v>
      </c>
      <c r="H71" s="125" t="n">
        <v>46262</v>
      </c>
      <c r="I71" s="127" t="n">
        <v>40</v>
      </c>
      <c r="J71" s="124">
        <f>IF(I71="","待估算",IF(F71="已完成","已结束",IF(AND(ISNUMBER(G71),ISNUMBER(H71),G71&lt;='项目驾驶舱'!$B$3,H71&gt;='项目驾驶舱'!$B$3),"进行中","计划中")))</f>
        <v/>
      </c>
      <c r="K71" s="124">
        <f>IF(J71="待估算","补充投入工时",IF(AND(H71&lt;'项目驾驶舱'!$B$3,F71&lt;&gt;"已完成"),"确认延期和后续安排","按计划跟踪"))</f>
        <v/>
      </c>
      <c r="L71" s="127" t="n"/>
    </row>
    <row r="72">
      <c r="C72" s="124" t="inlineStr">
        <is>
          <t>T140</t>
        </is>
      </c>
      <c r="D72" s="124" t="inlineStr">
        <is>
          <t>查询卸船流程</t>
        </is>
      </c>
      <c r="E72" s="124" t="inlineStr">
        <is>
          <t>第二批次</t>
        </is>
      </c>
      <c r="F72" s="124">
        <f>IF(OR(M143="挂起",M143="暂停",Q143="挂起",Q143="暂停",U143="挂起",U143="暂停",Y143="挂起",Y143="暂停"),"暂停","已完成")</f>
        <v/>
      </c>
      <c r="G72" s="125" t="n">
        <v>46230</v>
      </c>
      <c r="H72" s="125" t="n">
        <v>46262</v>
      </c>
      <c r="I72" s="127" t="n">
        <v>40</v>
      </c>
      <c r="J72" s="124">
        <f>IF(I72="","待估算",IF(F72="已完成","已结束",IF(AND(ISNUMBER(G72),ISNUMBER(H72),G72&lt;='项目驾驶舱'!$B$3,H72&gt;='项目驾驶舱'!$B$3),"进行中","计划中")))</f>
        <v/>
      </c>
      <c r="K72" s="124">
        <f>IF(J72="待估算","补充投入工时",IF(AND(H72&lt;'项目驾驶舱'!$B$3,F72&lt;&gt;"已完成"),"确认延期和后续安排","按计划跟踪"))</f>
        <v/>
      </c>
      <c r="L72" s="127" t="n"/>
    </row>
    <row r="73">
      <c r="C73" s="124" t="inlineStr">
        <is>
          <t>T143</t>
        </is>
      </c>
      <c r="D73" s="124" t="inlineStr">
        <is>
          <t>图片上传</t>
        </is>
      </c>
      <c r="E73" s="124" t="inlineStr">
        <is>
          <t>第一批次</t>
        </is>
      </c>
      <c r="F73" s="124">
        <f>IF(OR(M146="挂起",M146="暂停",Q146="挂起",Q146="暂停",U146="挂起",U146="暂停",Y146="挂起",Y146="暂停"),"暂停","已完成")</f>
        <v/>
      </c>
      <c r="G73" s="125" t="n">
        <v>46237</v>
      </c>
      <c r="H73" s="125" t="n">
        <v>46252</v>
      </c>
      <c r="I73" s="127" t="n">
        <v>40</v>
      </c>
      <c r="J73" s="124">
        <f>IF(I73="","待估算",IF(F73="已完成","已结束",IF(AND(ISNUMBER(G73),ISNUMBER(H73),G73&lt;='项目驾驶舱'!$B$3,H73&gt;='项目驾驶舱'!$B$3),"进行中","计划中")))</f>
        <v/>
      </c>
      <c r="K73" s="124">
        <f>IF(J73="待估算","补充投入工时",IF(AND(H73&lt;'项目驾驶舱'!$B$3,F73&lt;&gt;"已完成"),"确认延期和后续安排","按计划跟踪"))</f>
        <v/>
      </c>
      <c r="L73" s="127" t="n"/>
    </row>
    <row r="74">
      <c r="C74" s="124" t="inlineStr">
        <is>
          <t>T144</t>
        </is>
      </c>
      <c r="D74" s="124" t="inlineStr">
        <is>
          <t>图片上传</t>
        </is>
      </c>
      <c r="E74" s="124" t="inlineStr">
        <is>
          <t>第一批次</t>
        </is>
      </c>
      <c r="F74" s="124">
        <f>IF(OR(M147="挂起",M147="暂停",Q147="挂起",Q147="暂停",U147="挂起",U147="暂停",Y147="挂起",Y147="暂停"),"暂停","已完成")</f>
        <v/>
      </c>
      <c r="G74" s="125" t="n">
        <v>46237</v>
      </c>
      <c r="H74" s="125" t="n">
        <v>46252</v>
      </c>
      <c r="I74" s="127" t="n">
        <v>40</v>
      </c>
      <c r="J74" s="124">
        <f>IF(I74="","待估算",IF(F74="已完成","已结束",IF(AND(ISNUMBER(G74),ISNUMBER(H74),G74&lt;='项目驾驶舱'!$B$3,H74&gt;='项目驾驶舱'!$B$3),"进行中","计划中")))</f>
        <v/>
      </c>
      <c r="K74" s="124">
        <f>IF(J74="待估算","补充投入工时",IF(AND(H74&lt;'项目驾驶舱'!$B$3,F74&lt;&gt;"已完成"),"确认延期和后续安排","按计划跟踪"))</f>
        <v/>
      </c>
      <c r="L74" s="127" t="n"/>
    </row>
    <row r="75">
      <c r="A75" s="22" t="n"/>
      <c r="B75" s="22" t="n"/>
      <c r="C75" s="124" t="inlineStr">
        <is>
          <t>T145</t>
        </is>
      </c>
      <c r="D75" s="124" t="inlineStr">
        <is>
          <t>图片上传</t>
        </is>
      </c>
      <c r="E75" s="124" t="inlineStr">
        <is>
          <t>第二批次</t>
        </is>
      </c>
      <c r="F75" s="124">
        <f>IF(OR(M148="挂起",M148="暂停",Q148="挂起",Q148="暂停",U148="挂起",U148="暂停",Y148="挂起",Y148="暂停"),"暂停","已完成")</f>
        <v/>
      </c>
      <c r="G75" s="125" t="n">
        <v>46237</v>
      </c>
      <c r="H75" s="125" t="n">
        <v>46252</v>
      </c>
      <c r="I75" s="127" t="n">
        <v>40</v>
      </c>
      <c r="J75" s="124">
        <f>IF(I75="","待估算",IF(F75="已完成","已结束",IF(AND(ISNUMBER(G75),ISNUMBER(H75),G75&lt;='项目驾驶舱'!$B$3,H75&gt;='项目驾驶舱'!$B$3),"进行中","计划中")))</f>
        <v/>
      </c>
      <c r="K75" s="124">
        <f>IF(J75="待估算","补充投入工时",IF(AND(H75&lt;'项目驾驶舱'!$B$3,F75&lt;&gt;"已完成"),"确认延期和后续安排","按计划跟踪"))</f>
        <v/>
      </c>
      <c r="L75" s="127" t="n"/>
    </row>
    <row r="76">
      <c r="A76" s="133" t="inlineStr">
        <is>
          <t>刘凯</t>
        </is>
      </c>
      <c r="B76" s="133" t="inlineStr">
        <is>
          <t>后端</t>
        </is>
      </c>
      <c r="C76" s="124" t="inlineStr">
        <is>
          <t>T121</t>
        </is>
      </c>
      <c r="D76" s="124" t="inlineStr">
        <is>
          <t>船舶供应服务查询</t>
        </is>
      </c>
      <c r="E76" s="124" t="inlineStr">
        <is>
          <t>第二批次</t>
        </is>
      </c>
      <c r="F76" s="124">
        <f>IF(OR(M124="挂起",M124="暂停",Q124="挂起",Q124="暂停",U124="挂起",U124="暂停",Y124="挂起",Y124="暂停"),"暂停","已完成")</f>
        <v/>
      </c>
      <c r="G76" s="125" t="n">
        <v>46265</v>
      </c>
      <c r="H76" s="125" t="n">
        <v>46269</v>
      </c>
      <c r="I76" s="127" t="n">
        <v>40</v>
      </c>
      <c r="J76" s="124">
        <f>IF(I76="","待估算",IF(F76="已完成","已结束",IF(AND(ISNUMBER(G76),ISNUMBER(H76),G76&lt;='项目驾驶舱'!$B$3,H76&gt;='项目驾驶舱'!$B$3),"进行中","计划中")))</f>
        <v/>
      </c>
      <c r="K76" s="124">
        <f>IF(J76="待估算","补充投入工时",IF(AND(H76&lt;'项目驾驶舱'!$B$3,F76&lt;&gt;"已完成"),"确认延期和后续安排","按计划跟踪"))</f>
        <v/>
      </c>
      <c r="L76" s="127" t="n"/>
    </row>
    <row r="77">
      <c r="C77" s="124" t="inlineStr">
        <is>
          <t>T122</t>
        </is>
      </c>
      <c r="D77" s="124" t="inlineStr">
        <is>
          <t>船舶预到（内贸）查询</t>
        </is>
      </c>
      <c r="E77" s="124" t="inlineStr">
        <is>
          <t>第二批次</t>
        </is>
      </c>
      <c r="F77" s="124">
        <f>IF(OR(M125="挂起",M125="暂停",Q125="挂起",Q125="暂停",U125="挂起",U125="暂停",Y125="挂起",Y125="暂停"),"暂停","已完成")</f>
        <v/>
      </c>
      <c r="G77" s="125" t="n">
        <v>46265</v>
      </c>
      <c r="H77" s="125" t="n">
        <v>46269</v>
      </c>
      <c r="I77" s="127" t="n">
        <v>40</v>
      </c>
      <c r="J77" s="124">
        <f>IF(I77="","待估算",IF(F77="已完成","已结束",IF(AND(ISNUMBER(G77),ISNUMBER(H77),G77&lt;='项目驾驶舱'!$B$3,H77&gt;='项目驾驶舱'!$B$3),"进行中","计划中")))</f>
        <v/>
      </c>
      <c r="K77" s="124">
        <f>IF(J77="待估算","补充投入工时",IF(AND(H77&lt;'项目驾驶舱'!$B$3,F77&lt;&gt;"已完成"),"确认延期和后续安排","按计划跟踪"))</f>
        <v/>
      </c>
      <c r="L77" s="127" t="n"/>
    </row>
    <row r="78">
      <c r="C78" s="124" t="inlineStr">
        <is>
          <t>T123</t>
        </is>
      </c>
      <c r="D78" s="124" t="inlineStr">
        <is>
          <t>台账查询</t>
        </is>
      </c>
      <c r="E78" s="124" t="inlineStr">
        <is>
          <t>第二批次</t>
        </is>
      </c>
      <c r="F78" s="124">
        <f>IF(OR(M126="挂起",M126="暂停",Q126="挂起",Q126="暂停",U126="挂起",U126="暂停",Y126="挂起",Y126="暂停"),"暂停","已完成")</f>
        <v/>
      </c>
      <c r="G78" s="125" t="n">
        <v>46265</v>
      </c>
      <c r="H78" s="125" t="n">
        <v>46269</v>
      </c>
      <c r="I78" s="127" t="n">
        <v>40</v>
      </c>
      <c r="J78" s="124">
        <f>IF(I78="","待估算",IF(F78="已完成","已结束",IF(AND(ISNUMBER(G78),ISNUMBER(H78),G78&lt;='项目驾驶舱'!$B$3,H78&gt;='项目驾驶舱'!$B$3),"进行中","计划中")))</f>
        <v/>
      </c>
      <c r="K78" s="124">
        <f>IF(J78="待估算","补充投入工时",IF(AND(H78&lt;'项目驾驶舱'!$B$3,F78&lt;&gt;"已完成"),"确认延期和后续安排","按计划跟踪"))</f>
        <v/>
      </c>
      <c r="L78" s="127" t="n"/>
    </row>
    <row r="79">
      <c r="C79" s="124" t="inlineStr">
        <is>
          <t>T124</t>
        </is>
      </c>
      <c r="D79" s="124" t="inlineStr">
        <is>
          <t>停泊费（内贸）查询</t>
        </is>
      </c>
      <c r="E79" s="124" t="inlineStr">
        <is>
          <t>第二批次</t>
        </is>
      </c>
      <c r="F79" s="124">
        <f>IF(OR(M127="挂起",M127="暂停",Q127="挂起",Q127="暂停",U127="挂起",U127="暂停",Y127="挂起",Y127="暂停"),"暂停","已完成")</f>
        <v/>
      </c>
      <c r="G79" s="125" t="n">
        <v>46265</v>
      </c>
      <c r="H79" s="125" t="n">
        <v>46269</v>
      </c>
      <c r="I79" s="127" t="n">
        <v>40</v>
      </c>
      <c r="J79" s="124">
        <f>IF(I79="","待估算",IF(F79="已完成","已结束",IF(AND(ISNUMBER(G79),ISNUMBER(H79),G79&lt;='项目驾驶舱'!$B$3,H79&gt;='项目驾驶舱'!$B$3),"进行中","计划中")))</f>
        <v/>
      </c>
      <c r="K79" s="124">
        <f>IF(J79="待估算","补充投入工时",IF(AND(H79&lt;'项目驾驶舱'!$B$3,F79&lt;&gt;"已完成"),"确认延期和后续安排","按计划跟踪"))</f>
        <v/>
      </c>
      <c r="L79" s="127" t="n"/>
    </row>
    <row r="80">
      <c r="C80" s="124" t="inlineStr">
        <is>
          <t>T125</t>
        </is>
      </c>
      <c r="D80" s="124" t="inlineStr">
        <is>
          <t>船舶供应服务费（内贸）查询</t>
        </is>
      </c>
      <c r="E80" s="124" t="inlineStr">
        <is>
          <t>第二批次</t>
        </is>
      </c>
      <c r="F80" s="124">
        <f>IF(OR(M128="挂起",M128="暂停",Q128="挂起",Q128="暂停",U128="挂起",U128="暂停",Y128="挂起",Y128="暂停"),"暂停","已完成")</f>
        <v/>
      </c>
      <c r="G80" s="125" t="n">
        <v>46265</v>
      </c>
      <c r="H80" s="125" t="n">
        <v>46269</v>
      </c>
      <c r="I80" s="127" t="n">
        <v>40</v>
      </c>
      <c r="J80" s="124">
        <f>IF(I80="","待估算",IF(F80="已完成","已结束",IF(AND(ISNUMBER(G80),ISNUMBER(H80),G80&lt;='项目驾驶舱'!$B$3,H80&gt;='项目驾驶舱'!$B$3),"进行中","计划中")))</f>
        <v/>
      </c>
      <c r="K80" s="124">
        <f>IF(J80="待估算","补充投入工时",IF(AND(H80&lt;'项目驾驶舱'!$B$3,F80&lt;&gt;"已完成"),"确认延期和后续安排","按计划跟踪"))</f>
        <v/>
      </c>
      <c r="L80" s="127" t="n"/>
    </row>
    <row r="81">
      <c r="C81" s="124" t="inlineStr">
        <is>
          <t>T013</t>
        </is>
      </c>
      <c r="D81" s="124" t="inlineStr">
        <is>
          <t>新增结算条款</t>
        </is>
      </c>
      <c r="E81" s="124" t="inlineStr">
        <is>
          <t>第二批次</t>
        </is>
      </c>
      <c r="F81" s="124">
        <f>IF(OR(M16="挂起",M16="暂停",Q16="挂起",Q16="暂停",U16="挂起",U16="暂停",Y16="挂起",Y16="暂停"),"暂停","未开始")</f>
        <v/>
      </c>
      <c r="G81" s="125" t="n">
        <v>46272</v>
      </c>
      <c r="H81" s="125" t="n">
        <v>46304</v>
      </c>
      <c r="I81" s="127" t="n">
        <v>40</v>
      </c>
      <c r="J81" s="124">
        <f>IF(I81="","待估算",IF(F81="已完成","已结束",IF(AND(ISNUMBER(G81),ISNUMBER(H81),G81&lt;='项目驾驶舱'!$B$3,H81&gt;='项目驾驶舱'!$B$3),"进行中","计划中")))</f>
        <v/>
      </c>
      <c r="K81" s="124">
        <f>IF(J81="待估算","补充投入工时",IF(AND(H81&lt;'项目驾驶舱'!$B$3,F81&lt;&gt;"已完成"),"确认延期和后续安排","按计划跟踪"))</f>
        <v/>
      </c>
      <c r="L81" s="127" t="n"/>
    </row>
    <row r="82">
      <c r="C82" s="124" t="inlineStr">
        <is>
          <t>T014</t>
        </is>
      </c>
      <c r="D82" s="124" t="inlineStr">
        <is>
          <t>结算条款审批</t>
        </is>
      </c>
      <c r="E82" s="124" t="inlineStr">
        <is>
          <t>第二批次</t>
        </is>
      </c>
      <c r="F82" s="124">
        <f>IF(OR(M17="挂起",M17="暂停",Q17="挂起",Q17="暂停",U17="挂起",U17="暂停",Y17="挂起",Y17="暂停"),"暂停","未开始")</f>
        <v/>
      </c>
      <c r="G82" s="125" t="n">
        <v>46272</v>
      </c>
      <c r="H82" s="125" t="n">
        <v>46304</v>
      </c>
      <c r="I82" s="127" t="n">
        <v>40</v>
      </c>
      <c r="J82" s="124">
        <f>IF(I82="","待估算",IF(F82="已完成","已结束",IF(AND(ISNUMBER(G82),ISNUMBER(H82),G82&lt;='项目驾驶舱'!$B$3,H82&gt;='项目驾驶舱'!$B$3),"进行中","计划中")))</f>
        <v/>
      </c>
      <c r="K82" s="124">
        <f>IF(J82="待估算","补充投入工时",IF(AND(H82&lt;'项目驾驶舱'!$B$3,F82&lt;&gt;"已完成"),"确认延期和后续安排","按计划跟踪"))</f>
        <v/>
      </c>
      <c r="L82" s="127" t="n"/>
    </row>
    <row r="83">
      <c r="C83" s="124" t="inlineStr">
        <is>
          <t>T015</t>
        </is>
      </c>
      <c r="D83" s="124" t="inlineStr">
        <is>
          <t>修改结算条款</t>
        </is>
      </c>
      <c r="E83" s="124" t="inlineStr">
        <is>
          <t>第二批次</t>
        </is>
      </c>
      <c r="F83" s="124">
        <f>IF(OR(M18="挂起",M18="暂停",Q18="挂起",Q18="暂停",U18="挂起",U18="暂停",Y18="挂起",Y18="暂停"),"暂停","未开始")</f>
        <v/>
      </c>
      <c r="G83" s="125" t="n">
        <v>46272</v>
      </c>
      <c r="H83" s="125" t="n">
        <v>46304</v>
      </c>
      <c r="I83" s="127" t="n">
        <v>40</v>
      </c>
      <c r="J83" s="124">
        <f>IF(I83="","待估算",IF(F83="已完成","已结束",IF(AND(ISNUMBER(G83),ISNUMBER(H83),G83&lt;='项目驾驶舱'!$B$3,H83&gt;='项目驾驶舱'!$B$3),"进行中","计划中")))</f>
        <v/>
      </c>
      <c r="K83" s="124">
        <f>IF(J83="待估算","补充投入工时",IF(AND(H83&lt;'项目驾驶舱'!$B$3,F83&lt;&gt;"已完成"),"确认延期和后续安排","按计划跟踪"))</f>
        <v/>
      </c>
      <c r="L83" s="127" t="n"/>
    </row>
    <row r="84">
      <c r="C84" s="124" t="inlineStr">
        <is>
          <t>T016</t>
        </is>
      </c>
      <c r="D84" s="124" t="inlineStr">
        <is>
          <t>删除结算条款</t>
        </is>
      </c>
      <c r="E84" s="124" t="inlineStr">
        <is>
          <t>第二批次</t>
        </is>
      </c>
      <c r="F84" s="124">
        <f>IF(OR(M19="挂起",M19="暂停",Q19="挂起",Q19="暂停",U19="挂起",U19="暂停",Y19="挂起",Y19="暂停"),"暂停","未开始")</f>
        <v/>
      </c>
      <c r="G84" s="125" t="n">
        <v>46272</v>
      </c>
      <c r="H84" s="125" t="n">
        <v>46304</v>
      </c>
      <c r="I84" s="127" t="n">
        <v>40</v>
      </c>
      <c r="J84" s="124">
        <f>IF(I84="","待估算",IF(F84="已完成","已结束",IF(AND(ISNUMBER(G84),ISNUMBER(H84),G84&lt;='项目驾驶舱'!$B$3,H84&gt;='项目驾驶舱'!$B$3),"进行中","计划中")))</f>
        <v/>
      </c>
      <c r="K84" s="124">
        <f>IF(J84="待估算","补充投入工时",IF(AND(H84&lt;'项目驾驶舱'!$B$3,F84&lt;&gt;"已完成"),"确认延期和后续安排","按计划跟踪"))</f>
        <v/>
      </c>
      <c r="L84" s="127" t="n"/>
    </row>
    <row r="85">
      <c r="C85" s="124" t="inlineStr">
        <is>
          <t>T017</t>
        </is>
      </c>
      <c r="D85" s="124" t="inlineStr">
        <is>
          <t>查询展示结算条款</t>
        </is>
      </c>
      <c r="E85" s="124" t="inlineStr">
        <is>
          <t>第二批次</t>
        </is>
      </c>
      <c r="F85" s="124">
        <f>IF(OR(M20="挂起",M20="暂停",Q20="挂起",Q20="暂停",U20="挂起",U20="暂停",Y20="挂起",Y20="暂停"),"暂停","未开始")</f>
        <v/>
      </c>
      <c r="G85" s="125" t="n">
        <v>46272</v>
      </c>
      <c r="H85" s="125" t="n">
        <v>46304</v>
      </c>
      <c r="I85" s="127" t="n">
        <v>40</v>
      </c>
      <c r="J85" s="124">
        <f>IF(I85="","待估算",IF(F85="已完成","已结束",IF(AND(ISNUMBER(G85),ISNUMBER(H85),G85&lt;='项目驾驶舱'!$B$3,H85&gt;='项目驾驶舱'!$B$3),"进行中","计划中")))</f>
        <v/>
      </c>
      <c r="K85" s="124">
        <f>IF(J85="待估算","补充投入工时",IF(AND(H85&lt;'项目驾驶舱'!$B$3,F85&lt;&gt;"已完成"),"确认延期和后续安排","按计划跟踪"))</f>
        <v/>
      </c>
      <c r="L85" s="127" t="n"/>
    </row>
    <row r="86">
      <c r="C86" s="124" t="inlineStr">
        <is>
          <t>T018</t>
        </is>
      </c>
      <c r="D86" s="124" t="inlineStr">
        <is>
          <t>结算条款推送法务系统</t>
        </is>
      </c>
      <c r="E86" s="124" t="inlineStr">
        <is>
          <t>第二批次</t>
        </is>
      </c>
      <c r="F86" s="124">
        <f>IF(OR(M21="挂起",M21="暂停",Q21="挂起",Q21="暂停",U21="挂起",U21="暂停",Y21="挂起",Y21="暂停"),"暂停","未开始")</f>
        <v/>
      </c>
      <c r="G86" s="125" t="n">
        <v>46272</v>
      </c>
      <c r="H86" s="125" t="n">
        <v>46304</v>
      </c>
      <c r="I86" s="127" t="n">
        <v>40</v>
      </c>
      <c r="J86" s="124">
        <f>IF(I86="","待估算",IF(F86="已完成","已结束",IF(AND(ISNUMBER(G86),ISNUMBER(H86),G86&lt;='项目驾驶舱'!$B$3,H86&gt;='项目驾驶舱'!$B$3),"进行中","计划中")))</f>
        <v/>
      </c>
      <c r="K86" s="124">
        <f>IF(J86="待估算","补充投入工时",IF(AND(H86&lt;'项目驾驶舱'!$B$3,F86&lt;&gt;"已完成"),"确认延期和后续安排","按计划跟踪"))</f>
        <v/>
      </c>
      <c r="L86" s="127" t="n"/>
    </row>
    <row r="87">
      <c r="A87" s="22" t="n"/>
      <c r="B87" s="22" t="n"/>
      <c r="C87" s="124" t="inlineStr">
        <is>
          <t>T053</t>
        </is>
      </c>
      <c r="D87" s="124" t="inlineStr">
        <is>
          <t>接入港口侧视频监控</t>
        </is>
      </c>
      <c r="E87" s="124" t="inlineStr">
        <is>
          <t>第二批次</t>
        </is>
      </c>
      <c r="F87" s="124">
        <f>IF(OR(M56="挂起",M56="暂停",Q56="挂起",Q56="暂停",U56="挂起",U56="暂停",Y56="挂起",Y56="暂停"),"暂停","未开始")</f>
        <v/>
      </c>
      <c r="G87" s="125" t="n">
        <v>46272</v>
      </c>
      <c r="H87" s="125" t="n">
        <v>46304</v>
      </c>
      <c r="I87" s="127" t="n">
        <v>40</v>
      </c>
      <c r="J87" s="124">
        <f>IF(I87="","待估算",IF(F87="已完成","已结束",IF(AND(ISNUMBER(G87),ISNUMBER(H87),G87&lt;='项目驾驶舱'!$B$3,H87&gt;='项目驾驶舱'!$B$3),"进行中","计划中")))</f>
        <v/>
      </c>
      <c r="K87" s="124">
        <f>IF(J87="待估算","补充投入工时",IF(AND(H87&lt;'项目驾驶舱'!$B$3,F87&lt;&gt;"已完成"),"确认延期和后续安排","按计划跟踪"))</f>
        <v/>
      </c>
      <c r="L87" s="127" t="n"/>
    </row>
    <row r="88">
      <c r="A88" s="133" t="inlineStr">
        <is>
          <t>刘凯</t>
        </is>
      </c>
      <c r="B88" s="133" t="inlineStr">
        <is>
          <t>后端</t>
        </is>
      </c>
      <c r="C88" s="124" t="inlineStr">
        <is>
          <t>T054</t>
        </is>
      </c>
      <c r="D88" s="124" t="inlineStr">
        <is>
          <t>视频查看权限申请</t>
        </is>
      </c>
      <c r="E88" s="124" t="inlineStr">
        <is>
          <t>第二批次</t>
        </is>
      </c>
      <c r="F88" s="124">
        <f>IF(OR(M57="挂起",M57="暂停",Q57="挂起",Q57="暂停",U57="挂起",U57="暂停",Y57="挂起",Y57="暂停"),"暂停","未开始")</f>
        <v/>
      </c>
      <c r="G88" s="125" t="n">
        <v>46272</v>
      </c>
      <c r="H88" s="125" t="n">
        <v>46304</v>
      </c>
      <c r="I88" s="127" t="n">
        <v>40</v>
      </c>
      <c r="J88" s="124">
        <f>IF(I88="","待估算",IF(F88="已完成","已结束",IF(AND(ISNUMBER(G88),ISNUMBER(H88),G88&lt;='项目驾驶舱'!$B$3,H88&gt;='项目驾驶舱'!$B$3),"进行中","计划中")))</f>
        <v/>
      </c>
      <c r="K88" s="124">
        <f>IF(J88="待估算","补充投入工时",IF(AND(H88&lt;'项目驾驶舱'!$B$3,F88&lt;&gt;"已完成"),"确认延期和后续安排","按计划跟踪"))</f>
        <v/>
      </c>
      <c r="L88" s="127" t="n"/>
    </row>
    <row r="89">
      <c r="C89" s="124" t="inlineStr">
        <is>
          <t>T055</t>
        </is>
      </c>
      <c r="D89" s="124" t="inlineStr">
        <is>
          <t>视频查看权限审批</t>
        </is>
      </c>
      <c r="E89" s="124" t="inlineStr">
        <is>
          <t>第二批次</t>
        </is>
      </c>
      <c r="F89" s="124">
        <f>IF(OR(M58="挂起",M58="暂停",Q58="挂起",Q58="暂停",U58="挂起",U58="暂停",Y58="挂起",Y58="暂停"),"暂停","未开始")</f>
        <v/>
      </c>
      <c r="G89" s="125" t="n">
        <v>46272</v>
      </c>
      <c r="H89" s="125" t="n">
        <v>46304</v>
      </c>
      <c r="I89" s="127" t="n">
        <v>40</v>
      </c>
      <c r="J89" s="124">
        <f>IF(I89="","待估算",IF(F89="已完成","已结束",IF(AND(ISNUMBER(G89),ISNUMBER(H89),G89&lt;='项目驾驶舱'!$B$3,H89&gt;='项目驾驶舱'!$B$3),"进行中","计划中")))</f>
        <v/>
      </c>
      <c r="K89" s="124">
        <f>IF(J89="待估算","补充投入工时",IF(AND(H89&lt;'项目驾驶舱'!$B$3,F89&lt;&gt;"已完成"),"确认延期和后续安排","按计划跟踪"))</f>
        <v/>
      </c>
      <c r="L89" s="127" t="n"/>
    </row>
    <row r="90">
      <c r="C90" s="124" t="inlineStr">
        <is>
          <t>T056</t>
        </is>
      </c>
      <c r="D90" s="124" t="inlineStr">
        <is>
          <t>视频查看权限有效期控制</t>
        </is>
      </c>
      <c r="E90" s="124" t="inlineStr">
        <is>
          <t>第二批次</t>
        </is>
      </c>
      <c r="F90" s="124">
        <f>IF(OR(M59="挂起",M59="暂停",Q59="挂起",Q59="暂停",U59="挂起",U59="暂停",Y59="挂起",Y59="暂停"),"暂停","未开始")</f>
        <v/>
      </c>
      <c r="G90" s="125" t="n">
        <v>46272</v>
      </c>
      <c r="H90" s="125" t="n">
        <v>46304</v>
      </c>
      <c r="I90" s="127" t="n">
        <v>40</v>
      </c>
      <c r="J90" s="124">
        <f>IF(I90="","待估算",IF(F90="已完成","已结束",IF(AND(ISNUMBER(G90),ISNUMBER(H90),G90&lt;='项目驾驶舱'!$B$3,H90&gt;='项目驾驶舱'!$B$3),"进行中","计划中")))</f>
        <v/>
      </c>
      <c r="K90" s="124">
        <f>IF(J90="待估算","补充投入工时",IF(AND(H90&lt;'项目驾驶舱'!$B$3,F90&lt;&gt;"已完成"),"确认延期和后续安排","按计划跟踪"))</f>
        <v/>
      </c>
      <c r="L90" s="127" t="n"/>
    </row>
    <row r="91">
      <c r="C91" s="124" t="inlineStr">
        <is>
          <t>T057</t>
        </is>
      </c>
      <c r="D91" s="124" t="inlineStr">
        <is>
          <t>外网PC端视频监控查询</t>
        </is>
      </c>
      <c r="E91" s="124" t="inlineStr">
        <is>
          <t>第二批次</t>
        </is>
      </c>
      <c r="F91" s="124">
        <f>IF(OR(M60="挂起",M60="暂停",Q60="挂起",Q60="暂停",U60="挂起",U60="暂停",Y60="挂起",Y60="暂停"),"暂停","未开始")</f>
        <v/>
      </c>
      <c r="G91" s="125" t="n">
        <v>46272</v>
      </c>
      <c r="H91" s="125" t="n">
        <v>46304</v>
      </c>
      <c r="I91" s="127" t="n">
        <v>40</v>
      </c>
      <c r="J91" s="124">
        <f>IF(I91="","待估算",IF(F91="已完成","已结束",IF(AND(ISNUMBER(G91),ISNUMBER(H91),G91&lt;='项目驾驶舱'!$B$3,H91&gt;='项目驾驶舱'!$B$3),"进行中","计划中")))</f>
        <v/>
      </c>
      <c r="K91" s="124">
        <f>IF(J91="待估算","补充投入工时",IF(AND(H91&lt;'项目驾驶舱'!$B$3,F91&lt;&gt;"已完成"),"确认延期和后续安排","按计划跟踪"))</f>
        <v/>
      </c>
      <c r="L91" s="127" t="n"/>
    </row>
    <row r="92">
      <c r="C92" s="124" t="inlineStr">
        <is>
          <t>T141</t>
        </is>
      </c>
      <c r="D92" s="124" t="inlineStr">
        <is>
          <t>视频监控查询</t>
        </is>
      </c>
      <c r="E92" s="124" t="inlineStr">
        <is>
          <t>第二批次</t>
        </is>
      </c>
      <c r="F92" s="124">
        <f>IF(OR(M144="挂起",M144="暂停",Q144="挂起",Q144="暂停",U144="挂起",U144="暂停",Y144="挂起",Y144="暂停"),"暂停","未开始")</f>
        <v/>
      </c>
      <c r="G92" s="125" t="n">
        <v>46272</v>
      </c>
      <c r="H92" s="125" t="n">
        <v>46304</v>
      </c>
      <c r="I92" s="127" t="n">
        <v>40</v>
      </c>
      <c r="J92" s="124">
        <f>IF(I92="","待估算",IF(F92="已完成","已结束",IF(AND(ISNUMBER(G92),ISNUMBER(H92),G92&lt;='项目驾驶舱'!$B$3,H92&gt;='项目驾驶舱'!$B$3),"进行中","计划中")))</f>
        <v/>
      </c>
      <c r="K92" s="124">
        <f>IF(J92="待估算","补充投入工时",IF(AND(H92&lt;'项目驾驶舱'!$B$3,F92&lt;&gt;"已完成"),"确认延期和后续安排","按计划跟踪"))</f>
        <v/>
      </c>
      <c r="L92" s="127" t="n"/>
    </row>
    <row r="93">
      <c r="C93" s="124" t="inlineStr">
        <is>
          <t>T005</t>
        </is>
      </c>
      <c r="D93" s="124" t="inlineStr">
        <is>
          <t>船舶唯一性校验</t>
        </is>
      </c>
      <c r="E93" s="124" t="inlineStr">
        <is>
          <t>第二批次</t>
        </is>
      </c>
      <c r="F93" s="124">
        <f>IF(OR(M8="挂起",M8="暂停",Q8="挂起",Q8="暂停",U8="挂起",U8="暂停",Y8="挂起",Y8="暂停"),"暂停","已完成")</f>
        <v/>
      </c>
      <c r="G93" s="125" t="n">
        <v>46307</v>
      </c>
      <c r="H93" s="125" t="n">
        <v>46339</v>
      </c>
      <c r="I93" s="127" t="n">
        <v>40</v>
      </c>
      <c r="J93" s="124">
        <f>IF(I93="","待估算",IF(F93="已完成","已结束",IF(AND(ISNUMBER(G93),ISNUMBER(H93),G93&lt;='项目驾驶舱'!$B$3,H93&gt;='项目驾驶舱'!$B$3),"进行中","计划中")))</f>
        <v/>
      </c>
      <c r="K93" s="124">
        <f>IF(J93="待估算","补充投入工时",IF(AND(H93&lt;'项目驾驶舱'!$B$3,F93&lt;&gt;"已完成"),"确认延期和后续安排","按计划跟踪"))</f>
        <v/>
      </c>
      <c r="L93" s="127" t="n"/>
    </row>
    <row r="94">
      <c r="C94" s="124" t="inlineStr">
        <is>
          <t>T019</t>
        </is>
      </c>
      <c r="D94" s="124" t="inlineStr">
        <is>
          <t>对接卸船计划</t>
        </is>
      </c>
      <c r="E94" s="124" t="inlineStr">
        <is>
          <t>第二批次</t>
        </is>
      </c>
      <c r="F94" s="124">
        <f>IF(OR(M22="挂起",M22="暂停",Q22="挂起",Q22="暂停",U22="挂起",U22="暂停",Y22="挂起",Y22="暂停"),"暂停","进行中")</f>
        <v/>
      </c>
      <c r="G94" s="125" t="n">
        <v>46307</v>
      </c>
      <c r="H94" s="125" t="n">
        <v>46339</v>
      </c>
      <c r="I94" s="127" t="n">
        <v>40</v>
      </c>
      <c r="J94" s="124">
        <f>IF(I94="","待估算",IF(F94="已完成","已结束",IF(AND(ISNUMBER(G94),ISNUMBER(H94),G94&lt;='项目驾驶舱'!$B$3,H94&gt;='项目驾驶舱'!$B$3),"进行中","计划中")))</f>
        <v/>
      </c>
      <c r="K94" s="124">
        <f>IF(J94="待估算","补充投入工时",IF(AND(H94&lt;'项目驾驶舱'!$B$3,F94&lt;&gt;"已完成"),"确认延期和后续安排","按计划跟踪"))</f>
        <v/>
      </c>
      <c r="L94" s="127" t="n"/>
    </row>
    <row r="95">
      <c r="C95" s="124" t="inlineStr">
        <is>
          <t>T020</t>
        </is>
      </c>
      <c r="D95" s="124" t="inlineStr">
        <is>
          <t>查询卸车计划</t>
        </is>
      </c>
      <c r="E95" s="124" t="inlineStr">
        <is>
          <t>第二批次</t>
        </is>
      </c>
      <c r="F95" s="124">
        <f>IF(OR(M23="挂起",M23="暂停",Q23="挂起",Q23="暂停",U23="挂起",U23="暂停",Y23="挂起",Y23="暂停"),"暂停","进行中")</f>
        <v/>
      </c>
      <c r="G95" s="125" t="n">
        <v>46307</v>
      </c>
      <c r="H95" s="125" t="n">
        <v>46339</v>
      </c>
      <c r="I95" s="127" t="n">
        <v>40</v>
      </c>
      <c r="J95" s="124">
        <f>IF(I95="","待估算",IF(F95="已完成","已结束",IF(AND(ISNUMBER(G95),ISNUMBER(H95),G95&lt;='项目驾驶舱'!$B$3,H95&gt;='项目驾驶舱'!$B$3),"进行中","计划中")))</f>
        <v/>
      </c>
      <c r="K95" s="124">
        <f>IF(J95="待估算","补充投入工时",IF(AND(H95&lt;'项目驾驶舱'!$B$3,F95&lt;&gt;"已完成"),"确认延期和后续安排","按计划跟踪"))</f>
        <v/>
      </c>
      <c r="L95" s="127" t="n"/>
    </row>
    <row r="96">
      <c r="C96" s="124" t="inlineStr">
        <is>
          <t>T021</t>
        </is>
      </c>
      <c r="D96" s="124" t="inlineStr">
        <is>
          <t>外部客户确认</t>
        </is>
      </c>
      <c r="E96" s="124" t="inlineStr">
        <is>
          <t>第二批次</t>
        </is>
      </c>
      <c r="F96" s="124">
        <f>IF(OR(M24="挂起",M24="暂停",Q24="挂起",Q24="暂停",U24="挂起",U24="暂停",Y24="挂起",Y24="暂停"),"暂停","进行中")</f>
        <v/>
      </c>
      <c r="G96" s="125" t="n">
        <v>46307</v>
      </c>
      <c r="H96" s="125" t="n">
        <v>46339</v>
      </c>
      <c r="I96" s="127" t="n">
        <v>40</v>
      </c>
      <c r="J96" s="124">
        <f>IF(I96="","待估算",IF(F96="已完成","已结束",IF(AND(ISNUMBER(G96),ISNUMBER(H96),G96&lt;='项目驾驶舱'!$B$3,H96&gt;='项目驾驶舱'!$B$3),"进行中","计划中")))</f>
        <v/>
      </c>
      <c r="K96" s="124">
        <f>IF(J96="待估算","补充投入工时",IF(AND(H96&lt;'项目驾驶舱'!$B$3,F96&lt;&gt;"已完成"),"确认延期和后续安排","按计划跟踪"))</f>
        <v/>
      </c>
      <c r="L96" s="127" t="n"/>
    </row>
    <row r="97">
      <c r="C97" s="124" t="inlineStr">
        <is>
          <t>T022</t>
        </is>
      </c>
      <c r="D97" s="124" t="inlineStr">
        <is>
          <t>对接卸船作业信息</t>
        </is>
      </c>
      <c r="E97" s="124" t="inlineStr">
        <is>
          <t>第二批次</t>
        </is>
      </c>
      <c r="F97" s="124">
        <f>IF(OR(M25="挂起",M25="暂停",Q25="挂起",Q25="暂停",U25="挂起",U25="暂停",Y25="挂起",Y25="暂停"),"暂停","未开始")</f>
        <v/>
      </c>
      <c r="G97" s="125" t="n">
        <v>46307</v>
      </c>
      <c r="H97" s="125" t="n">
        <v>46339</v>
      </c>
      <c r="I97" s="127" t="n">
        <v>40</v>
      </c>
      <c r="J97" s="124">
        <f>IF(I97="","待估算",IF(F97="已完成","已结束",IF(AND(ISNUMBER(G97),ISNUMBER(H97),G97&lt;='项目驾驶舱'!$B$3,H97&gt;='项目驾驶舱'!$B$3),"进行中","计划中")))</f>
        <v/>
      </c>
      <c r="K97" s="124">
        <f>IF(J97="待估算","补充投入工时",IF(AND(H97&lt;'项目驾驶舱'!$B$3,F97&lt;&gt;"已完成"),"确认延期和后续安排","按计划跟踪"))</f>
        <v/>
      </c>
      <c r="L97" s="127" t="n"/>
    </row>
    <row r="98">
      <c r="C98" s="124" t="inlineStr">
        <is>
          <t>T023</t>
        </is>
      </c>
      <c r="D98" s="124" t="inlineStr">
        <is>
          <t>查询卸船作业信息</t>
        </is>
      </c>
      <c r="E98" s="124" t="inlineStr">
        <is>
          <t>第二批次</t>
        </is>
      </c>
      <c r="F98" s="124">
        <f>IF(OR(M26="挂起",M26="暂停",Q26="挂起",Q26="暂停",U26="挂起",U26="暂停",Y26="挂起",Y26="暂停"),"暂停","未开始")</f>
        <v/>
      </c>
      <c r="G98" s="125" t="n">
        <v>46307</v>
      </c>
      <c r="H98" s="125" t="n">
        <v>46339</v>
      </c>
      <c r="I98" s="127" t="n">
        <v>40</v>
      </c>
      <c r="J98" s="124">
        <f>IF(I98="","待估算",IF(F98="已完成","已结束",IF(AND(ISNUMBER(G98),ISNUMBER(H98),G98&lt;='项目驾驶舱'!$B$3,H98&gt;='项目驾驶舱'!$B$3),"进行中","计划中")))</f>
        <v/>
      </c>
      <c r="K98" s="124">
        <f>IF(J98="待估算","补充投入工时",IF(AND(H98&lt;'项目驾驶舱'!$B$3,F98&lt;&gt;"已完成"),"确认延期和后续安排","按计划跟踪"))</f>
        <v/>
      </c>
      <c r="L98" s="127" t="n"/>
    </row>
    <row r="99">
      <c r="A99" s="22" t="n"/>
      <c r="B99" s="22" t="n"/>
      <c r="C99" s="124" t="inlineStr">
        <is>
          <t>T024</t>
        </is>
      </c>
      <c r="D99" s="124" t="inlineStr">
        <is>
          <t>卸船查询列表</t>
        </is>
      </c>
      <c r="E99" s="124" t="inlineStr">
        <is>
          <t>第二批次</t>
        </is>
      </c>
      <c r="F99" s="124">
        <f>IF(OR(M27="挂起",M27="暂停",Q27="挂起",Q27="暂停",U27="挂起",U27="暂停",Y27="挂起",Y27="暂停"),"暂停","未开始")</f>
        <v/>
      </c>
      <c r="G99" s="125" t="n">
        <v>46307</v>
      </c>
      <c r="H99" s="125" t="n">
        <v>46339</v>
      </c>
      <c r="I99" s="127" t="n">
        <v>40</v>
      </c>
      <c r="J99" s="124">
        <f>IF(I99="","待估算",IF(F99="已完成","已结束",IF(AND(ISNUMBER(G99),ISNUMBER(H99),G99&lt;='项目驾驶舱'!$B$3,H99&gt;='项目驾驶舱'!$B$3),"进行中","计划中")))</f>
        <v/>
      </c>
      <c r="K99" s="124">
        <f>IF(J99="待估算","补充投入工时",IF(AND(H99&lt;'项目驾驶舱'!$B$3,F99&lt;&gt;"已完成"),"确认延期和后续安排","按计划跟踪"))</f>
        <v/>
      </c>
      <c r="L99" s="127" t="n"/>
    </row>
    <row r="100">
      <c r="A100" s="133" t="inlineStr">
        <is>
          <t>刘凯</t>
        </is>
      </c>
      <c r="B100" s="133" t="inlineStr">
        <is>
          <t>后端</t>
        </is>
      </c>
      <c r="C100" s="124" t="inlineStr">
        <is>
          <t>T025</t>
        </is>
      </c>
      <c r="D100" s="124" t="inlineStr">
        <is>
          <t>卸船查询详情</t>
        </is>
      </c>
      <c r="E100" s="124" t="inlineStr">
        <is>
          <t>第二批次</t>
        </is>
      </c>
      <c r="F100" s="124">
        <f>IF(OR(M28="挂起",M28="暂停",Q28="挂起",Q28="暂停",U28="挂起",U28="暂停",Y28="挂起",Y28="暂停"),"暂停","未开始")</f>
        <v/>
      </c>
      <c r="G100" s="125" t="n">
        <v>46307</v>
      </c>
      <c r="H100" s="125" t="n">
        <v>46339</v>
      </c>
      <c r="I100" s="127" t="n">
        <v>40</v>
      </c>
      <c r="J100" s="124">
        <f>IF(I100="","待估算",IF(F100="已完成","已结束",IF(AND(ISNUMBER(G100),ISNUMBER(H100),G100&lt;='项目驾驶舱'!$B$3,H100&gt;='项目驾驶舱'!$B$3),"进行中","计划中")))</f>
        <v/>
      </c>
      <c r="K100" s="124">
        <f>IF(J100="待估算","补充投入工时",IF(AND(H100&lt;'项目驾驶舱'!$B$3,F100&lt;&gt;"已完成"),"确认延期和后续安排","按计划跟踪"))</f>
        <v/>
      </c>
      <c r="L100" s="127" t="n"/>
    </row>
    <row r="101">
      <c r="C101" s="124" t="inlineStr">
        <is>
          <t>T026</t>
        </is>
      </c>
      <c r="D101" s="124" t="inlineStr">
        <is>
          <t>创建卸船作业委托信息</t>
        </is>
      </c>
      <c r="E101" s="124" t="inlineStr">
        <is>
          <t>第二批次</t>
        </is>
      </c>
      <c r="F101" s="124">
        <f>IF(OR(M29="挂起",M29="暂停",Q29="挂起",Q29="暂停",U29="挂起",U29="暂停",Y29="挂起",Y29="暂停"),"暂停","进行中")</f>
        <v/>
      </c>
      <c r="G101" s="125" t="n">
        <v>46307</v>
      </c>
      <c r="H101" s="125" t="n">
        <v>46339</v>
      </c>
      <c r="I101" s="127" t="n">
        <v>40</v>
      </c>
      <c r="J101" s="124">
        <f>IF(I101="","待估算",IF(F101="已完成","已结束",IF(AND(ISNUMBER(G101),ISNUMBER(H101),G101&lt;='项目驾驶舱'!$B$3,H101&gt;='项目驾驶舱'!$B$3),"进行中","计划中")))</f>
        <v/>
      </c>
      <c r="K101" s="124">
        <f>IF(J101="待估算","补充投入工时",IF(AND(H101&lt;'项目驾驶舱'!$B$3,F101&lt;&gt;"已完成"),"确认延期和后续安排","按计划跟踪"))</f>
        <v/>
      </c>
      <c r="L101" s="127" t="n"/>
    </row>
    <row r="102">
      <c r="C102" s="124" t="inlineStr">
        <is>
          <t>T027</t>
        </is>
      </c>
      <c r="D102" s="124" t="inlineStr">
        <is>
          <t>修改卸船作业委托信息</t>
        </is>
      </c>
      <c r="E102" s="124" t="inlineStr">
        <is>
          <t>第二批次</t>
        </is>
      </c>
      <c r="F102" s="124">
        <f>IF(OR(M30="挂起",M30="暂停",Q30="挂起",Q30="暂停",U30="挂起",U30="暂停",Y30="挂起",Y30="暂停"),"暂停","进行中")</f>
        <v/>
      </c>
      <c r="G102" s="125" t="n">
        <v>46307</v>
      </c>
      <c r="H102" s="125" t="n">
        <v>46339</v>
      </c>
      <c r="I102" s="127" t="n">
        <v>40</v>
      </c>
      <c r="J102" s="124">
        <f>IF(I102="","待估算",IF(F102="已完成","已结束",IF(AND(ISNUMBER(G102),ISNUMBER(H102),G102&lt;='项目驾驶舱'!$B$3,H102&gt;='项目驾驶舱'!$B$3),"进行中","计划中")))</f>
        <v/>
      </c>
      <c r="K102" s="124">
        <f>IF(J102="待估算","补充投入工时",IF(AND(H102&lt;'项目驾驶舱'!$B$3,F102&lt;&gt;"已完成"),"确认延期和后续安排","按计划跟踪"))</f>
        <v/>
      </c>
      <c r="L102" s="127" t="n"/>
    </row>
    <row r="103">
      <c r="C103" s="124" t="inlineStr">
        <is>
          <t>T028</t>
        </is>
      </c>
      <c r="D103" s="124" t="inlineStr">
        <is>
          <t>作废卸船作业委托信息</t>
        </is>
      </c>
      <c r="E103" s="124" t="inlineStr">
        <is>
          <t>第二批次</t>
        </is>
      </c>
      <c r="F103" s="124">
        <f>IF(OR(M31="挂起",M31="暂停",Q31="挂起",Q31="暂停",U31="挂起",U31="暂停",Y31="挂起",Y31="暂停"),"暂停","进行中")</f>
        <v/>
      </c>
      <c r="G103" s="125" t="n">
        <v>46307</v>
      </c>
      <c r="H103" s="125" t="n">
        <v>46339</v>
      </c>
      <c r="I103" s="127" t="n">
        <v>40</v>
      </c>
      <c r="J103" s="124">
        <f>IF(I103="","待估算",IF(F103="已完成","已结束",IF(AND(ISNUMBER(G103),ISNUMBER(H103),G103&lt;='项目驾驶舱'!$B$3,H103&gt;='项目驾驶舱'!$B$3),"进行中","计划中")))</f>
        <v/>
      </c>
      <c r="K103" s="124">
        <f>IF(J103="待估算","补充投入工时",IF(AND(H103&lt;'项目驾驶舱'!$B$3,F103&lt;&gt;"已完成"),"确认延期和后续安排","按计划跟踪"))</f>
        <v/>
      </c>
      <c r="L103" s="127" t="n"/>
    </row>
    <row r="104">
      <c r="C104" s="124" t="inlineStr">
        <is>
          <t>T029</t>
        </is>
      </c>
      <c r="D104" s="124" t="inlineStr">
        <is>
          <t>推送卸船作业委托信息</t>
        </is>
      </c>
      <c r="E104" s="124" t="inlineStr">
        <is>
          <t>第二批次</t>
        </is>
      </c>
      <c r="F104" s="124">
        <f>IF(OR(M32="挂起",M32="暂停",Q32="挂起",Q32="暂停",U32="挂起",U32="暂停",Y32="挂起",Y32="暂停"),"暂停","进行中")</f>
        <v/>
      </c>
      <c r="G104" s="125" t="n">
        <v>46307</v>
      </c>
      <c r="H104" s="125" t="n">
        <v>46339</v>
      </c>
      <c r="I104" s="127" t="n">
        <v>40</v>
      </c>
      <c r="J104" s="124">
        <f>IF(I104="","待估算",IF(F104="已完成","已结束",IF(AND(ISNUMBER(G104),ISNUMBER(H104),G104&lt;='项目驾驶舱'!$B$3,H104&gt;='项目驾驶舱'!$B$3),"进行中","计划中")))</f>
        <v/>
      </c>
      <c r="K104" s="124">
        <f>IF(J104="待估算","补充投入工时",IF(AND(H104&lt;'项目驾驶舱'!$B$3,F104&lt;&gt;"已完成"),"确认延期和后续安排","按计划跟踪"))</f>
        <v/>
      </c>
      <c r="L104" s="127" t="n"/>
    </row>
    <row r="105">
      <c r="C105" s="124" t="inlineStr">
        <is>
          <t>T030</t>
        </is>
      </c>
      <c r="D105" s="124" t="inlineStr">
        <is>
          <t>查询卸船作业委托信息</t>
        </is>
      </c>
      <c r="E105" s="124" t="inlineStr">
        <is>
          <t>第二批次</t>
        </is>
      </c>
      <c r="F105" s="124">
        <f>IF(OR(M33="挂起",M33="暂停",Q33="挂起",Q33="暂停",U33="挂起",U33="暂停",Y33="挂起",Y33="暂停"),"暂停","进行中")</f>
        <v/>
      </c>
      <c r="G105" s="125" t="n">
        <v>46307</v>
      </c>
      <c r="H105" s="125" t="n">
        <v>46339</v>
      </c>
      <c r="I105" s="127" t="n">
        <v>40</v>
      </c>
      <c r="J105" s="124">
        <f>IF(I105="","待估算",IF(F105="已完成","已结束",IF(AND(ISNUMBER(G105),ISNUMBER(H105),G105&lt;='项目驾驶舱'!$B$3,H105&gt;='项目驾驶舱'!$B$3),"进行中","计划中")))</f>
        <v/>
      </c>
      <c r="K105" s="124">
        <f>IF(J105="待估算","补充投入工时",IF(AND(H105&lt;'项目驾驶舱'!$B$3,F105&lt;&gt;"已完成"),"确认延期和后续安排","按计划跟踪"))</f>
        <v/>
      </c>
      <c r="L105" s="127" t="n"/>
    </row>
    <row r="106">
      <c r="C106" s="124" t="inlineStr">
        <is>
          <t>T031</t>
        </is>
      </c>
      <c r="D106" s="124" t="inlineStr">
        <is>
          <t>创建外轮转内贸业务信息</t>
        </is>
      </c>
      <c r="E106" s="124" t="inlineStr">
        <is>
          <t>第二批次</t>
        </is>
      </c>
      <c r="F106" s="124">
        <f>IF(OR(M34="挂起",M34="暂停",Q34="挂起",Q34="暂停",U34="挂起",U34="暂停",Y34="挂起",Y34="暂停"),"暂停","未开始")</f>
        <v/>
      </c>
      <c r="G106" s="125" t="n">
        <v>46307</v>
      </c>
      <c r="H106" s="125" t="n">
        <v>46339</v>
      </c>
      <c r="I106" s="127" t="n">
        <v>40</v>
      </c>
      <c r="J106" s="124">
        <f>IF(I106="","待估算",IF(F106="已完成","已结束",IF(AND(ISNUMBER(G106),ISNUMBER(H106),G106&lt;='项目驾驶舱'!$B$3,H106&gt;='项目驾驶舱'!$B$3),"进行中","计划中")))</f>
        <v/>
      </c>
      <c r="K106" s="124">
        <f>IF(J106="待估算","补充投入工时",IF(AND(H106&lt;'项目驾驶舱'!$B$3,F106&lt;&gt;"已完成"),"确认延期和后续安排","按计划跟踪"))</f>
        <v/>
      </c>
      <c r="L106" s="127" t="n"/>
    </row>
    <row r="107">
      <c r="C107" s="124" t="inlineStr">
        <is>
          <t>T032</t>
        </is>
      </c>
      <c r="D107" s="124" t="inlineStr">
        <is>
          <t>作废外轮转内贸业务信息</t>
        </is>
      </c>
      <c r="E107" s="124" t="inlineStr">
        <is>
          <t>第二批次</t>
        </is>
      </c>
      <c r="F107" s="124">
        <f>IF(OR(M35="挂起",M35="暂停",Q35="挂起",Q35="暂停",U35="挂起",U35="暂停",Y35="挂起",Y35="暂停"),"暂停","未开始")</f>
        <v/>
      </c>
      <c r="G107" s="125" t="n">
        <v>46307</v>
      </c>
      <c r="H107" s="125" t="n">
        <v>46339</v>
      </c>
      <c r="I107" s="127" t="n">
        <v>40</v>
      </c>
      <c r="J107" s="124">
        <f>IF(I107="","待估算",IF(F107="已完成","已结束",IF(AND(ISNUMBER(G107),ISNUMBER(H107),G107&lt;='项目驾驶舱'!$B$3,H107&gt;='项目驾驶舱'!$B$3),"进行中","计划中")))</f>
        <v/>
      </c>
      <c r="K107" s="124">
        <f>IF(J107="待估算","补充投入工时",IF(AND(H107&lt;'项目驾驶舱'!$B$3,F107&lt;&gt;"已完成"),"确认延期和后续安排","按计划跟踪"))</f>
        <v/>
      </c>
      <c r="L107" s="127" t="n"/>
    </row>
    <row r="108">
      <c r="C108" s="124" t="inlineStr">
        <is>
          <t>T033</t>
        </is>
      </c>
      <c r="D108" s="124" t="inlineStr">
        <is>
          <t>查询外轮转内贸业务信息</t>
        </is>
      </c>
      <c r="E108" s="124" t="inlineStr">
        <is>
          <t>第二批次</t>
        </is>
      </c>
      <c r="F108" s="124">
        <f>IF(OR(M36="挂起",M36="暂停",Q36="挂起",Q36="暂停",U36="挂起",U36="暂停",Y36="挂起",Y36="暂停"),"暂停","未开始")</f>
        <v/>
      </c>
      <c r="G108" s="125" t="n">
        <v>46307</v>
      </c>
      <c r="H108" s="125" t="n">
        <v>46339</v>
      </c>
      <c r="I108" s="127" t="n">
        <v>40</v>
      </c>
      <c r="J108" s="124">
        <f>IF(I108="","待估算",IF(F108="已完成","已结束",IF(AND(ISNUMBER(G108),ISNUMBER(H108),G108&lt;='项目驾驶舱'!$B$3,H108&gt;='项目驾驶舱'!$B$3),"进行中","计划中")))</f>
        <v/>
      </c>
      <c r="K108" s="124">
        <f>IF(J108="待估算","补充投入工时",IF(AND(H108&lt;'项目驾驶舱'!$B$3,F108&lt;&gt;"已完成"),"确认延期和后续安排","按计划跟踪"))</f>
        <v/>
      </c>
      <c r="L108" s="127" t="n"/>
    </row>
    <row r="109">
      <c r="C109" s="124" t="inlineStr">
        <is>
          <t>T034</t>
        </is>
      </c>
      <c r="D109" s="124" t="inlineStr">
        <is>
          <t>新增船舶靠泊通知单</t>
        </is>
      </c>
      <c r="E109" s="124" t="inlineStr">
        <is>
          <t>第二批次</t>
        </is>
      </c>
      <c r="F109" s="124">
        <f>IF(OR(M37="挂起",M37="暂停",Q37="挂起",Q37="暂停",U37="挂起",U37="暂停",Y37="挂起",Y37="暂停"),"暂停","进行中")</f>
        <v/>
      </c>
      <c r="G109" s="125" t="n">
        <v>46307</v>
      </c>
      <c r="H109" s="125" t="n">
        <v>46339</v>
      </c>
      <c r="I109" s="127" t="n">
        <v>40</v>
      </c>
      <c r="J109" s="124">
        <f>IF(I109="","待估算",IF(F109="已完成","已结束",IF(AND(ISNUMBER(G109),ISNUMBER(H109),G109&lt;='项目驾驶舱'!$B$3,H109&gt;='项目驾驶舱'!$B$3),"进行中","计划中")))</f>
        <v/>
      </c>
      <c r="K109" s="124">
        <f>IF(J109="待估算","补充投入工时",IF(AND(H109&lt;'项目驾驶舱'!$B$3,F109&lt;&gt;"已完成"),"确认延期和后续安排","按计划跟踪"))</f>
        <v/>
      </c>
      <c r="L109" s="127" t="n"/>
    </row>
    <row r="110">
      <c r="C110" s="124" t="inlineStr">
        <is>
          <t>T035</t>
        </is>
      </c>
      <c r="D110" s="124" t="inlineStr">
        <is>
          <t>审批船舶靠泊通知单</t>
        </is>
      </c>
      <c r="E110" s="124" t="inlineStr">
        <is>
          <t>第二批次</t>
        </is>
      </c>
      <c r="F110" s="124">
        <f>IF(OR(M38="挂起",M38="暂停",Q38="挂起",Q38="暂停",U38="挂起",U38="暂停",Y38="挂起",Y38="暂停"),"暂停","进行中")</f>
        <v/>
      </c>
      <c r="G110" s="125" t="n">
        <v>46307</v>
      </c>
      <c r="H110" s="125" t="n">
        <v>46339</v>
      </c>
      <c r="I110" s="127" t="n">
        <v>40</v>
      </c>
      <c r="J110" s="124">
        <f>IF(I110="","待估算",IF(F110="已完成","已结束",IF(AND(ISNUMBER(G110),ISNUMBER(H110),G110&lt;='项目驾驶舱'!$B$3,H110&gt;='项目驾驶舱'!$B$3),"进行中","计划中")))</f>
        <v/>
      </c>
      <c r="K110" s="124">
        <f>IF(J110="待估算","补充投入工时",IF(AND(H110&lt;'项目驾驶舱'!$B$3,F110&lt;&gt;"已完成"),"确认延期和后续安排","按计划跟踪"))</f>
        <v/>
      </c>
      <c r="L110" s="127" t="n"/>
    </row>
    <row r="111">
      <c r="A111" s="22" t="n"/>
      <c r="B111" s="22" t="n"/>
      <c r="C111" s="124" t="inlineStr">
        <is>
          <t>T036</t>
        </is>
      </c>
      <c r="D111" s="124" t="inlineStr">
        <is>
          <t>查询船舶靠泊通知单</t>
        </is>
      </c>
      <c r="E111" s="124" t="inlineStr">
        <is>
          <t>第二批次</t>
        </is>
      </c>
      <c r="F111" s="124">
        <f>IF(OR(M39="挂起",M39="暂停",Q39="挂起",Q39="暂停",U39="挂起",U39="暂停",Y39="挂起",Y39="暂停"),"暂停","进行中")</f>
        <v/>
      </c>
      <c r="G111" s="125" t="n">
        <v>46307</v>
      </c>
      <c r="H111" s="125" t="n">
        <v>46339</v>
      </c>
      <c r="I111" s="127" t="n">
        <v>40</v>
      </c>
      <c r="J111" s="124">
        <f>IF(I111="","待估算",IF(F111="已完成","已结束",IF(AND(ISNUMBER(G111),ISNUMBER(H111),G111&lt;='项目驾驶舱'!$B$3,H111&gt;='项目驾驶舱'!$B$3),"进行中","计划中")))</f>
        <v/>
      </c>
      <c r="K111" s="124">
        <f>IF(J111="待估算","补充投入工时",IF(AND(H111&lt;'项目驾驶舱'!$B$3,F111&lt;&gt;"已完成"),"确认延期和后续安排","按计划跟踪"))</f>
        <v/>
      </c>
      <c r="L111" s="127" t="n"/>
    </row>
    <row r="112">
      <c r="A112" s="133" t="inlineStr">
        <is>
          <t>刘凯</t>
        </is>
      </c>
      <c r="B112" s="133" t="inlineStr">
        <is>
          <t>后端</t>
        </is>
      </c>
      <c r="C112" s="124" t="inlineStr">
        <is>
          <t>T046</t>
        </is>
      </c>
      <c r="D112" s="124" t="inlineStr">
        <is>
          <t>新增船舶预到（外贸）</t>
        </is>
      </c>
      <c r="E112" s="124" t="inlineStr">
        <is>
          <t>第二批次</t>
        </is>
      </c>
      <c r="F112" s="124">
        <f>IF(OR(M49="挂起",M49="暂停",Q49="挂起",Q49="暂停",U49="挂起",U49="暂停",Y49="挂起",Y49="暂停"),"暂停","已完成")</f>
        <v/>
      </c>
      <c r="G112" s="125" t="n">
        <v>46307</v>
      </c>
      <c r="H112" s="125" t="n">
        <v>46339</v>
      </c>
      <c r="I112" s="127" t="n">
        <v>40</v>
      </c>
      <c r="J112" s="124">
        <f>IF(I112="","待估算",IF(F112="已完成","已结束",IF(AND(ISNUMBER(G112),ISNUMBER(H112),G112&lt;='项目驾驶舱'!$B$3,H112&gt;='项目驾驶舱'!$B$3),"进行中","计划中")))</f>
        <v/>
      </c>
      <c r="K112" s="124">
        <f>IF(J112="待估算","补充投入工时",IF(AND(H112&lt;'项目驾驶舱'!$B$3,F112&lt;&gt;"已完成"),"确认延期和后续安排","按计划跟踪"))</f>
        <v/>
      </c>
      <c r="L112" s="127" t="n"/>
    </row>
    <row r="113">
      <c r="C113" s="124" t="inlineStr">
        <is>
          <t>T047</t>
        </is>
      </c>
      <c r="D113" s="124" t="inlineStr">
        <is>
          <t>退回船舶预到（外贸）</t>
        </is>
      </c>
      <c r="E113" s="124" t="inlineStr">
        <is>
          <t>第二批次</t>
        </is>
      </c>
      <c r="F113" s="124">
        <f>IF(OR(M50="挂起",M50="暂停",Q50="挂起",Q50="暂停",U50="挂起",U50="暂停",Y50="挂起",Y50="暂停"),"暂停","未开始")</f>
        <v/>
      </c>
      <c r="G113" s="125" t="n">
        <v>46307</v>
      </c>
      <c r="H113" s="125" t="n">
        <v>46339</v>
      </c>
      <c r="I113" s="127" t="n">
        <v>40</v>
      </c>
      <c r="J113" s="124">
        <f>IF(I113="","待估算",IF(F113="已完成","已结束",IF(AND(ISNUMBER(G113),ISNUMBER(H113),G113&lt;='项目驾驶舱'!$B$3,H113&gt;='项目驾驶舱'!$B$3),"进行中","计划中")))</f>
        <v/>
      </c>
      <c r="K113" s="124">
        <f>IF(J113="待估算","补充投入工时",IF(AND(H113&lt;'项目驾驶舱'!$B$3,F113&lt;&gt;"已完成"),"确认延期和后续安排","按计划跟踪"))</f>
        <v/>
      </c>
      <c r="L113" s="127" t="n"/>
    </row>
    <row r="114">
      <c r="C114" s="124" t="inlineStr">
        <is>
          <t>T048</t>
        </is>
      </c>
      <c r="D114" s="124" t="inlineStr">
        <is>
          <t>退回船舶预到（外贸）</t>
        </is>
      </c>
      <c r="E114" s="124" t="inlineStr">
        <is>
          <t>第二批次</t>
        </is>
      </c>
      <c r="F114" s="124">
        <f>IF(OR(M51="挂起",M51="暂停",Q51="挂起",Q51="暂停",U51="挂起",U51="暂停",Y51="挂起",Y51="暂停"),"暂停","未开始")</f>
        <v/>
      </c>
      <c r="G114" s="125" t="n">
        <v>46307</v>
      </c>
      <c r="H114" s="125" t="n">
        <v>46339</v>
      </c>
      <c r="I114" s="127" t="n">
        <v>40</v>
      </c>
      <c r="J114" s="124">
        <f>IF(I114="","待估算",IF(F114="已完成","已结束",IF(AND(ISNUMBER(G114),ISNUMBER(H114),G114&lt;='项目驾驶舱'!$B$3,H114&gt;='项目驾驶舱'!$B$3),"进行中","计划中")))</f>
        <v/>
      </c>
      <c r="K114" s="124">
        <f>IF(J114="待估算","补充投入工时",IF(AND(H114&lt;'项目驾驶舱'!$B$3,F114&lt;&gt;"已完成"),"确认延期和后续安排","按计划跟踪"))</f>
        <v/>
      </c>
      <c r="L114" s="127" t="n"/>
    </row>
    <row r="115">
      <c r="C115" s="124" t="inlineStr">
        <is>
          <t>T049</t>
        </is>
      </c>
      <c r="D115" s="124" t="inlineStr">
        <is>
          <t>申请采样申请（外贸）</t>
        </is>
      </c>
      <c r="E115" s="124" t="inlineStr">
        <is>
          <t>第二批次</t>
        </is>
      </c>
      <c r="F115" s="124">
        <f>IF(OR(M52="挂起",M52="暂停",Q52="挂起",Q52="暂停",U52="挂起",U52="暂停",Y52="挂起",Y52="暂停"),"暂停","已完成")</f>
        <v/>
      </c>
      <c r="G115" s="125" t="n">
        <v>46307</v>
      </c>
      <c r="H115" s="125" t="n">
        <v>46339</v>
      </c>
      <c r="I115" s="127" t="n">
        <v>40</v>
      </c>
      <c r="J115" s="124">
        <f>IF(I115="","待估算",IF(F115="已完成","已结束",IF(AND(ISNUMBER(G115),ISNUMBER(H115),G115&lt;='项目驾驶舱'!$B$3,H115&gt;='项目驾驶舱'!$B$3),"进行中","计划中")))</f>
        <v/>
      </c>
      <c r="K115" s="124">
        <f>IF(J115="待估算","补充投入工时",IF(AND(H115&lt;'项目驾驶舱'!$B$3,F115&lt;&gt;"已完成"),"确认延期和后续安排","按计划跟踪"))</f>
        <v/>
      </c>
      <c r="L115" s="127" t="n"/>
    </row>
    <row r="116">
      <c r="C116" s="124" t="inlineStr">
        <is>
          <t>T078</t>
        </is>
      </c>
      <c r="D116" s="124" t="inlineStr">
        <is>
          <t>业务数据合同签订校验</t>
        </is>
      </c>
      <c r="E116" s="124" t="inlineStr">
        <is>
          <t>第二批次</t>
        </is>
      </c>
      <c r="F116" s="124">
        <f>IF(OR(M81="挂起",M81="暂停",Q81="挂起",Q81="暂停",U81="挂起",U81="暂停",Y81="挂起",Y81="暂停"),"暂停","未开始")</f>
        <v/>
      </c>
      <c r="G116" s="125" t="n">
        <v>46307</v>
      </c>
      <c r="H116" s="125" t="n">
        <v>46339</v>
      </c>
      <c r="I116" s="127" t="n">
        <v>40</v>
      </c>
      <c r="J116" s="124">
        <f>IF(I116="","待估算",IF(F116="已完成","已结束",IF(AND(ISNUMBER(G116),ISNUMBER(H116),G116&lt;='项目驾驶舱'!$B$3,H116&gt;='项目驾驶舱'!$B$3),"进行中","计划中")))</f>
        <v/>
      </c>
      <c r="K116" s="124">
        <f>IF(J116="待估算","补充投入工时",IF(AND(H116&lt;'项目驾驶舱'!$B$3,F116&lt;&gt;"已完成"),"确认延期和后续安排","按计划跟踪"))</f>
        <v/>
      </c>
      <c r="L116" s="127" t="n"/>
    </row>
    <row r="117">
      <c r="C117" s="124" t="inlineStr">
        <is>
          <t>T079</t>
        </is>
      </c>
      <c r="D117" s="124" t="inlineStr">
        <is>
          <t>结算数据合同签订校验</t>
        </is>
      </c>
      <c r="E117" s="124" t="inlineStr">
        <is>
          <t>第二批次</t>
        </is>
      </c>
      <c r="F117" s="124">
        <f>IF(OR(M82="挂起",M82="暂停",Q82="挂起",Q82="暂停",U82="挂起",U82="暂停",Y82="挂起",Y82="暂停"),"暂停","未开始")</f>
        <v/>
      </c>
      <c r="G117" s="125" t="n">
        <v>46307</v>
      </c>
      <c r="H117" s="125" t="n">
        <v>46339</v>
      </c>
      <c r="I117" s="127" t="n">
        <v>40</v>
      </c>
      <c r="J117" s="124">
        <f>IF(I117="","待估算",IF(F117="已完成","已结束",IF(AND(ISNUMBER(G117),ISNUMBER(H117),G117&lt;='项目驾驶舱'!$B$3,H117&gt;='项目驾驶舱'!$B$3),"进行中","计划中")))</f>
        <v/>
      </c>
      <c r="K117" s="124">
        <f>IF(J117="待估算","补充投入工时",IF(AND(H117&lt;'项目驾驶舱'!$B$3,F117&lt;&gt;"已完成"),"确认延期和后续安排","按计划跟踪"))</f>
        <v/>
      </c>
      <c r="L117" s="127" t="n"/>
    </row>
    <row r="118">
      <c r="C118" s="124" t="inlineStr">
        <is>
          <t>T080</t>
        </is>
      </c>
      <c r="D118" s="124" t="inlineStr">
        <is>
          <t>合同校验结果查询</t>
        </is>
      </c>
      <c r="E118" s="124" t="inlineStr">
        <is>
          <t>第二批次</t>
        </is>
      </c>
      <c r="F118" s="124">
        <f>IF(OR(M83="挂起",M83="暂停",Q83="挂起",Q83="暂停",U83="挂起",U83="暂停",Y83="挂起",Y83="暂停"),"暂停","未开始")</f>
        <v/>
      </c>
      <c r="G118" s="125" t="n">
        <v>46307</v>
      </c>
      <c r="H118" s="125" t="n">
        <v>46339</v>
      </c>
      <c r="I118" s="127" t="n">
        <v>40</v>
      </c>
      <c r="J118" s="124">
        <f>IF(I118="","待估算",IF(F118="已完成","已结束",IF(AND(ISNUMBER(G118),ISNUMBER(H118),G118&lt;='项目驾驶舱'!$B$3,H118&gt;='项目驾驶舱'!$B$3),"进行中","计划中")))</f>
        <v/>
      </c>
      <c r="K118" s="124">
        <f>IF(J118="待估算","补充投入工时",IF(AND(H118&lt;'项目驾驶舱'!$B$3,F118&lt;&gt;"已完成"),"确认延期和后续安排","按计划跟踪"))</f>
        <v/>
      </c>
      <c r="L118" s="127" t="n"/>
    </row>
    <row r="119">
      <c r="C119" s="124" t="inlineStr">
        <is>
          <t>T081</t>
        </is>
      </c>
      <c r="D119" s="124" t="inlineStr">
        <is>
          <t>数据对接</t>
        </is>
      </c>
      <c r="E119" s="124" t="inlineStr">
        <is>
          <t>第二批次</t>
        </is>
      </c>
      <c r="F119" s="124">
        <f>IF(OR(M84="挂起",M84="暂停",Q84="挂起",Q84="暂停",U84="挂起",U84="暂停",Y84="挂起",Y84="暂停"),"暂停","未开始")</f>
        <v/>
      </c>
      <c r="G119" s="125" t="n">
        <v>46307</v>
      </c>
      <c r="H119" s="125" t="n">
        <v>46339</v>
      </c>
      <c r="I119" s="127" t="n">
        <v>40</v>
      </c>
      <c r="J119" s="124">
        <f>IF(I119="","待估算",IF(F119="已完成","已结束",IF(AND(ISNUMBER(G119),ISNUMBER(H119),G119&lt;='项目驾驶舱'!$B$3,H119&gt;='项目驾驶舱'!$B$3),"进行中","计划中")))</f>
        <v/>
      </c>
      <c r="K119" s="124">
        <f>IF(J119="待估算","补充投入工时",IF(AND(H119&lt;'项目驾驶舱'!$B$3,F119&lt;&gt;"已完成"),"确认延期和后续安排","按计划跟踪"))</f>
        <v/>
      </c>
      <c r="L119" s="127" t="n"/>
    </row>
    <row r="120">
      <c r="C120" s="124" t="inlineStr">
        <is>
          <t>T082</t>
        </is>
      </c>
      <c r="D120" s="124" t="inlineStr">
        <is>
          <t>数据展示</t>
        </is>
      </c>
      <c r="E120" s="124" t="inlineStr">
        <is>
          <t>第二批次</t>
        </is>
      </c>
      <c r="F120" s="124">
        <f>IF(OR(M85="挂起",M85="暂停",Q85="挂起",Q85="暂停",U85="挂起",U85="暂停",Y85="挂起",Y85="暂停"),"暂停","未开始")</f>
        <v/>
      </c>
      <c r="G120" s="125" t="n">
        <v>46307</v>
      </c>
      <c r="H120" s="125" t="n">
        <v>46339</v>
      </c>
      <c r="I120" s="127" t="n">
        <v>40</v>
      </c>
      <c r="J120" s="124">
        <f>IF(I120="","待估算",IF(F120="已完成","已结束",IF(AND(ISNUMBER(G120),ISNUMBER(H120),G120&lt;='项目驾驶舱'!$B$3,H120&gt;='项目驾驶舱'!$B$3),"进行中","计划中")))</f>
        <v/>
      </c>
      <c r="K120" s="124">
        <f>IF(J120="待估算","补充投入工时",IF(AND(H120&lt;'项目驾驶舱'!$B$3,F120&lt;&gt;"已完成"),"确认延期和后续安排","按计划跟踪"))</f>
        <v/>
      </c>
      <c r="L120" s="127" t="n"/>
    </row>
    <row r="121">
      <c r="C121" s="124" t="inlineStr">
        <is>
          <t>T083</t>
        </is>
      </c>
      <c r="D121" s="124" t="inlineStr">
        <is>
          <t>数据对接</t>
        </is>
      </c>
      <c r="E121" s="124" t="inlineStr">
        <is>
          <t>第二批次</t>
        </is>
      </c>
      <c r="F121" s="124">
        <f>IF(OR(M86="挂起",M86="暂停",Q86="挂起",Q86="暂停",U86="挂起",U86="暂停",Y86="挂起",Y86="暂停"),"暂停","未开始")</f>
        <v/>
      </c>
      <c r="G121" s="125" t="n">
        <v>46307</v>
      </c>
      <c r="H121" s="125" t="n">
        <v>46339</v>
      </c>
      <c r="I121" s="127" t="n">
        <v>40</v>
      </c>
      <c r="J121" s="124">
        <f>IF(I121="","待估算",IF(F121="已完成","已结束",IF(AND(ISNUMBER(G121),ISNUMBER(H121),G121&lt;='项目驾驶舱'!$B$3,H121&gt;='项目驾驶舱'!$B$3),"进行中","计划中")))</f>
        <v/>
      </c>
      <c r="K121" s="124">
        <f>IF(J121="待估算","补充投入工时",IF(AND(H121&lt;'项目驾驶舱'!$B$3,F121&lt;&gt;"已完成"),"确认延期和后续安排","按计划跟踪"))</f>
        <v/>
      </c>
      <c r="L121" s="127" t="n"/>
    </row>
    <row r="122">
      <c r="C122" s="124" t="inlineStr">
        <is>
          <t>T084</t>
        </is>
      </c>
      <c r="D122" s="124" t="inlineStr">
        <is>
          <t>数据产生</t>
        </is>
      </c>
      <c r="E122" s="124" t="inlineStr">
        <is>
          <t>第二批次</t>
        </is>
      </c>
      <c r="F122" s="124">
        <f>IF(OR(M87="挂起",M87="暂停",Q87="挂起",Q87="暂停",U87="挂起",U87="暂停",Y87="挂起",Y87="暂停"),"暂停","未开始")</f>
        <v/>
      </c>
      <c r="G122" s="125" t="n">
        <v>46307</v>
      </c>
      <c r="H122" s="125" t="n">
        <v>46339</v>
      </c>
      <c r="I122" s="127" t="n">
        <v>40</v>
      </c>
      <c r="J122" s="124">
        <f>IF(I122="","待估算",IF(F122="已完成","已结束",IF(AND(ISNUMBER(G122),ISNUMBER(H122),G122&lt;='项目驾驶舱'!$B$3,H122&gt;='项目驾驶舱'!$B$3),"进行中","计划中")))</f>
        <v/>
      </c>
      <c r="K122" s="124">
        <f>IF(J122="待估算","补充投入工时",IF(AND(H122&lt;'项目驾驶舱'!$B$3,F122&lt;&gt;"已完成"),"确认延期和后续安排","按计划跟踪"))</f>
        <v/>
      </c>
      <c r="L122" s="127" t="n"/>
    </row>
    <row r="123">
      <c r="A123" s="22" t="n"/>
      <c r="B123" s="22" t="n"/>
      <c r="C123" s="124" t="inlineStr">
        <is>
          <t>T085</t>
        </is>
      </c>
      <c r="D123" s="124" t="inlineStr">
        <is>
          <t>数据对接</t>
        </is>
      </c>
      <c r="E123" s="124" t="inlineStr">
        <is>
          <t>第二批次</t>
        </is>
      </c>
      <c r="F123" s="124">
        <f>IF(OR(M88="挂起",M88="暂停",Q88="挂起",Q88="暂停",U88="挂起",U88="暂停",Y88="挂起",Y88="暂停"),"暂停","未开始")</f>
        <v/>
      </c>
      <c r="G123" s="125" t="n">
        <v>46307</v>
      </c>
      <c r="H123" s="125" t="n">
        <v>46339</v>
      </c>
      <c r="I123" s="127" t="n">
        <v>40</v>
      </c>
      <c r="J123" s="124">
        <f>IF(I123="","待估算",IF(F123="已完成","已结束",IF(AND(ISNUMBER(G123),ISNUMBER(H123),G123&lt;='项目驾驶舱'!$B$3,H123&gt;='项目驾驶舱'!$B$3),"进行中","计划中")))</f>
        <v/>
      </c>
      <c r="K123" s="124">
        <f>IF(J123="待估算","补充投入工时",IF(AND(H123&lt;'项目驾驶舱'!$B$3,F123&lt;&gt;"已完成"),"确认延期和后续安排","按计划跟踪"))</f>
        <v/>
      </c>
      <c r="L123" s="127" t="n"/>
    </row>
    <row r="124">
      <c r="A124" s="133" t="inlineStr">
        <is>
          <t>刘凯</t>
        </is>
      </c>
      <c r="B124" s="133" t="inlineStr">
        <is>
          <t>后端</t>
        </is>
      </c>
      <c r="C124" s="124" t="inlineStr">
        <is>
          <t>T086</t>
        </is>
      </c>
      <c r="D124" s="124" t="inlineStr">
        <is>
          <t>数据展示</t>
        </is>
      </c>
      <c r="E124" s="124" t="inlineStr">
        <is>
          <t>第二批次</t>
        </is>
      </c>
      <c r="F124" s="124">
        <f>IF(OR(M89="挂起",M89="暂停",Q89="挂起",Q89="暂停",U89="挂起",U89="暂停",Y89="挂起",Y89="暂停"),"暂停","未开始")</f>
        <v/>
      </c>
      <c r="G124" s="125" t="n">
        <v>46307</v>
      </c>
      <c r="H124" s="125" t="n">
        <v>46339</v>
      </c>
      <c r="I124" s="127" t="n">
        <v>40</v>
      </c>
      <c r="J124" s="124">
        <f>IF(I124="","待估算",IF(F124="已完成","已结束",IF(AND(ISNUMBER(G124),ISNUMBER(H124),G124&lt;='项目驾驶舱'!$B$3,H124&gt;='项目驾驶舱'!$B$3),"进行中","计划中")))</f>
        <v/>
      </c>
      <c r="K124" s="124">
        <f>IF(J124="待估算","补充投入工时",IF(AND(H124&lt;'项目驾驶舱'!$B$3,F124&lt;&gt;"已完成"),"确认延期和后续安排","按计划跟踪"))</f>
        <v/>
      </c>
      <c r="L124" s="127" t="n"/>
    </row>
    <row r="125">
      <c r="C125" s="124" t="inlineStr">
        <is>
          <t>T087</t>
        </is>
      </c>
      <c r="D125" s="124" t="inlineStr">
        <is>
          <t>数据对接</t>
        </is>
      </c>
      <c r="E125" s="124" t="inlineStr">
        <is>
          <t>第二批次</t>
        </is>
      </c>
      <c r="F125" s="124">
        <f>IF(OR(M90="挂起",M90="暂停",Q90="挂起",Q90="暂停",U90="挂起",U90="暂停",Y90="挂起",Y90="暂停"),"暂停","未开始")</f>
        <v/>
      </c>
      <c r="G125" s="125" t="n">
        <v>46307</v>
      </c>
      <c r="H125" s="125" t="n">
        <v>46339</v>
      </c>
      <c r="I125" s="127" t="n">
        <v>40</v>
      </c>
      <c r="J125" s="124">
        <f>IF(I125="","待估算",IF(F125="已完成","已结束",IF(AND(ISNUMBER(G125),ISNUMBER(H125),G125&lt;='项目驾驶舱'!$B$3,H125&gt;='项目驾驶舱'!$B$3),"进行中","计划中")))</f>
        <v/>
      </c>
      <c r="K125" s="124">
        <f>IF(J125="待估算","补充投入工时",IF(AND(H125&lt;'项目驾驶舱'!$B$3,F125&lt;&gt;"已完成"),"确认延期和后续安排","按计划跟踪"))</f>
        <v/>
      </c>
      <c r="L125" s="127" t="n"/>
    </row>
    <row r="126">
      <c r="C126" s="124" t="inlineStr">
        <is>
          <t>T088</t>
        </is>
      </c>
      <c r="D126" s="124" t="inlineStr">
        <is>
          <t>数据展示</t>
        </is>
      </c>
      <c r="E126" s="124" t="inlineStr">
        <is>
          <t>第二批次</t>
        </is>
      </c>
      <c r="F126" s="124">
        <f>IF(OR(M91="挂起",M91="暂停",Q91="挂起",Q91="暂停",U91="挂起",U91="暂停",Y91="挂起",Y91="暂停"),"暂停","未开始")</f>
        <v/>
      </c>
      <c r="G126" s="125" t="n">
        <v>46307</v>
      </c>
      <c r="H126" s="125" t="n">
        <v>46339</v>
      </c>
      <c r="I126" s="127" t="n">
        <v>40</v>
      </c>
      <c r="J126" s="124">
        <f>IF(I126="","待估算",IF(F126="已完成","已结束",IF(AND(ISNUMBER(G126),ISNUMBER(H126),G126&lt;='项目驾驶舱'!$B$3,H126&gt;='项目驾驶舱'!$B$3),"进行中","计划中")))</f>
        <v/>
      </c>
      <c r="K126" s="124">
        <f>IF(J126="待估算","补充投入工时",IF(AND(H126&lt;'项目驾驶舱'!$B$3,F126&lt;&gt;"已完成"),"确认延期和后续安排","按计划跟踪"))</f>
        <v/>
      </c>
      <c r="L126" s="127" t="n"/>
    </row>
    <row r="127">
      <c r="C127" s="124" t="inlineStr">
        <is>
          <t>T089</t>
        </is>
      </c>
      <c r="D127" s="124" t="inlineStr">
        <is>
          <t>新增采样服务费（外贸）</t>
        </is>
      </c>
      <c r="E127" s="124" t="inlineStr">
        <is>
          <t>第二批次</t>
        </is>
      </c>
      <c r="F127" s="124">
        <f>IF(OR(M92="挂起",M92="暂停",Q92="挂起",Q92="暂停",U92="挂起",U92="暂停",Y92="挂起",Y92="暂停"),"暂停","未开始")</f>
        <v/>
      </c>
      <c r="G127" s="125" t="n">
        <v>46307</v>
      </c>
      <c r="H127" s="125" t="n">
        <v>46339</v>
      </c>
      <c r="I127" s="127" t="n">
        <v>40</v>
      </c>
      <c r="J127" s="124">
        <f>IF(I127="","待估算",IF(F127="已完成","已结束",IF(AND(ISNUMBER(G127),ISNUMBER(H127),G127&lt;='项目驾驶舱'!$B$3,H127&gt;='项目驾驶舱'!$B$3),"进行中","计划中")))</f>
        <v/>
      </c>
      <c r="K127" s="124">
        <f>IF(J127="待估算","补充投入工时",IF(AND(H127&lt;'项目驾驶舱'!$B$3,F127&lt;&gt;"已完成"),"确认延期和后续安排","按计划跟踪"))</f>
        <v/>
      </c>
      <c r="L127" s="127" t="n"/>
    </row>
    <row r="128">
      <c r="C128" s="124" t="inlineStr">
        <is>
          <t>T090</t>
        </is>
      </c>
      <c r="D128" s="124" t="inlineStr">
        <is>
          <t>审批采样服务费（外贸）</t>
        </is>
      </c>
      <c r="E128" s="124" t="inlineStr">
        <is>
          <t>第二批次</t>
        </is>
      </c>
      <c r="F128" s="124">
        <f>IF(OR(M93="挂起",M93="暂停",Q93="挂起",Q93="暂停",U93="挂起",U93="暂停",Y93="挂起",Y93="暂停"),"暂停","未开始")</f>
        <v/>
      </c>
      <c r="G128" s="125" t="n">
        <v>46307</v>
      </c>
      <c r="H128" s="125" t="n">
        <v>46339</v>
      </c>
      <c r="I128" s="127" t="n">
        <v>40</v>
      </c>
      <c r="J128" s="124">
        <f>IF(I128="","待估算",IF(F128="已完成","已结束",IF(AND(ISNUMBER(G128),ISNUMBER(H128),G128&lt;='项目驾驶舱'!$B$3,H128&gt;='项目驾驶舱'!$B$3),"进行中","计划中")))</f>
        <v/>
      </c>
      <c r="K128" s="124">
        <f>IF(J128="待估算","补充投入工时",IF(AND(H128&lt;'项目驾驶舱'!$B$3,F128&lt;&gt;"已完成"),"确认延期和后续安排","按计划跟踪"))</f>
        <v/>
      </c>
      <c r="L128" s="127" t="n"/>
    </row>
    <row r="129">
      <c r="C129" s="124" t="inlineStr">
        <is>
          <t>T091</t>
        </is>
      </c>
      <c r="D129" s="124" t="inlineStr">
        <is>
          <t>单据签章</t>
        </is>
      </c>
      <c r="E129" s="124" t="inlineStr">
        <is>
          <t>第二批次</t>
        </is>
      </c>
      <c r="F129" s="124">
        <f>IF(OR(M94="挂起",M94="暂停",Q94="挂起",Q94="暂停",U94="挂起",U94="暂停",Y94="挂起",Y94="暂停"),"暂停","未开始")</f>
        <v/>
      </c>
      <c r="G129" s="125" t="n">
        <v>46307</v>
      </c>
      <c r="H129" s="125" t="n">
        <v>46339</v>
      </c>
      <c r="I129" s="127" t="n">
        <v>40</v>
      </c>
      <c r="J129" s="124">
        <f>IF(I129="","待估算",IF(F129="已完成","已结束",IF(AND(ISNUMBER(G129),ISNUMBER(H129),G129&lt;='项目驾驶舱'!$B$3,H129&gt;='项目驾驶舱'!$B$3),"进行中","计划中")))</f>
        <v/>
      </c>
      <c r="K129" s="124">
        <f>IF(J129="待估算","补充投入工时",IF(AND(H129&lt;'项目驾驶舱'!$B$3,F129&lt;&gt;"已完成"),"确认延期和后续安排","按计划跟踪"))</f>
        <v/>
      </c>
      <c r="L129" s="127" t="n"/>
    </row>
    <row r="130">
      <c r="C130" s="124" t="inlineStr">
        <is>
          <t>T092</t>
        </is>
      </c>
      <c r="D130" s="124" t="inlineStr">
        <is>
          <t>数据推送</t>
        </is>
      </c>
      <c r="E130" s="124" t="inlineStr">
        <is>
          <t>第二批次</t>
        </is>
      </c>
      <c r="F130" s="124">
        <f>IF(OR(M95="挂起",M95="暂停",Q95="挂起",Q95="暂停",U95="挂起",U95="暂停",Y95="挂起",Y95="暂停"),"暂停","未开始")</f>
        <v/>
      </c>
      <c r="G130" s="125" t="n">
        <v>46307</v>
      </c>
      <c r="H130" s="125" t="n">
        <v>46339</v>
      </c>
      <c r="I130" s="127" t="n">
        <v>40</v>
      </c>
      <c r="J130" s="124">
        <f>IF(I130="","待估算",IF(F130="已完成","已结束",IF(AND(ISNUMBER(G130),ISNUMBER(H130),G130&lt;='项目驾驶舱'!$B$3,H130&gt;='项目驾驶舱'!$B$3),"进行中","计划中")))</f>
        <v/>
      </c>
      <c r="K130" s="124">
        <f>IF(J130="待估算","补充投入工时",IF(AND(H130&lt;'项目驾驶舱'!$B$3,F130&lt;&gt;"已完成"),"确认延期和后续安排","按计划跟踪"))</f>
        <v/>
      </c>
      <c r="L130" s="127" t="n"/>
    </row>
    <row r="131">
      <c r="C131" s="124" t="inlineStr">
        <is>
          <t>T093</t>
        </is>
      </c>
      <c r="D131" s="124" t="inlineStr">
        <is>
          <t>数据对接</t>
        </is>
      </c>
      <c r="E131" s="124" t="inlineStr">
        <is>
          <t>第二批次</t>
        </is>
      </c>
      <c r="F131" s="124">
        <f>IF(OR(M96="挂起",M96="暂停",Q96="挂起",Q96="暂停",U96="挂起",U96="暂停",Y96="挂起",Y96="暂停"),"暂停","未开始")</f>
        <v/>
      </c>
      <c r="G131" s="125" t="n">
        <v>46307</v>
      </c>
      <c r="H131" s="125" t="n">
        <v>46339</v>
      </c>
      <c r="I131" s="127" t="n">
        <v>40</v>
      </c>
      <c r="J131" s="124">
        <f>IF(I131="","待估算",IF(F131="已完成","已结束",IF(AND(ISNUMBER(G131),ISNUMBER(H131),G131&lt;='项目驾驶舱'!$B$3,H131&gt;='项目驾驶舱'!$B$3),"进行中","计划中")))</f>
        <v/>
      </c>
      <c r="K131" s="124">
        <f>IF(J131="待估算","补充投入工时",IF(AND(H131&lt;'项目驾驶舱'!$B$3,F131&lt;&gt;"已完成"),"确认延期和后续安排","按计划跟踪"))</f>
        <v/>
      </c>
      <c r="L131" s="127" t="n"/>
    </row>
    <row r="132">
      <c r="C132" s="124" t="inlineStr">
        <is>
          <t>T094</t>
        </is>
      </c>
      <c r="D132" s="124" t="inlineStr">
        <is>
          <t>数据展示</t>
        </is>
      </c>
      <c r="E132" s="124" t="inlineStr">
        <is>
          <t>第二批次</t>
        </is>
      </c>
      <c r="F132" s="124">
        <f>IF(OR(M97="挂起",M97="暂停",Q97="挂起",Q97="暂停",U97="挂起",U97="暂停",Y97="挂起",Y97="暂停"),"暂停","未开始")</f>
        <v/>
      </c>
      <c r="G132" s="125" t="n">
        <v>46307</v>
      </c>
      <c r="H132" s="125" t="n">
        <v>46339</v>
      </c>
      <c r="I132" s="127" t="n">
        <v>40</v>
      </c>
      <c r="J132" s="124">
        <f>IF(I132="","待估算",IF(F132="已完成","已结束",IF(AND(ISNUMBER(G132),ISNUMBER(H132),G132&lt;='项目驾驶舱'!$B$3,H132&gt;='项目驾驶舱'!$B$3),"进行中","计划中")))</f>
        <v/>
      </c>
      <c r="K132" s="124">
        <f>IF(J132="待估算","补充投入工时",IF(AND(H132&lt;'项目驾驶舱'!$B$3,F132&lt;&gt;"已完成"),"确认延期和后续安排","按计划跟踪"))</f>
        <v/>
      </c>
      <c r="L132" s="127" t="n"/>
    </row>
    <row r="133">
      <c r="C133" s="124" t="inlineStr">
        <is>
          <t>T126</t>
        </is>
      </c>
      <c r="D133" s="124" t="inlineStr">
        <is>
          <t>停泊费（外贸）查询</t>
        </is>
      </c>
      <c r="E133" s="124" t="inlineStr">
        <is>
          <t>第二批次</t>
        </is>
      </c>
      <c r="F133" s="124">
        <f>IF(OR(M129="挂起",M129="暂停",Q129="挂起",Q129="暂停",U129="挂起",U129="暂停",Y129="挂起",Y129="暂停"),"暂停","未开始")</f>
        <v/>
      </c>
      <c r="G133" s="125" t="n">
        <v>46307</v>
      </c>
      <c r="H133" s="125" t="n">
        <v>46339</v>
      </c>
      <c r="I133" s="127" t="n">
        <v>40</v>
      </c>
      <c r="J133" s="124">
        <f>IF(I133="","待估算",IF(F133="已完成","已结束",IF(AND(ISNUMBER(G133),ISNUMBER(H133),G133&lt;='项目驾驶舱'!$B$3,H133&gt;='项目驾驶舱'!$B$3),"进行中","计划中")))</f>
        <v/>
      </c>
      <c r="K133" s="124">
        <f>IF(J133="待估算","补充投入工时",IF(AND(H133&lt;'项目驾驶舱'!$B$3,F133&lt;&gt;"已完成"),"确认延期和后续安排","按计划跟踪"))</f>
        <v/>
      </c>
      <c r="L133" s="127" t="n"/>
    </row>
    <row r="134">
      <c r="C134" s="124" t="inlineStr">
        <is>
          <t>T127</t>
        </is>
      </c>
      <c r="D134" s="124" t="inlineStr">
        <is>
          <t>锚泊费（外贸）查询</t>
        </is>
      </c>
      <c r="E134" s="124" t="inlineStr">
        <is>
          <t>第二批次</t>
        </is>
      </c>
      <c r="F134" s="124">
        <f>IF(OR(M130="挂起",M130="暂停",Q130="挂起",Q130="暂停",U130="挂起",U130="暂停",Y130="挂起",Y130="暂停"),"暂停","未开始")</f>
        <v/>
      </c>
      <c r="G134" s="125" t="n">
        <v>46307</v>
      </c>
      <c r="H134" s="125" t="n">
        <v>46339</v>
      </c>
      <c r="I134" s="127" t="n">
        <v>40</v>
      </c>
      <c r="J134" s="124">
        <f>IF(I134="","待估算",IF(F134="已完成","已结束",IF(AND(ISNUMBER(G134),ISNUMBER(H134),G134&lt;='项目驾驶舱'!$B$3,H134&gt;='项目驾驶舱'!$B$3),"进行中","计划中")))</f>
        <v/>
      </c>
      <c r="K134" s="124">
        <f>IF(J134="待估算","补充投入工时",IF(AND(H134&lt;'项目驾驶舱'!$B$3,F134&lt;&gt;"已完成"),"确认延期和后续安排","按计划跟踪"))</f>
        <v/>
      </c>
      <c r="L134" s="127" t="n"/>
    </row>
    <row r="135">
      <c r="A135" s="22" t="n"/>
      <c r="B135" s="22" t="n"/>
      <c r="C135" s="124" t="inlineStr">
        <is>
          <t>T128</t>
        </is>
      </c>
      <c r="D135" s="124" t="inlineStr">
        <is>
          <t>堆存费（外贸）查询</t>
        </is>
      </c>
      <c r="E135" s="124" t="inlineStr">
        <is>
          <t>第二批次</t>
        </is>
      </c>
      <c r="F135" s="124">
        <f>IF(OR(M131="挂起",M131="暂停",Q131="挂起",Q131="暂停",U131="挂起",U131="暂停",Y131="挂起",Y131="暂停"),"暂停","未开始")</f>
        <v/>
      </c>
      <c r="G135" s="125" t="n">
        <v>46307</v>
      </c>
      <c r="H135" s="125" t="n">
        <v>46339</v>
      </c>
      <c r="I135" s="127" t="n">
        <v>40</v>
      </c>
      <c r="J135" s="124">
        <f>IF(I135="","待估算",IF(F135="已完成","已结束",IF(AND(ISNUMBER(G135),ISNUMBER(H135),G135&lt;='项目驾驶舱'!$B$3,H135&gt;='项目驾驶舱'!$B$3),"进行中","计划中")))</f>
        <v/>
      </c>
      <c r="K135" s="124">
        <f>IF(J135="待估算","补充投入工时",IF(AND(H135&lt;'项目驾驶舱'!$B$3,F135&lt;&gt;"已完成"),"确认延期和后续安排","按计划跟踪"))</f>
        <v/>
      </c>
      <c r="L135" s="127" t="n"/>
    </row>
    <row r="136">
      <c r="A136" s="133" t="inlineStr">
        <is>
          <t>刘凯</t>
        </is>
      </c>
      <c r="B136" s="133" t="inlineStr">
        <is>
          <t>后端</t>
        </is>
      </c>
      <c r="C136" s="124" t="inlineStr">
        <is>
          <t>T129</t>
        </is>
      </c>
      <c r="D136" s="124" t="inlineStr">
        <is>
          <t>卸船费（外贸）查询</t>
        </is>
      </c>
      <c r="E136" s="124" t="inlineStr">
        <is>
          <t>第二批次</t>
        </is>
      </c>
      <c r="F136" s="124">
        <f>IF(OR(M132="挂起",M132="暂停",Q132="挂起",Q132="暂停",U132="挂起",U132="暂停",Y132="挂起",Y132="暂停"),"暂停","未开始")</f>
        <v/>
      </c>
      <c r="G136" s="125" t="n">
        <v>46307</v>
      </c>
      <c r="H136" s="125" t="n">
        <v>46339</v>
      </c>
      <c r="I136" s="127" t="n">
        <v>40</v>
      </c>
      <c r="J136" s="124">
        <f>IF(I136="","待估算",IF(F136="已完成","已结束",IF(AND(ISNUMBER(G136),ISNUMBER(H136),G136&lt;='项目驾驶舱'!$B$3,H136&gt;='项目驾驶舱'!$B$3),"进行中","计划中")))</f>
        <v/>
      </c>
      <c r="K136" s="124">
        <f>IF(J136="待估算","补充投入工时",IF(AND(H136&lt;'项目驾驶舱'!$B$3,F136&lt;&gt;"已完成"),"确认延期和后续安排","按计划跟踪"))</f>
        <v/>
      </c>
      <c r="L136" s="127" t="n"/>
    </row>
    <row r="137">
      <c r="C137" s="124" t="inlineStr">
        <is>
          <t>T130</t>
        </is>
      </c>
      <c r="D137" s="124" t="inlineStr">
        <is>
          <t>采样服务费（外贸）查询</t>
        </is>
      </c>
      <c r="E137" s="124" t="inlineStr">
        <is>
          <t>第二批次</t>
        </is>
      </c>
      <c r="F137" s="124">
        <f>IF(OR(M133="挂起",M133="暂停",Q133="挂起",Q133="暂停",U133="挂起",U133="暂停",Y133="挂起",Y133="暂停"),"暂停","未开始")</f>
        <v/>
      </c>
      <c r="G137" s="125" t="n">
        <v>46307</v>
      </c>
      <c r="H137" s="125" t="n">
        <v>46339</v>
      </c>
      <c r="I137" s="127" t="n">
        <v>40</v>
      </c>
      <c r="J137" s="124">
        <f>IF(I137="","待估算",IF(F137="已完成","已结束",IF(AND(ISNUMBER(G137),ISNUMBER(H137),G137&lt;='项目驾驶舱'!$B$3,H137&gt;='项目驾驶舱'!$B$3),"进行中","计划中")))</f>
        <v/>
      </c>
      <c r="K137" s="124">
        <f>IF(J137="待估算","补充投入工时",IF(AND(H137&lt;'项目驾驶舱'!$B$3,F137&lt;&gt;"已完成"),"确认延期和后续安排","按计划跟踪"))</f>
        <v/>
      </c>
      <c r="L137" s="127" t="n"/>
    </row>
    <row r="138">
      <c r="C138" s="124" t="inlineStr">
        <is>
          <t>T131</t>
        </is>
      </c>
      <c r="D138" s="124" t="inlineStr">
        <is>
          <t>船舶供应服务费（外贸）查询</t>
        </is>
      </c>
      <c r="E138" s="124" t="inlineStr">
        <is>
          <t>第二批次</t>
        </is>
      </c>
      <c r="F138" s="124">
        <f>IF(OR(M134="挂起",M134="暂停",Q134="挂起",Q134="暂停",U134="挂起",U134="暂停",Y134="挂起",Y134="暂停"),"暂停","未开始")</f>
        <v/>
      </c>
      <c r="G138" s="125" t="n">
        <v>46307</v>
      </c>
      <c r="H138" s="125" t="n">
        <v>46339</v>
      </c>
      <c r="I138" s="127" t="n">
        <v>40</v>
      </c>
      <c r="J138" s="124">
        <f>IF(I138="","待估算",IF(F138="已完成","已结束",IF(AND(ISNUMBER(G138),ISNUMBER(H138),G138&lt;='项目驾驶舱'!$B$3,H138&gt;='项目驾驶舱'!$B$3),"进行中","计划中")))</f>
        <v/>
      </c>
      <c r="K138" s="124">
        <f>IF(J138="待估算","补充投入工时",IF(AND(H138&lt;'项目驾驶舱'!$B$3,F138&lt;&gt;"已完成"),"确认延期和后续安排","按计划跟踪"))</f>
        <v/>
      </c>
      <c r="L138" s="127" t="n"/>
    </row>
    <row r="139">
      <c r="C139" s="124" t="inlineStr">
        <is>
          <t>T132</t>
        </is>
      </c>
      <c r="D139" s="124" t="inlineStr">
        <is>
          <t>新增船舶靠泊通知单</t>
        </is>
      </c>
      <c r="E139" s="124" t="inlineStr">
        <is>
          <t>第二批次</t>
        </is>
      </c>
      <c r="F139" s="124">
        <f>IF(OR(M135="挂起",M135="暂停",Q135="挂起",Q135="暂停",U135="挂起",U135="暂停",Y135="挂起",Y135="暂停"),"暂停","未开始")</f>
        <v/>
      </c>
      <c r="G139" s="125" t="n">
        <v>46307</v>
      </c>
      <c r="H139" s="125" t="n">
        <v>46339</v>
      </c>
      <c r="I139" s="127" t="n">
        <v>40</v>
      </c>
      <c r="J139" s="124">
        <f>IF(I139="","待估算",IF(F139="已完成","已结束",IF(AND(ISNUMBER(G139),ISNUMBER(H139),G139&lt;='项目驾驶舱'!$B$3,H139&gt;='项目驾驶舱'!$B$3),"进行中","计划中")))</f>
        <v/>
      </c>
      <c r="K139" s="124">
        <f>IF(J139="待估算","补充投入工时",IF(AND(H139&lt;'项目驾驶舱'!$B$3,F139&lt;&gt;"已完成"),"确认延期和后续安排","按计划跟踪"))</f>
        <v/>
      </c>
      <c r="L139" s="127" t="n"/>
    </row>
    <row r="140">
      <c r="C140" s="124" t="inlineStr">
        <is>
          <t>T133</t>
        </is>
      </c>
      <c r="D140" s="124" t="inlineStr">
        <is>
          <t>查询船舶靠泊通知单</t>
        </is>
      </c>
      <c r="E140" s="124" t="inlineStr">
        <is>
          <t>第二批次</t>
        </is>
      </c>
      <c r="F140" s="124">
        <f>IF(OR(M136="挂起",M136="暂停",Q136="挂起",Q136="暂停",U136="挂起",U136="暂停",Y136="挂起",Y136="暂停"),"暂停","未开始")</f>
        <v/>
      </c>
      <c r="G140" s="125" t="n">
        <v>46307</v>
      </c>
      <c r="H140" s="125" t="n">
        <v>46339</v>
      </c>
      <c r="I140" s="127" t="n">
        <v>40</v>
      </c>
      <c r="J140" s="124">
        <f>IF(I140="","待估算",IF(F140="已完成","已结束",IF(AND(ISNUMBER(G140),ISNUMBER(H140),G140&lt;='项目驾驶舱'!$B$3,H140&gt;='项目驾驶舱'!$B$3),"进行中","计划中")))</f>
        <v/>
      </c>
      <c r="K140" s="124">
        <f>IF(J140="待估算","补充投入工时",IF(AND(H140&lt;'项目驾驶舱'!$B$3,F140&lt;&gt;"已完成"),"确认延期和后续安排","按计划跟踪"))</f>
        <v/>
      </c>
      <c r="L140" s="127" t="n"/>
    </row>
    <row r="141">
      <c r="C141" s="124" t="inlineStr">
        <is>
          <t>T134</t>
        </is>
      </c>
      <c r="D141" s="124" t="inlineStr">
        <is>
          <t>卸船计划查询</t>
        </is>
      </c>
      <c r="E141" s="124" t="inlineStr">
        <is>
          <t>第二批次</t>
        </is>
      </c>
      <c r="F141" s="124">
        <f>IF(OR(M137="挂起",M137="暂停",Q137="挂起",Q137="暂停",U137="挂起",U137="暂停",Y137="挂起",Y137="暂停"),"暂停","未开始")</f>
        <v/>
      </c>
      <c r="G141" s="125" t="n">
        <v>46307</v>
      </c>
      <c r="H141" s="125" t="n">
        <v>46339</v>
      </c>
      <c r="I141" s="127" t="n">
        <v>40</v>
      </c>
      <c r="J141" s="124">
        <f>IF(I141="","待估算",IF(F141="已完成","已结束",IF(AND(ISNUMBER(G141),ISNUMBER(H141),G141&lt;='项目驾驶舱'!$B$3,H141&gt;='项目驾驶舱'!$B$3),"进行中","计划中")))</f>
        <v/>
      </c>
      <c r="K141" s="124">
        <f>IF(J141="待估算","补充投入工时",IF(AND(H141&lt;'项目驾驶舱'!$B$3,F141&lt;&gt;"已完成"),"确认延期和后续安排","按计划跟踪"))</f>
        <v/>
      </c>
      <c r="L141" s="127" t="n"/>
    </row>
    <row r="142">
      <c r="C142" s="124" t="inlineStr">
        <is>
          <t>T135</t>
        </is>
      </c>
      <c r="D142" s="124" t="inlineStr">
        <is>
          <t>卸船查询</t>
        </is>
      </c>
      <c r="E142" s="124" t="inlineStr">
        <is>
          <t>第二批次</t>
        </is>
      </c>
      <c r="F142" s="124">
        <f>IF(OR(M138="挂起",M138="暂停",Q138="挂起",Q138="暂停",U138="挂起",U138="暂停",Y138="挂起",Y138="暂停"),"暂停","未开始")</f>
        <v/>
      </c>
      <c r="G142" s="125" t="n">
        <v>46307</v>
      </c>
      <c r="H142" s="125" t="n">
        <v>46339</v>
      </c>
      <c r="I142" s="127" t="n">
        <v>40</v>
      </c>
      <c r="J142" s="124">
        <f>IF(I142="","待估算",IF(F142="已完成","已结束",IF(AND(ISNUMBER(G142),ISNUMBER(H142),G142&lt;='项目驾驶舱'!$B$3,H142&gt;='项目驾驶舱'!$B$3),"进行中","计划中")))</f>
        <v/>
      </c>
      <c r="K142" s="124">
        <f>IF(J142="待估算","补充投入工时",IF(AND(H142&lt;'项目驾驶舱'!$B$3,F142&lt;&gt;"已完成"),"确认延期和后续安排","按计划跟踪"))</f>
        <v/>
      </c>
      <c r="L142" s="127" t="n"/>
    </row>
    <row r="143">
      <c r="C143" s="124" t="inlineStr">
        <is>
          <t>T136</t>
        </is>
      </c>
      <c r="D143" s="124" t="inlineStr">
        <is>
          <t>卸船作业委托</t>
        </is>
      </c>
      <c r="E143" s="124" t="inlineStr">
        <is>
          <t>第二批次</t>
        </is>
      </c>
      <c r="F143" s="124">
        <f>IF(OR(M139="挂起",M139="暂停",Q139="挂起",Q139="暂停",U139="挂起",U139="暂停",Y139="挂起",Y139="暂停"),"暂停","未开始")</f>
        <v/>
      </c>
      <c r="G143" s="125" t="n">
        <v>46307</v>
      </c>
      <c r="H143" s="125" t="n">
        <v>46339</v>
      </c>
      <c r="I143" s="127" t="n">
        <v>40</v>
      </c>
      <c r="J143" s="124">
        <f>IF(I143="","待估算",IF(F143="已完成","已结束",IF(AND(ISNUMBER(G143),ISNUMBER(H143),G143&lt;='项目驾驶舱'!$B$3,H143&gt;='项目驾驶舱'!$B$3),"进行中","计划中")))</f>
        <v/>
      </c>
      <c r="K143" s="124">
        <f>IF(J143="待估算","补充投入工时",IF(AND(H143&lt;'项目驾驶舱'!$B$3,F143&lt;&gt;"已完成"),"确认延期和后续安排","按计划跟踪"))</f>
        <v/>
      </c>
      <c r="L143" s="127" t="n"/>
    </row>
    <row r="144">
      <c r="C144" s="124" t="inlineStr">
        <is>
          <t>T137</t>
        </is>
      </c>
      <c r="D144" s="124" t="inlineStr">
        <is>
          <t>外轮转内贸业务查询</t>
        </is>
      </c>
      <c r="E144" s="124" t="inlineStr">
        <is>
          <t>第二批次</t>
        </is>
      </c>
      <c r="F144" s="124">
        <f>IF(OR(M140="挂起",M140="暂停",Q140="挂起",Q140="暂停",U140="挂起",U140="暂停",Y140="挂起",Y140="暂停"),"暂停","未开始")</f>
        <v/>
      </c>
      <c r="G144" s="125" t="n">
        <v>46307</v>
      </c>
      <c r="H144" s="125" t="n">
        <v>46339</v>
      </c>
      <c r="I144" s="127" t="n">
        <v>40</v>
      </c>
      <c r="J144" s="124">
        <f>IF(I144="","待估算",IF(F144="已完成","已结束",IF(AND(ISNUMBER(G144),ISNUMBER(H144),G144&lt;='项目驾驶舱'!$B$3,H144&gt;='项目驾驶舱'!$B$3),"进行中","计划中")))</f>
        <v/>
      </c>
      <c r="K144" s="124">
        <f>IF(J144="待估算","补充投入工时",IF(AND(H144&lt;'项目驾驶舱'!$B$3,F144&lt;&gt;"已完成"),"确认延期和后续安排","按计划跟踪"))</f>
        <v/>
      </c>
      <c r="L144" s="127" t="n"/>
    </row>
    <row r="145">
      <c r="A145" s="22" t="n"/>
      <c r="B145" s="22" t="n"/>
      <c r="C145" s="124" t="inlineStr">
        <is>
          <t>T142</t>
        </is>
      </c>
      <c r="D145" s="124" t="inlineStr">
        <is>
          <t>审批船舶靠泊通知单</t>
        </is>
      </c>
      <c r="E145" s="124" t="inlineStr">
        <is>
          <t>第二批次</t>
        </is>
      </c>
      <c r="F145" s="124">
        <f>IF(OR(M145="挂起",M145="暂停",Q145="挂起",Q145="暂停",U145="挂起",U145="暂停",Y145="挂起",Y145="暂停"),"暂停","未开始")</f>
        <v/>
      </c>
      <c r="G145" s="125" t="n">
        <v>46307</v>
      </c>
      <c r="H145" s="125" t="n">
        <v>46339</v>
      </c>
      <c r="I145" s="127" t="n">
        <v>40</v>
      </c>
      <c r="J145" s="124">
        <f>IF(I145="","待估算",IF(F145="已完成","已结束",IF(AND(ISNUMBER(G145),ISNUMBER(H145),G145&lt;='项目驾驶舱'!$B$3,H145&gt;='项目驾驶舱'!$B$3),"进行中","计划中")))</f>
        <v/>
      </c>
      <c r="K145" s="124">
        <f>IF(J145="待估算","补充投入工时",IF(AND(H145&lt;'项目驾驶舱'!$B$3,F145&lt;&gt;"已完成"),"确认延期和后续安排","按计划跟踪"))</f>
        <v/>
      </c>
      <c r="L145" s="127" t="n"/>
    </row>
    <row r="146">
      <c r="A146" s="129" t="inlineStr">
        <is>
          <t>常浩</t>
        </is>
      </c>
      <c r="B146" s="129" t="inlineStr">
        <is>
          <t>前端</t>
        </is>
      </c>
      <c r="C146" s="130" t="inlineStr">
        <is>
          <t>T069</t>
        </is>
      </c>
      <c r="D146" s="130" t="inlineStr">
        <is>
          <t>新增、详情、修改页内容调整</t>
        </is>
      </c>
      <c r="E146" s="130" t="inlineStr">
        <is>
          <t>第一批次</t>
        </is>
      </c>
      <c r="F146" s="130">
        <f>IF(OR(M72="挂起",M72="暂停",Q72="挂起",Q72="暂停",U72="挂起",U72="暂停",Y72="挂起",Y72="暂停"),"暂停","已完成")</f>
        <v/>
      </c>
      <c r="G146" s="131" t="n">
        <v>46195</v>
      </c>
      <c r="H146" s="131" t="n">
        <v>46206</v>
      </c>
      <c r="I146" s="132" t="n">
        <v>40</v>
      </c>
      <c r="J146" s="130">
        <f>IF(I146="","待估算",IF(F146="已完成","已结束",IF(AND(ISNUMBER(G146),ISNUMBER(H146),G146&lt;='项目驾驶舱'!$B$3,H146&gt;='项目驾驶舱'!$B$3),"进行中","计划中")))</f>
        <v/>
      </c>
      <c r="K146" s="130">
        <f>IF(J146="待估算","补充投入工时",IF(AND(H146&lt;'项目驾驶舱'!$B$3,F146&lt;&gt;"已完成"),"确认延期和后续安排","按计划跟踪"))</f>
        <v/>
      </c>
      <c r="L146" s="132" t="n"/>
    </row>
    <row r="147">
      <c r="C147" s="124" t="inlineStr">
        <is>
          <t>T050</t>
        </is>
      </c>
      <c r="D147" s="124" t="inlineStr">
        <is>
          <t>维护需跟踪船舶清单</t>
        </is>
      </c>
      <c r="E147" s="124" t="inlineStr">
        <is>
          <t>第一批次</t>
        </is>
      </c>
      <c r="F147" s="124">
        <f>IF(OR(M53="挂起",M53="暂停",Q53="挂起",Q53="暂停",U53="挂起",U53="暂停",Y53="挂起",Y53="暂停"),"暂停","进行中")</f>
        <v/>
      </c>
      <c r="G147" s="125" t="n">
        <v>46209</v>
      </c>
      <c r="H147" s="125" t="n">
        <v>46227</v>
      </c>
      <c r="I147" s="127" t="n">
        <v>40</v>
      </c>
      <c r="J147" s="124">
        <f>IF(I147="","待估算",IF(F147="已完成","已结束",IF(AND(ISNUMBER(G147),ISNUMBER(H147),G147&lt;='项目驾驶舱'!$B$3,H147&gt;='项目驾驶舱'!$B$3),"进行中","计划中")))</f>
        <v/>
      </c>
      <c r="K147" s="124">
        <f>IF(J147="待估算","补充投入工时",IF(AND(H147&lt;'项目驾驶舱'!$B$3,F147&lt;&gt;"已完成"),"确认延期和后续安排","按计划跟踪"))</f>
        <v/>
      </c>
      <c r="L147" s="127" t="n"/>
    </row>
    <row r="148">
      <c r="C148" s="124" t="inlineStr">
        <is>
          <t>T051</t>
        </is>
      </c>
      <c r="D148" s="124" t="inlineStr">
        <is>
          <t>根据船舶清单更新第三方系统推送数据船舶清单</t>
        </is>
      </c>
      <c r="E148" s="124" t="inlineStr">
        <is>
          <t>第一批次</t>
        </is>
      </c>
      <c r="F148" s="124">
        <f>IF(OR(M54="挂起",M54="暂停",Q54="挂起",Q54="暂停",U54="挂起",U54="暂停",Y54="挂起",Y54="暂停"),"暂停","进行中")</f>
        <v/>
      </c>
      <c r="G148" s="125" t="n">
        <v>46209</v>
      </c>
      <c r="H148" s="125" t="n">
        <v>46227</v>
      </c>
      <c r="I148" s="127" t="n">
        <v>40</v>
      </c>
      <c r="J148" s="124">
        <f>IF(I148="","待估算",IF(F148="已完成","已结束",IF(AND(ISNUMBER(G148),ISNUMBER(H148),G148&lt;='项目驾驶舱'!$B$3,H148&gt;='项目驾驶舱'!$B$3),"进行中","计划中")))</f>
        <v/>
      </c>
      <c r="K148" s="124">
        <f>IF(J148="待估算","补充投入工时",IF(AND(H148&lt;'项目驾驶舱'!$B$3,F148&lt;&gt;"已完成"),"确认延期和后续安排","按计划跟踪"))</f>
        <v/>
      </c>
      <c r="L148" s="127" t="n"/>
    </row>
    <row r="149">
      <c r="C149" s="124" t="inlineStr">
        <is>
          <t>T052</t>
        </is>
      </c>
      <c r="D149" s="124" t="inlineStr">
        <is>
          <t>船舶轨迹跟踪</t>
        </is>
      </c>
      <c r="E149" s="124" t="inlineStr">
        <is>
          <t>第一批次</t>
        </is>
      </c>
      <c r="F149" s="124">
        <f>IF(OR(M55="挂起",M55="暂停",Q55="挂起",Q55="暂停",U55="挂起",U55="暂停",Y55="挂起",Y55="暂停"),"暂停","进行中")</f>
        <v/>
      </c>
      <c r="G149" s="125" t="n">
        <v>46209</v>
      </c>
      <c r="H149" s="125" t="n">
        <v>46227</v>
      </c>
      <c r="I149" s="127" t="n">
        <v>40</v>
      </c>
      <c r="J149" s="124">
        <f>IF(I149="","待估算",IF(F149="已完成","已结束",IF(AND(ISNUMBER(G149),ISNUMBER(H149),G149&lt;='项目驾驶舱'!$B$3,H149&gt;='项目驾驶舱'!$B$3),"进行中","计划中")))</f>
        <v/>
      </c>
      <c r="K149" s="124">
        <f>IF(J149="待估算","补充投入工时",IF(AND(H149&lt;'项目驾驶舱'!$B$3,F149&lt;&gt;"已完成"),"确认延期和后续安排","按计划跟踪"))</f>
        <v/>
      </c>
      <c r="L149" s="127" t="n"/>
    </row>
    <row r="150">
      <c r="C150" s="124" t="inlineStr">
        <is>
          <t>T095</t>
        </is>
      </c>
      <c r="D150" s="124" t="inlineStr">
        <is>
          <t>自动生成堆存费</t>
        </is>
      </c>
      <c r="E150" s="124" t="inlineStr">
        <is>
          <t>第一批次</t>
        </is>
      </c>
      <c r="F150" s="124">
        <f>IF(OR(M98="挂起",M98="暂停",Q98="挂起",Q98="暂停",U98="挂起",U98="暂停",Y98="挂起",Y98="暂停"),"暂停","进行中")</f>
        <v/>
      </c>
      <c r="G150" s="125" t="n">
        <v>46209</v>
      </c>
      <c r="H150" s="125" t="n">
        <v>46225</v>
      </c>
      <c r="I150" s="127" t="n">
        <v>40</v>
      </c>
      <c r="J150" s="124">
        <f>IF(I150="","待估算",IF(F150="已完成","已结束",IF(AND(ISNUMBER(G150),ISNUMBER(H150),G150&lt;='项目驾驶舱'!$B$3,H150&gt;='项目驾驶舱'!$B$3),"进行中","计划中")))</f>
        <v/>
      </c>
      <c r="K150" s="124">
        <f>IF(J150="待估算","补充投入工时",IF(AND(H150&lt;'项目驾驶舱'!$B$3,F150&lt;&gt;"已完成"),"确认延期和后续安排","按计划跟踪"))</f>
        <v/>
      </c>
      <c r="L150" s="127" t="n"/>
    </row>
    <row r="151">
      <c r="C151" s="124" t="inlineStr">
        <is>
          <t>T100</t>
        </is>
      </c>
      <c r="D151" s="124" t="inlineStr">
        <is>
          <t>创建行业资讯数据</t>
        </is>
      </c>
      <c r="E151" s="124" t="inlineStr">
        <is>
          <t>第一批次</t>
        </is>
      </c>
      <c r="F151" s="124">
        <f>IF(OR(M103="挂起",M103="暂停",Q103="挂起",Q103="暂停",U103="挂起",U103="暂停",Y103="挂起",Y103="暂停"),"暂停","已完成")</f>
        <v/>
      </c>
      <c r="G151" s="125" t="n">
        <v>46230</v>
      </c>
      <c r="H151" s="125" t="n">
        <v>46262</v>
      </c>
      <c r="I151" s="127" t="n">
        <v>40</v>
      </c>
      <c r="J151" s="124">
        <f>IF(I151="","待估算",IF(F151="已完成","已结束",IF(AND(ISNUMBER(G151),ISNUMBER(H151),G151&lt;='项目驾驶舱'!$B$3,H151&gt;='项目驾驶舱'!$B$3),"进行中","计划中")))</f>
        <v/>
      </c>
      <c r="K151" s="124">
        <f>IF(J151="待估算","补充投入工时",IF(AND(H151&lt;'项目驾驶舱'!$B$3,F151&lt;&gt;"已完成"),"确认延期和后续安排","按计划跟踪"))</f>
        <v/>
      </c>
      <c r="L151" s="127" t="n"/>
    </row>
    <row r="152">
      <c r="C152" s="124" t="inlineStr">
        <is>
          <t>T101</t>
        </is>
      </c>
      <c r="D152" s="124" t="inlineStr">
        <is>
          <t>修改行业资讯数据</t>
        </is>
      </c>
      <c r="E152" s="124" t="inlineStr">
        <is>
          <t>第一批次</t>
        </is>
      </c>
      <c r="F152" s="124">
        <f>IF(OR(M104="挂起",M104="暂停",Q104="挂起",Q104="暂停",U104="挂起",U104="暂停",Y104="挂起",Y104="暂停"),"暂停","已完成")</f>
        <v/>
      </c>
      <c r="G152" s="125" t="n">
        <v>46230</v>
      </c>
      <c r="H152" s="125" t="n">
        <v>46262</v>
      </c>
      <c r="I152" s="127" t="n">
        <v>40</v>
      </c>
      <c r="J152" s="124">
        <f>IF(I152="","待估算",IF(F152="已完成","已结束",IF(AND(ISNUMBER(G152),ISNUMBER(H152),G152&lt;='项目驾驶舱'!$B$3,H152&gt;='项目驾驶舱'!$B$3),"进行中","计划中")))</f>
        <v/>
      </c>
      <c r="K152" s="124">
        <f>IF(J152="待估算","补充投入工时",IF(AND(H152&lt;'项目驾驶舱'!$B$3,F152&lt;&gt;"已完成"),"确认延期和后续安排","按计划跟踪"))</f>
        <v/>
      </c>
      <c r="L152" s="127" t="n"/>
    </row>
    <row r="153">
      <c r="C153" s="124" t="inlineStr">
        <is>
          <t>T102</t>
        </is>
      </c>
      <c r="D153" s="124" t="inlineStr">
        <is>
          <t>删除行业资讯数据</t>
        </is>
      </c>
      <c r="E153" s="124" t="inlineStr">
        <is>
          <t>第一批次</t>
        </is>
      </c>
      <c r="F153" s="124">
        <f>IF(OR(M105="挂起",M105="暂停",Q105="挂起",Q105="暂停",U105="挂起",U105="暂停",Y105="挂起",Y105="暂停"),"暂停","已完成")</f>
        <v/>
      </c>
      <c r="G153" s="125" t="n">
        <v>46230</v>
      </c>
      <c r="H153" s="125" t="n">
        <v>46262</v>
      </c>
      <c r="I153" s="127" t="n">
        <v>40</v>
      </c>
      <c r="J153" s="124">
        <f>IF(I153="","待估算",IF(F153="已完成","已结束",IF(AND(ISNUMBER(G153),ISNUMBER(H153),G153&lt;='项目驾驶舱'!$B$3,H153&gt;='项目驾驶舱'!$B$3),"进行中","计划中")))</f>
        <v/>
      </c>
      <c r="K153" s="124">
        <f>IF(J153="待估算","补充投入工时",IF(AND(H153&lt;'项目驾驶舱'!$B$3,F153&lt;&gt;"已完成"),"确认延期和后续安排","按计划跟踪"))</f>
        <v/>
      </c>
      <c r="L153" s="127" t="n"/>
    </row>
    <row r="154">
      <c r="B154" s="22" t="n"/>
      <c r="C154" s="124" t="inlineStr">
        <is>
          <t>T103</t>
        </is>
      </c>
      <c r="D154" s="124" t="inlineStr">
        <is>
          <t>展示行业资讯数据</t>
        </is>
      </c>
      <c r="E154" s="124" t="inlineStr">
        <is>
          <t>第一批次</t>
        </is>
      </c>
      <c r="F154" s="124">
        <f>IF(OR(M106="挂起",M106="暂停",Q106="挂起",Q106="暂停",U106="挂起",U106="暂停",Y106="挂起",Y106="暂停"),"暂停","已完成")</f>
        <v/>
      </c>
      <c r="G154" s="125" t="n">
        <v>46230</v>
      </c>
      <c r="H154" s="125" t="n">
        <v>46262</v>
      </c>
      <c r="I154" s="127" t="n">
        <v>40</v>
      </c>
      <c r="J154" s="124">
        <f>IF(I154="","待估算",IF(F154="已完成","已结束",IF(AND(ISNUMBER(G154),ISNUMBER(H154),G154&lt;='项目驾驶舱'!$B$3,H154&gt;='项目驾驶舱'!$B$3),"进行中","计划中")))</f>
        <v/>
      </c>
      <c r="K154" s="124">
        <f>IF(J154="待估算","补充投入工时",IF(AND(H154&lt;'项目驾驶舱'!$B$3,F154&lt;&gt;"已完成"),"确认延期和后续安排","按计划跟踪"))</f>
        <v/>
      </c>
      <c r="L154" s="127" t="n"/>
    </row>
    <row r="155">
      <c r="B155" s="133" t="inlineStr">
        <is>
          <t>后端</t>
        </is>
      </c>
      <c r="C155" s="124" t="inlineStr">
        <is>
          <t>T069</t>
        </is>
      </c>
      <c r="D155" s="124" t="inlineStr">
        <is>
          <t>新增、详情、修改页内容调整</t>
        </is>
      </c>
      <c r="E155" s="124" t="inlineStr">
        <is>
          <t>第一批次</t>
        </is>
      </c>
      <c r="F155" s="124">
        <f>IF(OR(M72="挂起",M72="暂停",Q72="挂起",Q72="暂停",U72="挂起",U72="暂停",Y72="挂起",Y72="暂停"),"暂停","已完成")</f>
        <v/>
      </c>
      <c r="G155" s="125" t="n">
        <v>46195</v>
      </c>
      <c r="H155" s="125" t="n">
        <v>46206</v>
      </c>
      <c r="I155" s="127" t="n">
        <v>40</v>
      </c>
      <c r="J155" s="124">
        <f>IF(I155="","待估算",IF(F155="已完成","已结束",IF(AND(ISNUMBER(G155),ISNUMBER(H155),G155&lt;='项目驾驶舱'!$B$3,H155&gt;='项目驾驶舱'!$B$3),"进行中","计划中")))</f>
        <v/>
      </c>
      <c r="K155" s="124">
        <f>IF(J155="待估算","补充投入工时",IF(AND(H155&lt;'项目驾驶舱'!$B$3,F155&lt;&gt;"已完成"),"确认延期和后续安排","按计划跟踪"))</f>
        <v/>
      </c>
      <c r="L155" s="127" t="n"/>
    </row>
    <row r="156">
      <c r="C156" s="124" t="inlineStr">
        <is>
          <t>T050</t>
        </is>
      </c>
      <c r="D156" s="124" t="inlineStr">
        <is>
          <t>维护需跟踪船舶清单</t>
        </is>
      </c>
      <c r="E156" s="124" t="inlineStr">
        <is>
          <t>第一批次</t>
        </is>
      </c>
      <c r="F156" s="124">
        <f>IF(OR(M53="挂起",M53="暂停",Q53="挂起",Q53="暂停",U53="挂起",U53="暂停",Y53="挂起",Y53="暂停"),"暂停","进行中")</f>
        <v/>
      </c>
      <c r="G156" s="125" t="n">
        <v>46209</v>
      </c>
      <c r="H156" s="125" t="n">
        <v>46227</v>
      </c>
      <c r="I156" s="127" t="n">
        <v>40</v>
      </c>
      <c r="J156" s="124">
        <f>IF(I156="","待估算",IF(F156="已完成","已结束",IF(AND(ISNUMBER(G156),ISNUMBER(H156),G156&lt;='项目驾驶舱'!$B$3,H156&gt;='项目驾驶舱'!$B$3),"进行中","计划中")))</f>
        <v/>
      </c>
      <c r="K156" s="124">
        <f>IF(J156="待估算","补充投入工时",IF(AND(H156&lt;'项目驾驶舱'!$B$3,F156&lt;&gt;"已完成"),"确认延期和后续安排","按计划跟踪"))</f>
        <v/>
      </c>
      <c r="L156" s="127" t="n"/>
    </row>
    <row r="157">
      <c r="A157" s="22" t="n"/>
      <c r="C157" s="124" t="inlineStr">
        <is>
          <t>T051</t>
        </is>
      </c>
      <c r="D157" s="124" t="inlineStr">
        <is>
          <t>根据船舶清单更新第三方系统推送数据船舶清单</t>
        </is>
      </c>
      <c r="E157" s="124" t="inlineStr">
        <is>
          <t>第一批次</t>
        </is>
      </c>
      <c r="F157" s="124">
        <f>IF(OR(M54="挂起",M54="暂停",Q54="挂起",Q54="暂停",U54="挂起",U54="暂停",Y54="挂起",Y54="暂停"),"暂停","进行中")</f>
        <v/>
      </c>
      <c r="G157" s="125" t="n">
        <v>46209</v>
      </c>
      <c r="H157" s="125" t="n">
        <v>46227</v>
      </c>
      <c r="I157" s="127" t="n">
        <v>40</v>
      </c>
      <c r="J157" s="124">
        <f>IF(I157="","待估算",IF(F157="已完成","已结束",IF(AND(ISNUMBER(G157),ISNUMBER(H157),G157&lt;='项目驾驶舱'!$B$3,H157&gt;='项目驾驶舱'!$B$3),"进行中","计划中")))</f>
        <v/>
      </c>
      <c r="K157" s="124">
        <f>IF(J157="待估算","补充投入工时",IF(AND(H157&lt;'项目驾驶舱'!$B$3,F157&lt;&gt;"已完成"),"确认延期和后续安排","按计划跟踪"))</f>
        <v/>
      </c>
      <c r="L157" s="127" t="n"/>
    </row>
    <row r="158">
      <c r="A158" s="133" t="inlineStr">
        <is>
          <t>常浩</t>
        </is>
      </c>
      <c r="C158" s="124" t="inlineStr">
        <is>
          <t>T052</t>
        </is>
      </c>
      <c r="D158" s="124" t="inlineStr">
        <is>
          <t>船舶轨迹跟踪</t>
        </is>
      </c>
      <c r="E158" s="124" t="inlineStr">
        <is>
          <t>第一批次</t>
        </is>
      </c>
      <c r="F158" s="124">
        <f>IF(OR(M55="挂起",M55="暂停",Q55="挂起",Q55="暂停",U55="挂起",U55="暂停",Y55="挂起",Y55="暂停"),"暂停","进行中")</f>
        <v/>
      </c>
      <c r="G158" s="125" t="n">
        <v>46209</v>
      </c>
      <c r="H158" s="125" t="n">
        <v>46227</v>
      </c>
      <c r="I158" s="127" t="n">
        <v>40</v>
      </c>
      <c r="J158" s="124">
        <f>IF(I158="","待估算",IF(F158="已完成","已结束",IF(AND(ISNUMBER(G158),ISNUMBER(H158),G158&lt;='项目驾驶舱'!$B$3,H158&gt;='项目驾驶舱'!$B$3),"进行中","计划中")))</f>
        <v/>
      </c>
      <c r="K158" s="124">
        <f>IF(J158="待估算","补充投入工时",IF(AND(H158&lt;'项目驾驶舱'!$B$3,F158&lt;&gt;"已完成"),"确认延期和后续安排","按计划跟踪"))</f>
        <v/>
      </c>
      <c r="L158" s="127" t="n"/>
    </row>
    <row r="159">
      <c r="C159" s="124" t="inlineStr">
        <is>
          <t>T095</t>
        </is>
      </c>
      <c r="D159" s="124" t="inlineStr">
        <is>
          <t>自动生成堆存费</t>
        </is>
      </c>
      <c r="E159" s="124" t="inlineStr">
        <is>
          <t>第一批次</t>
        </is>
      </c>
      <c r="F159" s="124">
        <f>IF(OR(M98="挂起",M98="暂停",Q98="挂起",Q98="暂停",U98="挂起",U98="暂停",Y98="挂起",Y98="暂停"),"暂停","进行中")</f>
        <v/>
      </c>
      <c r="G159" s="125" t="n">
        <v>46209</v>
      </c>
      <c r="H159" s="125" t="n">
        <v>46225</v>
      </c>
      <c r="I159" s="127" t="n">
        <v>40</v>
      </c>
      <c r="J159" s="124">
        <f>IF(I159="","待估算",IF(F159="已完成","已结束",IF(AND(ISNUMBER(G159),ISNUMBER(H159),G159&lt;='项目驾驶舱'!$B$3,H159&gt;='项目驾驶舱'!$B$3),"进行中","计划中")))</f>
        <v/>
      </c>
      <c r="K159" s="124">
        <f>IF(J159="待估算","补充投入工时",IF(AND(H159&lt;'项目驾驶舱'!$B$3,F159&lt;&gt;"已完成"),"确认延期和后续安排","按计划跟踪"))</f>
        <v/>
      </c>
      <c r="L159" s="127" t="n"/>
    </row>
    <row r="160">
      <c r="C160" s="124" t="inlineStr">
        <is>
          <t>T100</t>
        </is>
      </c>
      <c r="D160" s="124" t="inlineStr">
        <is>
          <t>创建行业资讯数据</t>
        </is>
      </c>
      <c r="E160" s="124" t="inlineStr">
        <is>
          <t>第一批次</t>
        </is>
      </c>
      <c r="F160" s="124">
        <f>IF(OR(M103="挂起",M103="暂停",Q103="挂起",Q103="暂停",U103="挂起",U103="暂停",Y103="挂起",Y103="暂停"),"暂停","已完成")</f>
        <v/>
      </c>
      <c r="G160" s="125" t="n">
        <v>46230</v>
      </c>
      <c r="H160" s="125" t="n">
        <v>46262</v>
      </c>
      <c r="I160" s="127" t="n">
        <v>40</v>
      </c>
      <c r="J160" s="124">
        <f>IF(I160="","待估算",IF(F160="已完成","已结束",IF(AND(ISNUMBER(G160),ISNUMBER(H160),G160&lt;='项目驾驶舱'!$B$3,H160&gt;='项目驾驶舱'!$B$3),"进行中","计划中")))</f>
        <v/>
      </c>
      <c r="K160" s="124">
        <f>IF(J160="待估算","补充投入工时",IF(AND(H160&lt;'项目驾驶舱'!$B$3,F160&lt;&gt;"已完成"),"确认延期和后续安排","按计划跟踪"))</f>
        <v/>
      </c>
      <c r="L160" s="127" t="n"/>
    </row>
    <row r="161">
      <c r="C161" s="124" t="inlineStr">
        <is>
          <t>T101</t>
        </is>
      </c>
      <c r="D161" s="124" t="inlineStr">
        <is>
          <t>修改行业资讯数据</t>
        </is>
      </c>
      <c r="E161" s="124" t="inlineStr">
        <is>
          <t>第一批次</t>
        </is>
      </c>
      <c r="F161" s="124">
        <f>IF(OR(M104="挂起",M104="暂停",Q104="挂起",Q104="暂停",U104="挂起",U104="暂停",Y104="挂起",Y104="暂停"),"暂停","已完成")</f>
        <v/>
      </c>
      <c r="G161" s="125" t="n">
        <v>46230</v>
      </c>
      <c r="H161" s="125" t="n">
        <v>46262</v>
      </c>
      <c r="I161" s="127" t="n">
        <v>40</v>
      </c>
      <c r="J161" s="124">
        <f>IF(I161="","待估算",IF(F161="已完成","已结束",IF(AND(ISNUMBER(G161),ISNUMBER(H161),G161&lt;='项目驾驶舱'!$B$3,H161&gt;='项目驾驶舱'!$B$3),"进行中","计划中")))</f>
        <v/>
      </c>
      <c r="K161" s="124">
        <f>IF(J161="待估算","补充投入工时",IF(AND(H161&lt;'项目驾驶舱'!$B$3,F161&lt;&gt;"已完成"),"确认延期和后续安排","按计划跟踪"))</f>
        <v/>
      </c>
      <c r="L161" s="127" t="n"/>
    </row>
    <row r="162">
      <c r="C162" s="124" t="inlineStr">
        <is>
          <t>T102</t>
        </is>
      </c>
      <c r="D162" s="124" t="inlineStr">
        <is>
          <t>删除行业资讯数据</t>
        </is>
      </c>
      <c r="E162" s="124" t="inlineStr">
        <is>
          <t>第一批次</t>
        </is>
      </c>
      <c r="F162" s="124">
        <f>IF(OR(M105="挂起",M105="暂停",Q105="挂起",Q105="暂停",U105="挂起",U105="暂停",Y105="挂起",Y105="暂停"),"暂停","已完成")</f>
        <v/>
      </c>
      <c r="G162" s="125" t="n">
        <v>46230</v>
      </c>
      <c r="H162" s="125" t="n">
        <v>46262</v>
      </c>
      <c r="I162" s="127" t="n">
        <v>40</v>
      </c>
      <c r="J162" s="124">
        <f>IF(I162="","待估算",IF(F162="已完成","已结束",IF(AND(ISNUMBER(G162),ISNUMBER(H162),G162&lt;='项目驾驶舱'!$B$3,H162&gt;='项目驾驶舱'!$B$3),"进行中","计划中")))</f>
        <v/>
      </c>
      <c r="K162" s="124">
        <f>IF(J162="待估算","补充投入工时",IF(AND(H162&lt;'项目驾驶舱'!$B$3,F162&lt;&gt;"已完成"),"确认延期和后续安排","按计划跟踪"))</f>
        <v/>
      </c>
      <c r="L162" s="127" t="n"/>
    </row>
    <row r="163">
      <c r="A163" s="22" t="n"/>
      <c r="B163" s="22" t="n"/>
      <c r="C163" s="124" t="inlineStr">
        <is>
          <t>T103</t>
        </is>
      </c>
      <c r="D163" s="124" t="inlineStr">
        <is>
          <t>展示行业资讯数据</t>
        </is>
      </c>
      <c r="E163" s="124" t="inlineStr">
        <is>
          <t>第一批次</t>
        </is>
      </c>
      <c r="F163" s="124">
        <f>IF(OR(M106="挂起",M106="暂停",Q106="挂起",Q106="暂停",U106="挂起",U106="暂停",Y106="挂起",Y106="暂停"),"暂停","已完成")</f>
        <v/>
      </c>
      <c r="G163" s="125" t="n">
        <v>46230</v>
      </c>
      <c r="H163" s="125" t="n">
        <v>46262</v>
      </c>
      <c r="I163" s="127" t="n">
        <v>40</v>
      </c>
      <c r="J163" s="124">
        <f>IF(I163="","待估算",IF(F163="已完成","已结束",IF(AND(ISNUMBER(G163),ISNUMBER(H163),G163&lt;='项目驾驶舱'!$B$3,H163&gt;='项目驾驶舱'!$B$3),"进行中","计划中")))</f>
        <v/>
      </c>
      <c r="K163" s="124">
        <f>IF(J163="待估算","补充投入工时",IF(AND(H163&lt;'项目驾驶舱'!$B$3,F163&lt;&gt;"已完成"),"确认延期和后续安排","按计划跟踪"))</f>
        <v/>
      </c>
      <c r="L163" s="127" t="n"/>
    </row>
    <row r="164">
      <c r="A164" s="129" t="inlineStr">
        <is>
          <t>石军磊</t>
        </is>
      </c>
      <c r="B164" s="129" t="inlineStr">
        <is>
          <t>后端</t>
        </is>
      </c>
      <c r="C164" s="130" t="inlineStr">
        <is>
          <t>T058</t>
        </is>
      </c>
      <c r="D164" s="130" t="inlineStr">
        <is>
          <t>OCR识别及编辑</t>
        </is>
      </c>
      <c r="E164" s="130" t="inlineStr">
        <is>
          <t>第一批次</t>
        </is>
      </c>
      <c r="F164" s="130">
        <f>IF(OR(M61="挂起",M61="暂停",Q61="挂起",Q61="暂停",U61="挂起",U61="暂停",Y61="挂起",Y61="暂停"),"暂停","已完成")</f>
        <v/>
      </c>
      <c r="G164" s="131" t="n">
        <v>46195</v>
      </c>
      <c r="H164" s="131" t="n">
        <v>46206</v>
      </c>
      <c r="I164" s="132" t="n">
        <v>40</v>
      </c>
      <c r="J164" s="130">
        <f>IF(I164="","待估算",IF(F164="已完成","已结束",IF(AND(ISNUMBER(G164),ISNUMBER(H164),G164&lt;='项目驾驶舱'!$B$3,H164&gt;='项目驾驶舱'!$B$3),"进行中","计划中")))</f>
        <v/>
      </c>
      <c r="K164" s="130">
        <f>IF(J164="待估算","补充投入工时",IF(AND(H164&lt;'项目驾驶舱'!$B$3,F164&lt;&gt;"已完成"),"确认延期和后续安排","按计划跟踪"))</f>
        <v/>
      </c>
      <c r="L164" s="132" t="n"/>
    </row>
    <row r="165">
      <c r="C165" s="124" t="inlineStr">
        <is>
          <t>T070</t>
        </is>
      </c>
      <c r="D165" s="124" t="inlineStr">
        <is>
          <t>生成报告</t>
        </is>
      </c>
      <c r="E165" s="124" t="inlineStr">
        <is>
          <t>第一批次</t>
        </is>
      </c>
      <c r="F165" s="124">
        <f>IF(OR(M73="挂起",M73="暂停",Q73="挂起",Q73="暂停",U73="挂起",U73="暂停",Y73="挂起",Y73="暂停"),"暂停","已完成")</f>
        <v/>
      </c>
      <c r="G165" s="125" t="n">
        <v>46195</v>
      </c>
      <c r="H165" s="125" t="n">
        <v>46206</v>
      </c>
      <c r="I165" s="127" t="n">
        <v>40</v>
      </c>
      <c r="J165" s="124">
        <f>IF(I165="","待估算",IF(F165="已完成","已结束",IF(AND(ISNUMBER(G165),ISNUMBER(H165),G165&lt;='项目驾驶舱'!$B$3,H165&gt;='项目驾驶舱'!$B$3),"进行中","计划中")))</f>
        <v/>
      </c>
      <c r="K165" s="124">
        <f>IF(J165="待估算","补充投入工时",IF(AND(H165&lt;'项目驾驶舱'!$B$3,F165&lt;&gt;"已完成"),"确认延期和后续安排","按计划跟踪"))</f>
        <v/>
      </c>
      <c r="L165" s="127" t="n"/>
    </row>
    <row r="166">
      <c r="C166" s="124" t="inlineStr">
        <is>
          <t>T071</t>
        </is>
      </c>
      <c r="D166" s="124" t="inlineStr">
        <is>
          <t>装船作业信息录入优化（太仓）</t>
        </is>
      </c>
      <c r="E166" s="124" t="inlineStr">
        <is>
          <t>第一批次</t>
        </is>
      </c>
      <c r="F166" s="124">
        <f>IF(OR(M74="挂起",M74="暂停",Q74="挂起",Q74="暂停",U74="挂起",U74="暂停",Y74="挂起",Y74="暂停"),"暂停","已完成")</f>
        <v/>
      </c>
      <c r="G166" s="125" t="n">
        <v>46195</v>
      </c>
      <c r="H166" s="125" t="n">
        <v>46206</v>
      </c>
      <c r="I166" s="127" t="n">
        <v>40</v>
      </c>
      <c r="J166" s="124">
        <f>IF(I166="","待估算",IF(F166="已完成","已结束",IF(AND(ISNUMBER(G166),ISNUMBER(H166),G166&lt;='项目驾驶舱'!$B$3,H166&gt;='项目驾驶舱'!$B$3),"进行中","计划中")))</f>
        <v/>
      </c>
      <c r="K166" s="124">
        <f>IF(J166="待估算","补充投入工时",IF(AND(H166&lt;'项目驾驶舱'!$B$3,F166&lt;&gt;"已完成"),"确认延期和后续安排","按计划跟踪"))</f>
        <v/>
      </c>
      <c r="L166" s="127" t="n"/>
    </row>
    <row r="167">
      <c r="C167" s="124" t="inlineStr">
        <is>
          <t>T001</t>
        </is>
      </c>
      <c r="D167" s="124" t="inlineStr">
        <is>
          <t>新增车辆信息</t>
        </is>
      </c>
      <c r="E167" s="124" t="inlineStr">
        <is>
          <t>第一批次</t>
        </is>
      </c>
      <c r="F167" s="124">
        <f>IF(OR(M4="挂起",M4="暂停",Q4="挂起",Q4="暂停",U4="挂起",U4="暂停",Y4="挂起",Y4="暂停"),"暂停","已完成")</f>
        <v/>
      </c>
      <c r="G167" s="125" t="n">
        <v>46209</v>
      </c>
      <c r="H167" s="125" t="n">
        <v>46225</v>
      </c>
      <c r="I167" s="127" t="n">
        <v>40</v>
      </c>
      <c r="J167" s="124">
        <f>IF(I167="","待估算",IF(F167="已完成","已结束",IF(AND(ISNUMBER(G167),ISNUMBER(H167),G167&lt;='项目驾驶舱'!$B$3,H167&gt;='项目驾驶舱'!$B$3),"进行中","计划中")))</f>
        <v/>
      </c>
      <c r="K167" s="124">
        <f>IF(J167="待估算","补充投入工时",IF(AND(H167&lt;'项目驾驶舱'!$B$3,F167&lt;&gt;"已完成"),"确认延期和后续安排","按计划跟踪"))</f>
        <v/>
      </c>
      <c r="L167" s="127" t="n"/>
    </row>
    <row r="168">
      <c r="C168" s="124" t="inlineStr">
        <is>
          <t>T002</t>
        </is>
      </c>
      <c r="D168" s="124" t="inlineStr">
        <is>
          <t>修改车辆信息</t>
        </is>
      </c>
      <c r="E168" s="124" t="inlineStr">
        <is>
          <t>第一批次</t>
        </is>
      </c>
      <c r="F168" s="124">
        <f>IF(OR(M5="挂起",M5="暂停",Q5="挂起",Q5="暂停",U5="挂起",U5="暂停",Y5="挂起",Y5="暂停"),"暂停","已完成")</f>
        <v/>
      </c>
      <c r="G168" s="125" t="n">
        <v>46209</v>
      </c>
      <c r="H168" s="125" t="n">
        <v>46225</v>
      </c>
      <c r="I168" s="127" t="n">
        <v>40</v>
      </c>
      <c r="J168" s="124">
        <f>IF(I168="","待估算",IF(F168="已完成","已结束",IF(AND(ISNUMBER(G168),ISNUMBER(H168),G168&lt;='项目驾驶舱'!$B$3,H168&gt;='项目驾驶舱'!$B$3),"进行中","计划中")))</f>
        <v/>
      </c>
      <c r="K168" s="124">
        <f>IF(J168="待估算","补充投入工时",IF(AND(H168&lt;'项目驾驶舱'!$B$3,F168&lt;&gt;"已完成"),"确认延期和后续安排","按计划跟踪"))</f>
        <v/>
      </c>
      <c r="L168" s="127" t="n"/>
    </row>
    <row r="169">
      <c r="C169" s="124" t="inlineStr">
        <is>
          <t>T003</t>
        </is>
      </c>
      <c r="D169" s="124" t="inlineStr">
        <is>
          <t>删除车辆信息</t>
        </is>
      </c>
      <c r="E169" s="124" t="inlineStr">
        <is>
          <t>第一批次</t>
        </is>
      </c>
      <c r="F169" s="124">
        <f>IF(OR(M6="挂起",M6="暂停",Q6="挂起",Q6="暂停",U6="挂起",U6="暂停",Y6="挂起",Y6="暂停"),"暂停","已完成")</f>
        <v/>
      </c>
      <c r="G169" s="125" t="n">
        <v>46209</v>
      </c>
      <c r="H169" s="125" t="n">
        <v>46225</v>
      </c>
      <c r="I169" s="127" t="n">
        <v>40</v>
      </c>
      <c r="J169" s="124">
        <f>IF(I169="","待估算",IF(F169="已完成","已结束",IF(AND(ISNUMBER(G169),ISNUMBER(H169),G169&lt;='项目驾驶舱'!$B$3,H169&gt;='项目驾驶舱'!$B$3),"进行中","计划中")))</f>
        <v/>
      </c>
      <c r="K169" s="124">
        <f>IF(J169="待估算","补充投入工时",IF(AND(H169&lt;'项目驾驶舱'!$B$3,F169&lt;&gt;"已完成"),"确认延期和后续安排","按计划跟踪"))</f>
        <v/>
      </c>
      <c r="L169" s="127" t="n"/>
    </row>
    <row r="170">
      <c r="C170" s="124" t="inlineStr">
        <is>
          <t>T004</t>
        </is>
      </c>
      <c r="D170" s="124" t="inlineStr">
        <is>
          <t>查询展示车辆信息</t>
        </is>
      </c>
      <c r="E170" s="124" t="inlineStr">
        <is>
          <t>第一批次</t>
        </is>
      </c>
      <c r="F170" s="124">
        <f>IF(OR(M7="挂起",M7="暂停",Q7="挂起",Q7="暂停",U7="挂起",U7="暂停",Y7="挂起",Y7="暂停"),"暂停","已完成")</f>
        <v/>
      </c>
      <c r="G170" s="125" t="n">
        <v>46209</v>
      </c>
      <c r="H170" s="125" t="n">
        <v>46225</v>
      </c>
      <c r="I170" s="127" t="n">
        <v>40</v>
      </c>
      <c r="J170" s="124">
        <f>IF(I170="","待估算",IF(F170="已完成","已结束",IF(AND(ISNUMBER(G170),ISNUMBER(H170),G170&lt;='项目驾驶舱'!$B$3,H170&gt;='项目驾驶舱'!$B$3),"进行中","计划中")))</f>
        <v/>
      </c>
      <c r="K170" s="124">
        <f>IF(J170="待估算","补充投入工时",IF(AND(H170&lt;'项目驾驶舱'!$B$3,F170&lt;&gt;"已完成"),"确认延期和后续安排","按计划跟踪"))</f>
        <v/>
      </c>
      <c r="L170" s="127" t="n"/>
    </row>
    <row r="171">
      <c r="C171" s="124" t="inlineStr">
        <is>
          <t>T006</t>
        </is>
      </c>
      <c r="D171" s="124" t="inlineStr">
        <is>
          <t>优化收费标准（装卸费）新增</t>
        </is>
      </c>
      <c r="E171" s="124" t="inlineStr">
        <is>
          <t>第一批次</t>
        </is>
      </c>
      <c r="F171" s="124">
        <f>IF(OR(M9="挂起",M9="暂停",Q9="挂起",Q9="暂停",U9="挂起",U9="暂停",Y9="挂起",Y9="暂停"),"暂停","已完成")</f>
        <v/>
      </c>
      <c r="G171" s="125" t="n">
        <v>46209</v>
      </c>
      <c r="H171" s="125" t="n">
        <v>46227</v>
      </c>
      <c r="I171" s="127" t="n">
        <v>40</v>
      </c>
      <c r="J171" s="124">
        <f>IF(I171="","待估算",IF(F171="已完成","已结束",IF(AND(ISNUMBER(G171),ISNUMBER(H171),G171&lt;='项目驾驶舱'!$B$3,H171&gt;='项目驾驶舱'!$B$3),"进行中","计划中")))</f>
        <v/>
      </c>
      <c r="K171" s="124">
        <f>IF(J171="待估算","补充投入工时",IF(AND(H171&lt;'项目驾驶舱'!$B$3,F171&lt;&gt;"已完成"),"确认延期和后续安排","按计划跟踪"))</f>
        <v/>
      </c>
      <c r="L171" s="127" t="n"/>
    </row>
    <row r="172">
      <c r="C172" s="124" t="inlineStr">
        <is>
          <t>T007</t>
        </is>
      </c>
      <c r="D172" s="124" t="inlineStr">
        <is>
          <t>优化收费标准（装卸费）编辑</t>
        </is>
      </c>
      <c r="E172" s="124" t="inlineStr">
        <is>
          <t>第一批次</t>
        </is>
      </c>
      <c r="F172" s="124">
        <f>IF(OR(M10="挂起",M10="暂停",Q10="挂起",Q10="暂停",U10="挂起",U10="暂停",Y10="挂起",Y10="暂停"),"暂停","已完成")</f>
        <v/>
      </c>
      <c r="G172" s="125" t="n">
        <v>46209</v>
      </c>
      <c r="H172" s="125" t="n">
        <v>46227</v>
      </c>
      <c r="I172" s="127" t="n">
        <v>40</v>
      </c>
      <c r="J172" s="124">
        <f>IF(I172="","待估算",IF(F172="已完成","已结束",IF(AND(ISNUMBER(G172),ISNUMBER(H172),G172&lt;='项目驾驶舱'!$B$3,H172&gt;='项目驾驶舱'!$B$3),"进行中","计划中")))</f>
        <v/>
      </c>
      <c r="K172" s="124">
        <f>IF(J172="待估算","补充投入工时",IF(AND(H172&lt;'项目驾驶舱'!$B$3,F172&lt;&gt;"已完成"),"确认延期和后续安排","按计划跟踪"))</f>
        <v/>
      </c>
      <c r="L172" s="127" t="n"/>
    </row>
    <row r="173">
      <c r="C173" s="124" t="inlineStr">
        <is>
          <t>T008</t>
        </is>
      </c>
      <c r="D173" s="124" t="inlineStr">
        <is>
          <t>优化收费标准（装卸费）详情</t>
        </is>
      </c>
      <c r="E173" s="124" t="inlineStr">
        <is>
          <t>第一批次</t>
        </is>
      </c>
      <c r="F173" s="124">
        <f>IF(OR(M11="挂起",M11="暂停",Q11="挂起",Q11="暂停",U11="挂起",U11="暂停",Y11="挂起",Y11="暂停"),"暂停","已完成")</f>
        <v/>
      </c>
      <c r="G173" s="125" t="n">
        <v>46209</v>
      </c>
      <c r="H173" s="125" t="n">
        <v>46227</v>
      </c>
      <c r="I173" s="127" t="n">
        <v>40</v>
      </c>
      <c r="J173" s="124">
        <f>IF(I173="","待估算",IF(F173="已完成","已结束",IF(AND(ISNUMBER(G173),ISNUMBER(H173),G173&lt;='项目驾驶舱'!$B$3,H173&gt;='项目驾驶舱'!$B$3),"进行中","计划中")))</f>
        <v/>
      </c>
      <c r="K173" s="124">
        <f>IF(J173="待估算","补充投入工时",IF(AND(H173&lt;'项目驾驶舱'!$B$3,F173&lt;&gt;"已完成"),"确认延期和后续安排","按计划跟踪"))</f>
        <v/>
      </c>
      <c r="L173" s="127" t="n"/>
    </row>
    <row r="174">
      <c r="C174" s="124" t="inlineStr">
        <is>
          <t>T009</t>
        </is>
      </c>
      <c r="D174" s="124" t="inlineStr">
        <is>
          <t>优化采样方式新增</t>
        </is>
      </c>
      <c r="E174" s="124" t="inlineStr">
        <is>
          <t>第一批次</t>
        </is>
      </c>
      <c r="F174" s="124">
        <f>IF(OR(M12="挂起",M12="暂停",Q12="挂起",Q12="暂停",U12="挂起",U12="暂停",Y12="挂起",Y12="暂停"),"暂停","已完成")</f>
        <v/>
      </c>
      <c r="G174" s="125" t="n">
        <v>46209</v>
      </c>
      <c r="H174" s="125" t="n">
        <v>46227</v>
      </c>
      <c r="I174" s="127" t="n">
        <v>40</v>
      </c>
      <c r="J174" s="124">
        <f>IF(I174="","待估算",IF(F174="已完成","已结束",IF(AND(ISNUMBER(G174),ISNUMBER(H174),G174&lt;='项目驾驶舱'!$B$3,H174&gt;='项目驾驶舱'!$B$3),"进行中","计划中")))</f>
        <v/>
      </c>
      <c r="K174" s="124">
        <f>IF(J174="待估算","补充投入工时",IF(AND(H174&lt;'项目驾驶舱'!$B$3,F174&lt;&gt;"已完成"),"确认延期和后续安排","按计划跟踪"))</f>
        <v/>
      </c>
      <c r="L174" s="127" t="n"/>
    </row>
    <row r="175">
      <c r="A175" s="22" t="n"/>
      <c r="B175" s="22" t="n"/>
      <c r="C175" s="124" t="inlineStr">
        <is>
          <t>T010</t>
        </is>
      </c>
      <c r="D175" s="124" t="inlineStr">
        <is>
          <t>优化采样方式编辑</t>
        </is>
      </c>
      <c r="E175" s="124" t="inlineStr">
        <is>
          <t>第一批次</t>
        </is>
      </c>
      <c r="F175" s="124">
        <f>IF(OR(M13="挂起",M13="暂停",Q13="挂起",Q13="暂停",U13="挂起",U13="暂停",Y13="挂起",Y13="暂停"),"暂停","已完成")</f>
        <v/>
      </c>
      <c r="G175" s="125" t="n">
        <v>46209</v>
      </c>
      <c r="H175" s="125" t="n">
        <v>46227</v>
      </c>
      <c r="I175" s="127" t="n">
        <v>40</v>
      </c>
      <c r="J175" s="124">
        <f>IF(I175="","待估算",IF(F175="已完成","已结束",IF(AND(ISNUMBER(G175),ISNUMBER(H175),G175&lt;='项目驾驶舱'!$B$3,H175&gt;='项目驾驶舱'!$B$3),"进行中","计划中")))</f>
        <v/>
      </c>
      <c r="K175" s="124">
        <f>IF(J175="待估算","补充投入工时",IF(AND(H175&lt;'项目驾驶舱'!$B$3,F175&lt;&gt;"已完成"),"确认延期和后续安排","按计划跟踪"))</f>
        <v/>
      </c>
      <c r="L175" s="127" t="n"/>
    </row>
    <row r="176">
      <c r="A176" s="133" t="inlineStr">
        <is>
          <t>石军磊</t>
        </is>
      </c>
      <c r="B176" s="133" t="inlineStr">
        <is>
          <t>后端</t>
        </is>
      </c>
      <c r="C176" s="124" t="inlineStr">
        <is>
          <t>T011</t>
        </is>
      </c>
      <c r="D176" s="124" t="inlineStr">
        <is>
          <t>获取报单数据及展示</t>
        </is>
      </c>
      <c r="E176" s="124" t="inlineStr">
        <is>
          <t>第一批次</t>
        </is>
      </c>
      <c r="F176" s="124">
        <f>IF(OR(M14="挂起",M14="暂停",Q14="挂起",Q14="暂停",U14="挂起",U14="暂停",Y14="挂起",Y14="暂停"),"暂停","已完成")</f>
        <v/>
      </c>
      <c r="G176" s="125" t="n">
        <v>46209</v>
      </c>
      <c r="H176" s="125" t="n">
        <v>46227</v>
      </c>
      <c r="I176" s="127" t="n">
        <v>40</v>
      </c>
      <c r="J176" s="124">
        <f>IF(I176="","待估算",IF(F176="已完成","已结束",IF(AND(ISNUMBER(G176),ISNUMBER(H176),G176&lt;='项目驾驶舱'!$B$3,H176&gt;='项目驾驶舱'!$B$3),"进行中","计划中")))</f>
        <v/>
      </c>
      <c r="K176" s="124">
        <f>IF(J176="待估算","补充投入工时",IF(AND(H176&lt;'项目驾驶舱'!$B$3,F176&lt;&gt;"已完成"),"确认延期和后续安排","按计划跟踪"))</f>
        <v/>
      </c>
      <c r="L176" s="127" t="n"/>
    </row>
    <row r="177">
      <c r="C177" s="124" t="inlineStr">
        <is>
          <t>T012</t>
        </is>
      </c>
      <c r="D177" s="124" t="inlineStr">
        <is>
          <t>应单入口</t>
        </is>
      </c>
      <c r="E177" s="124" t="inlineStr">
        <is>
          <t>第一批次</t>
        </is>
      </c>
      <c r="F177" s="124">
        <f>IF(OR(M15="挂起",M15="暂停",Q15="挂起",Q15="暂停",U15="挂起",U15="暂停",Y15="挂起",Y15="暂停"),"暂停","已完成")</f>
        <v/>
      </c>
      <c r="G177" s="125" t="n">
        <v>46209</v>
      </c>
      <c r="H177" s="125" t="n">
        <v>46227</v>
      </c>
      <c r="I177" s="127" t="n">
        <v>40</v>
      </c>
      <c r="J177" s="124">
        <f>IF(I177="","待估算",IF(F177="已完成","已结束",IF(AND(ISNUMBER(G177),ISNUMBER(H177),G177&lt;='项目驾驶舱'!$B$3,H177&gt;='项目驾驶舱'!$B$3),"进行中","计划中")))</f>
        <v/>
      </c>
      <c r="K177" s="124">
        <f>IF(J177="待估算","补充投入工时",IF(AND(H177&lt;'项目驾驶舱'!$B$3,F177&lt;&gt;"已完成"),"确认延期和后续安排","按计划跟踪"))</f>
        <v/>
      </c>
      <c r="L177" s="127" t="n"/>
    </row>
    <row r="178">
      <c r="C178" s="124" t="inlineStr">
        <is>
          <t>T050</t>
        </is>
      </c>
      <c r="D178" s="124" t="inlineStr">
        <is>
          <t>维护需跟踪船舶清单</t>
        </is>
      </c>
      <c r="E178" s="124" t="inlineStr">
        <is>
          <t>第一批次</t>
        </is>
      </c>
      <c r="F178" s="124">
        <f>IF(OR(M53="挂起",M53="暂停",Q53="挂起",Q53="暂停",U53="挂起",U53="暂停",Y53="挂起",Y53="暂停"),"暂停","进行中")</f>
        <v/>
      </c>
      <c r="G178" s="125" t="n">
        <v>46209</v>
      </c>
      <c r="H178" s="125" t="n">
        <v>46227</v>
      </c>
      <c r="I178" s="127" t="n">
        <v>40</v>
      </c>
      <c r="J178" s="124">
        <f>IF(I178="","待估算",IF(F178="已完成","已结束",IF(AND(ISNUMBER(G178),ISNUMBER(H178),G178&lt;='项目驾驶舱'!$B$3,H178&gt;='项目驾驶舱'!$B$3),"进行中","计划中")))</f>
        <v/>
      </c>
      <c r="K178" s="124">
        <f>IF(J178="待估算","补充投入工时",IF(AND(H178&lt;'项目驾驶舱'!$B$3,F178&lt;&gt;"已完成"),"确认延期和后续安排","按计划跟踪"))</f>
        <v/>
      </c>
      <c r="L178" s="127" t="n"/>
    </row>
    <row r="179">
      <c r="C179" s="124" t="inlineStr">
        <is>
          <t>T051</t>
        </is>
      </c>
      <c r="D179" s="124" t="inlineStr">
        <is>
          <t>根据船舶清单更新第三方系统推送数据船舶清单</t>
        </is>
      </c>
      <c r="E179" s="124" t="inlineStr">
        <is>
          <t>第一批次</t>
        </is>
      </c>
      <c r="F179" s="124">
        <f>IF(OR(M54="挂起",M54="暂停",Q54="挂起",Q54="暂停",U54="挂起",U54="暂停",Y54="挂起",Y54="暂停"),"暂停","进行中")</f>
        <v/>
      </c>
      <c r="G179" s="125" t="n">
        <v>46209</v>
      </c>
      <c r="H179" s="125" t="n">
        <v>46227</v>
      </c>
      <c r="I179" s="127" t="n">
        <v>40</v>
      </c>
      <c r="J179" s="124">
        <f>IF(I179="","待估算",IF(F179="已完成","已结束",IF(AND(ISNUMBER(G179),ISNUMBER(H179),G179&lt;='项目驾驶舱'!$B$3,H179&gt;='项目驾驶舱'!$B$3),"进行中","计划中")))</f>
        <v/>
      </c>
      <c r="K179" s="124">
        <f>IF(J179="待估算","补充投入工时",IF(AND(H179&lt;'项目驾驶舱'!$B$3,F179&lt;&gt;"已完成"),"确认延期和后续安排","按计划跟踪"))</f>
        <v/>
      </c>
      <c r="L179" s="127" t="n"/>
    </row>
    <row r="180">
      <c r="C180" s="124" t="inlineStr">
        <is>
          <t>T052</t>
        </is>
      </c>
      <c r="D180" s="124" t="inlineStr">
        <is>
          <t>船舶轨迹跟踪</t>
        </is>
      </c>
      <c r="E180" s="124" t="inlineStr">
        <is>
          <t>第一批次</t>
        </is>
      </c>
      <c r="F180" s="124">
        <f>IF(OR(M55="挂起",M55="暂停",Q55="挂起",Q55="暂停",U55="挂起",U55="暂停",Y55="挂起",Y55="暂停"),"暂停","进行中")</f>
        <v/>
      </c>
      <c r="G180" s="125" t="n">
        <v>46209</v>
      </c>
      <c r="H180" s="125" t="n">
        <v>46227</v>
      </c>
      <c r="I180" s="127" t="n">
        <v>40</v>
      </c>
      <c r="J180" s="124">
        <f>IF(I180="","待估算",IF(F180="已完成","已结束",IF(AND(ISNUMBER(G180),ISNUMBER(H180),G180&lt;='项目驾驶舱'!$B$3,H180&gt;='项目驾驶舱'!$B$3),"进行中","计划中")))</f>
        <v/>
      </c>
      <c r="K180" s="124">
        <f>IF(J180="待估算","补充投入工时",IF(AND(H180&lt;'项目驾驶舱'!$B$3,F180&lt;&gt;"已完成"),"确认延期和后续安排","按计划跟踪"))</f>
        <v/>
      </c>
      <c r="L180" s="127" t="n"/>
    </row>
    <row r="181">
      <c r="C181" s="124" t="inlineStr">
        <is>
          <t>T060</t>
        </is>
      </c>
      <c r="D181" s="124" t="inlineStr">
        <is>
          <t>货权录入</t>
        </is>
      </c>
      <c r="E181" s="124" t="inlineStr">
        <is>
          <t>第一批次</t>
        </is>
      </c>
      <c r="F181" s="124">
        <f>IF(OR(M63="挂起",M63="暂停",Q63="挂起",Q63="暂停",U63="挂起",U63="暂停",Y63="挂起",Y63="暂停"),"暂停","已完成")</f>
        <v/>
      </c>
      <c r="G181" s="125" t="n">
        <v>46209</v>
      </c>
      <c r="H181" s="125" t="n">
        <v>46227</v>
      </c>
      <c r="I181" s="127" t="n">
        <v>40</v>
      </c>
      <c r="J181" s="124">
        <f>IF(I181="","待估算",IF(F181="已完成","已结束",IF(AND(ISNUMBER(G181),ISNUMBER(H181),G181&lt;='项目驾驶舱'!$B$3,H181&gt;='项目驾驶舱'!$B$3),"进行中","计划中")))</f>
        <v/>
      </c>
      <c r="K181" s="124">
        <f>IF(J181="待估算","补充投入工时",IF(AND(H181&lt;'项目驾驶舱'!$B$3,F181&lt;&gt;"已完成"),"确认延期和后续安排","按计划跟踪"))</f>
        <v/>
      </c>
      <c r="L181" s="127" t="n"/>
    </row>
    <row r="182">
      <c r="C182" s="124" t="inlineStr">
        <is>
          <t>T061</t>
        </is>
      </c>
      <c r="D182" s="124" t="inlineStr">
        <is>
          <t>货权修改</t>
        </is>
      </c>
      <c r="E182" s="124" t="inlineStr">
        <is>
          <t>第一批次</t>
        </is>
      </c>
      <c r="F182" s="124">
        <f>IF(OR(M64="挂起",M64="暂停",Q64="挂起",Q64="暂停",U64="挂起",U64="暂停",Y64="挂起",Y64="暂停"),"暂停","已完成")</f>
        <v/>
      </c>
      <c r="G182" s="125" t="n">
        <v>46209</v>
      </c>
      <c r="H182" s="125" t="n">
        <v>46227</v>
      </c>
      <c r="I182" s="127" t="n">
        <v>40</v>
      </c>
      <c r="J182" s="124">
        <f>IF(I182="","待估算",IF(F182="已完成","已结束",IF(AND(ISNUMBER(G182),ISNUMBER(H182),G182&lt;='项目驾驶舱'!$B$3,H182&gt;='项目驾驶舱'!$B$3),"进行中","计划中")))</f>
        <v/>
      </c>
      <c r="K182" s="124">
        <f>IF(J182="待估算","补充投入工时",IF(AND(H182&lt;'项目驾驶舱'!$B$3,F182&lt;&gt;"已完成"),"确认延期和后续安排","按计划跟踪"))</f>
        <v/>
      </c>
      <c r="L182" s="127" t="n"/>
    </row>
    <row r="183">
      <c r="C183" s="124" t="inlineStr">
        <is>
          <t>T062</t>
        </is>
      </c>
      <c r="D183" s="124" t="inlineStr">
        <is>
          <t>获取查询</t>
        </is>
      </c>
      <c r="E183" s="124" t="inlineStr">
        <is>
          <t>第一批次</t>
        </is>
      </c>
      <c r="F183" s="124">
        <f>IF(OR(M65="挂起",M65="暂停",Q65="挂起",Q65="暂停",U65="挂起",U65="暂停",Y65="挂起",Y65="暂停"),"暂停","已完成")</f>
        <v/>
      </c>
      <c r="G183" s="125" t="n">
        <v>46209</v>
      </c>
      <c r="H183" s="125" t="n">
        <v>46227</v>
      </c>
      <c r="I183" s="127" t="n">
        <v>40</v>
      </c>
      <c r="J183" s="124">
        <f>IF(I183="","待估算",IF(F183="已完成","已结束",IF(AND(ISNUMBER(G183),ISNUMBER(H183),G183&lt;='项目驾驶舱'!$B$3,H183&gt;='项目驾驶舱'!$B$3),"进行中","计划中")))</f>
        <v/>
      </c>
      <c r="K183" s="124">
        <f>IF(J183="待估算","补充投入工时",IF(AND(H183&lt;'项目驾驶舱'!$B$3,F183&lt;&gt;"已完成"),"确认延期和后续安排","按计划跟踪"))</f>
        <v/>
      </c>
      <c r="L183" s="127" t="n"/>
    </row>
    <row r="184">
      <c r="C184" s="124" t="inlineStr">
        <is>
          <t>T063</t>
        </is>
      </c>
      <c r="D184" s="124" t="inlineStr">
        <is>
          <t>卸船作业货权跟踪</t>
        </is>
      </c>
      <c r="E184" s="124" t="inlineStr">
        <is>
          <t>第一批次</t>
        </is>
      </c>
      <c r="F184" s="124">
        <f>IF(OR(M66="挂起",M66="暂停",Q66="挂起",Q66="暂停",U66="挂起",U66="暂停",Y66="挂起",Y66="暂停"),"暂停","已完成")</f>
        <v/>
      </c>
      <c r="G184" s="125" t="n">
        <v>46209</v>
      </c>
      <c r="H184" s="125" t="n">
        <v>46227</v>
      </c>
      <c r="I184" s="127" t="n">
        <v>40</v>
      </c>
      <c r="J184" s="124">
        <f>IF(I184="","待估算",IF(F184="已完成","已结束",IF(AND(ISNUMBER(G184),ISNUMBER(H184),G184&lt;='项目驾驶舱'!$B$3,H184&gt;='项目驾驶舱'!$B$3),"进行中","计划中")))</f>
        <v/>
      </c>
      <c r="K184" s="124">
        <f>IF(J184="待估算","补充投入工时",IF(AND(H184&lt;'项目驾驶舱'!$B$3,F184&lt;&gt;"已完成"),"确认延期和后续安排","按计划跟踪"))</f>
        <v/>
      </c>
      <c r="L184" s="127" t="n"/>
    </row>
    <row r="185">
      <c r="C185" s="124" t="inlineStr">
        <is>
          <t>T064</t>
        </is>
      </c>
      <c r="D185" s="124" t="inlineStr">
        <is>
          <t>卸船作业货权跟踪</t>
        </is>
      </c>
      <c r="E185" s="124" t="inlineStr">
        <is>
          <t>第一批次</t>
        </is>
      </c>
      <c r="F185" s="124">
        <f>IF(OR(M67="挂起",M67="暂停",Q67="挂起",Q67="暂停",U67="挂起",U67="暂停",Y67="挂起",Y67="暂停"),"暂停","已完成")</f>
        <v/>
      </c>
      <c r="G185" s="125" t="n">
        <v>46209</v>
      </c>
      <c r="H185" s="125" t="n">
        <v>46227</v>
      </c>
      <c r="I185" s="127" t="n">
        <v>40</v>
      </c>
      <c r="J185" s="124">
        <f>IF(I185="","待估算",IF(F185="已完成","已结束",IF(AND(ISNUMBER(G185),ISNUMBER(H185),G185&lt;='项目驾驶舱'!$B$3,H185&gt;='项目驾驶舱'!$B$3),"进行中","计划中")))</f>
        <v/>
      </c>
      <c r="K185" s="124">
        <f>IF(J185="待估算","补充投入工时",IF(AND(H185&lt;'项目驾驶舱'!$B$3,F185&lt;&gt;"已完成"),"确认延期和后续安排","按计划跟踪"))</f>
        <v/>
      </c>
      <c r="L185" s="127" t="n"/>
    </row>
    <row r="186">
      <c r="C186" s="124" t="inlineStr">
        <is>
          <t>T065</t>
        </is>
      </c>
      <c r="D186" s="124" t="inlineStr">
        <is>
          <t>装船作业货权跟踪</t>
        </is>
      </c>
      <c r="E186" s="124" t="inlineStr">
        <is>
          <t>第一批次</t>
        </is>
      </c>
      <c r="F186" s="124">
        <f>IF(OR(M68="挂起",M68="暂停",Q68="挂起",Q68="暂停",U68="挂起",U68="暂停",Y68="挂起",Y68="暂停"),"暂停","已完成")</f>
        <v/>
      </c>
      <c r="G186" s="125" t="n">
        <v>46209</v>
      </c>
      <c r="H186" s="125" t="n">
        <v>46227</v>
      </c>
      <c r="I186" s="127" t="n">
        <v>40</v>
      </c>
      <c r="J186" s="124">
        <f>IF(I186="","待估算",IF(F186="已完成","已结束",IF(AND(ISNUMBER(G186),ISNUMBER(H186),G186&lt;='项目驾驶舱'!$B$3,H186&gt;='项目驾驶舱'!$B$3),"进行中","计划中")))</f>
        <v/>
      </c>
      <c r="K186" s="124">
        <f>IF(J186="待估算","补充投入工时",IF(AND(H186&lt;'项目驾驶舱'!$B$3,F186&lt;&gt;"已完成"),"确认延期和后续安排","按计划跟踪"))</f>
        <v/>
      </c>
      <c r="L186" s="127" t="n"/>
    </row>
    <row r="187">
      <c r="A187" s="22" t="n"/>
      <c r="B187" s="22" t="n"/>
      <c r="C187" s="124" t="inlineStr">
        <is>
          <t>T066</t>
        </is>
      </c>
      <c r="D187" s="124" t="inlineStr">
        <is>
          <t>装船作业货权跟踪</t>
        </is>
      </c>
      <c r="E187" s="124" t="inlineStr">
        <is>
          <t>第一批次</t>
        </is>
      </c>
      <c r="F187" s="124">
        <f>IF(OR(M69="挂起",M69="暂停",Q69="挂起",Q69="暂停",U69="挂起",U69="暂停",Y69="挂起",Y69="暂停"),"暂停","已完成")</f>
        <v/>
      </c>
      <c r="G187" s="125" t="n">
        <v>46209</v>
      </c>
      <c r="H187" s="125" t="n">
        <v>46227</v>
      </c>
      <c r="I187" s="127" t="n">
        <v>40</v>
      </c>
      <c r="J187" s="124">
        <f>IF(I187="","待估算",IF(F187="已完成","已结束",IF(AND(ISNUMBER(G187),ISNUMBER(H187),G187&lt;='项目驾驶舱'!$B$3,H187&gt;='项目驾驶舱'!$B$3),"进行中","计划中")))</f>
        <v/>
      </c>
      <c r="K187" s="124">
        <f>IF(J187="待估算","补充投入工时",IF(AND(H187&lt;'项目驾驶舱'!$B$3,F187&lt;&gt;"已完成"),"确认延期和后续安排","按计划跟踪"))</f>
        <v/>
      </c>
      <c r="L187" s="127" t="n"/>
    </row>
    <row r="188">
      <c r="A188" s="133" t="inlineStr">
        <is>
          <t>石军磊</t>
        </is>
      </c>
      <c r="B188" s="133" t="inlineStr">
        <is>
          <t>后端</t>
        </is>
      </c>
      <c r="C188" s="124" t="inlineStr">
        <is>
          <t>T067</t>
        </is>
      </c>
      <c r="D188" s="124" t="inlineStr">
        <is>
          <t>装船作业货权跟踪</t>
        </is>
      </c>
      <c r="E188" s="124" t="inlineStr">
        <is>
          <t>第一批次</t>
        </is>
      </c>
      <c r="F188" s="124">
        <f>IF(OR(M70="挂起",M70="暂停",Q70="挂起",Q70="暂停",U70="挂起",U70="暂停",Y70="挂起",Y70="暂停"),"暂停","已完成")</f>
        <v/>
      </c>
      <c r="G188" s="125" t="n">
        <v>46209</v>
      </c>
      <c r="H188" s="125" t="n">
        <v>46227</v>
      </c>
      <c r="I188" s="127" t="n">
        <v>40</v>
      </c>
      <c r="J188" s="124">
        <f>IF(I188="","待估算",IF(F188="已完成","已结束",IF(AND(ISNUMBER(G188),ISNUMBER(H188),G188&lt;='项目驾驶舱'!$B$3,H188&gt;='项目驾驶舱'!$B$3),"进行中","计划中")))</f>
        <v/>
      </c>
      <c r="K188" s="124">
        <f>IF(J188="待估算","补充投入工时",IF(AND(H188&lt;'项目驾驶舱'!$B$3,F188&lt;&gt;"已完成"),"确认延期和后续安排","按计划跟踪"))</f>
        <v/>
      </c>
      <c r="L188" s="127" t="n"/>
    </row>
    <row r="189">
      <c r="C189" s="124" t="inlineStr">
        <is>
          <t>T068</t>
        </is>
      </c>
      <c r="D189" s="124" t="inlineStr">
        <is>
          <t>装船作业货权跟踪</t>
        </is>
      </c>
      <c r="E189" s="124" t="inlineStr">
        <is>
          <t>第一批次</t>
        </is>
      </c>
      <c r="F189" s="124">
        <f>IF(OR(M71="挂起",M71="暂停",Q71="挂起",Q71="暂停",U71="挂起",U71="暂停",Y71="挂起",Y71="暂停"),"暂停","已完成")</f>
        <v/>
      </c>
      <c r="G189" s="125" t="n">
        <v>46209</v>
      </c>
      <c r="H189" s="125" t="n">
        <v>46227</v>
      </c>
      <c r="I189" s="127" t="n">
        <v>40</v>
      </c>
      <c r="J189" s="124">
        <f>IF(I189="","待估算",IF(F189="已完成","已结束",IF(AND(ISNUMBER(G189),ISNUMBER(H189),G189&lt;='项目驾驶舱'!$B$3,H189&gt;='项目驾驶舱'!$B$3),"进行中","计划中")))</f>
        <v/>
      </c>
      <c r="K189" s="124">
        <f>IF(J189="待估算","补充投入工时",IF(AND(H189&lt;'项目驾驶舱'!$B$3,F189&lt;&gt;"已完成"),"确认延期和后续安排","按计划跟踪"))</f>
        <v/>
      </c>
      <c r="L189" s="127" t="n"/>
    </row>
    <row r="190">
      <c r="C190" s="124" t="inlineStr">
        <is>
          <t>T072</t>
        </is>
      </c>
      <c r="D190" s="124" t="inlineStr">
        <is>
          <t>OCR识别</t>
        </is>
      </c>
      <c r="E190" s="124" t="inlineStr">
        <is>
          <t>第一批次</t>
        </is>
      </c>
      <c r="F190" s="124">
        <f>IF(OR(M75="挂起",M75="暂停",Q75="挂起",Q75="暂停",U75="挂起",U75="暂停",Y75="挂起",Y75="暂停"),"暂停","已完成")</f>
        <v/>
      </c>
      <c r="G190" s="125" t="n">
        <v>46209</v>
      </c>
      <c r="H190" s="125" t="n">
        <v>46225</v>
      </c>
      <c r="I190" s="127" t="n">
        <v>40</v>
      </c>
      <c r="J190" s="124">
        <f>IF(I190="","待估算",IF(F190="已完成","已结束",IF(AND(ISNUMBER(G190),ISNUMBER(H190),G190&lt;='项目驾驶舱'!$B$3,H190&gt;='项目驾驶舱'!$B$3),"进行中","计划中")))</f>
        <v/>
      </c>
      <c r="K190" s="124">
        <f>IF(J190="待估算","补充投入工时",IF(AND(H190&lt;'项目驾驶舱'!$B$3,F190&lt;&gt;"已完成"),"确认延期和后续安排","按计划跟踪"))</f>
        <v/>
      </c>
      <c r="L190" s="127" t="n"/>
    </row>
    <row r="191">
      <c r="C191" s="124" t="inlineStr">
        <is>
          <t>T096</t>
        </is>
      </c>
      <c r="D191" s="124" t="inlineStr">
        <is>
          <t>自动生成装船港杂费</t>
        </is>
      </c>
      <c r="E191" s="124" t="inlineStr">
        <is>
          <t>第一批次</t>
        </is>
      </c>
      <c r="F191" s="124">
        <f>IF(OR(M99="挂起",M99="暂停",Q99="挂起",Q99="暂停",U99="挂起",U99="暂停",Y99="挂起",Y99="暂停"),"暂停","已完成")</f>
        <v/>
      </c>
      <c r="G191" s="125" t="n">
        <v>46209</v>
      </c>
      <c r="H191" s="125" t="n">
        <v>46225</v>
      </c>
      <c r="I191" s="127" t="n">
        <v>40</v>
      </c>
      <c r="J191" s="124">
        <f>IF(I191="","待估算",IF(F191="已完成","已结束",IF(AND(ISNUMBER(G191),ISNUMBER(H191),G191&lt;='项目驾驶舱'!$B$3,H191&gt;='项目驾驶舱'!$B$3),"进行中","计划中")))</f>
        <v/>
      </c>
      <c r="K191" s="124">
        <f>IF(J191="待估算","补充投入工时",IF(AND(H191&lt;'项目驾驶舱'!$B$3,F191&lt;&gt;"已完成"),"确认延期和后续安排","按计划跟踪"))</f>
        <v/>
      </c>
      <c r="L191" s="127" t="n"/>
    </row>
    <row r="192">
      <c r="C192" s="124" t="inlineStr">
        <is>
          <t>T073</t>
        </is>
      </c>
      <c r="D192" s="124" t="inlineStr">
        <is>
          <t>采样作业信息录入新增</t>
        </is>
      </c>
      <c r="E192" s="124" t="inlineStr">
        <is>
          <t>第一批次</t>
        </is>
      </c>
      <c r="F192" s="124">
        <f>IF(OR(M76="挂起",M76="暂停",Q76="挂起",Q76="暂停",U76="挂起",U76="暂停",Y76="挂起",Y76="暂停"),"暂停","已完成")</f>
        <v/>
      </c>
      <c r="G192" s="125" t="n">
        <v>46227</v>
      </c>
      <c r="H192" s="125" t="n">
        <v>46227</v>
      </c>
      <c r="I192" s="127" t="n">
        <v>40</v>
      </c>
      <c r="J192" s="124">
        <f>IF(I192="","待估算",IF(F192="已完成","已结束",IF(AND(ISNUMBER(G192),ISNUMBER(H192),G192&lt;='项目驾驶舱'!$B$3,H192&gt;='项目驾驶舱'!$B$3),"进行中","计划中")))</f>
        <v/>
      </c>
      <c r="K192" s="124">
        <f>IF(J192="待估算","补充投入工时",IF(AND(H192&lt;'项目驾驶舱'!$B$3,F192&lt;&gt;"已完成"),"确认延期和后续安排","按计划跟踪"))</f>
        <v/>
      </c>
      <c r="L192" s="127" t="n"/>
    </row>
    <row r="193">
      <c r="C193" s="124" t="inlineStr">
        <is>
          <t>T074</t>
        </is>
      </c>
      <c r="D193" s="124" t="inlineStr">
        <is>
          <t>采样作业信息录入编辑</t>
        </is>
      </c>
      <c r="E193" s="124" t="inlineStr">
        <is>
          <t>第一批次</t>
        </is>
      </c>
      <c r="F193" s="124">
        <f>IF(OR(M77="挂起",M77="暂停",Q77="挂起",Q77="暂停",U77="挂起",U77="暂停",Y77="挂起",Y77="暂停"),"暂停","已完成")</f>
        <v/>
      </c>
      <c r="G193" s="125" t="n">
        <v>46227</v>
      </c>
      <c r="H193" s="125" t="n">
        <v>46227</v>
      </c>
      <c r="I193" s="127" t="n">
        <v>40</v>
      </c>
      <c r="J193" s="124">
        <f>IF(I193="","待估算",IF(F193="已完成","已结束",IF(AND(ISNUMBER(G193),ISNUMBER(H193),G193&lt;='项目驾驶舱'!$B$3,H193&gt;='项目驾驶舱'!$B$3),"进行中","计划中")))</f>
        <v/>
      </c>
      <c r="K193" s="124">
        <f>IF(J193="待估算","补充投入工时",IF(AND(H193&lt;'项目驾驶舱'!$B$3,F193&lt;&gt;"已完成"),"确认延期和后续安排","按计划跟踪"))</f>
        <v/>
      </c>
      <c r="L193" s="127" t="n"/>
    </row>
    <row r="194">
      <c r="C194" s="124" t="inlineStr">
        <is>
          <t>T075</t>
        </is>
      </c>
      <c r="D194" s="124" t="inlineStr">
        <is>
          <t>采样作业信息录入详情</t>
        </is>
      </c>
      <c r="E194" s="124" t="inlineStr">
        <is>
          <t>第一批次</t>
        </is>
      </c>
      <c r="F194" s="124">
        <f>IF(OR(M78="挂起",M78="暂停",Q78="挂起",Q78="暂停",U78="挂起",U78="暂停",Y78="挂起",Y78="暂停"),"暂停","已完成")</f>
        <v/>
      </c>
      <c r="G194" s="125" t="n">
        <v>46227</v>
      </c>
      <c r="H194" s="125" t="n">
        <v>46227</v>
      </c>
      <c r="I194" s="127" t="n">
        <v>40</v>
      </c>
      <c r="J194" s="124">
        <f>IF(I194="","待估算",IF(F194="已完成","已结束",IF(AND(ISNUMBER(G194),ISNUMBER(H194),G194&lt;='项目驾驶舱'!$B$3,H194&gt;='项目驾驶舱'!$B$3),"进行中","计划中")))</f>
        <v/>
      </c>
      <c r="K194" s="124">
        <f>IF(J194="待估算","补充投入工时",IF(AND(H194&lt;'项目驾驶舱'!$B$3,F194&lt;&gt;"已完成"),"确认延期和后续安排","按计划跟踪"))</f>
        <v/>
      </c>
      <c r="L194" s="127" t="n"/>
    </row>
    <row r="195">
      <c r="C195" s="124" t="inlineStr">
        <is>
          <t>T076</t>
        </is>
      </c>
      <c r="D195" s="124" t="inlineStr">
        <is>
          <t>采样作业信息录入删除</t>
        </is>
      </c>
      <c r="E195" s="124" t="inlineStr">
        <is>
          <t>第一批次</t>
        </is>
      </c>
      <c r="F195" s="124">
        <f>IF(OR(M79="挂起",M79="暂停",Q79="挂起",Q79="暂停",U79="挂起",U79="暂停",Y79="挂起",Y79="暂停"),"暂停","已完成")</f>
        <v/>
      </c>
      <c r="G195" s="125" t="n">
        <v>46227</v>
      </c>
      <c r="H195" s="125" t="n">
        <v>46227</v>
      </c>
      <c r="I195" s="127" t="n">
        <v>40</v>
      </c>
      <c r="J195" s="124">
        <f>IF(I195="","待估算",IF(F195="已完成","已结束",IF(AND(ISNUMBER(G195),ISNUMBER(H195),G195&lt;='项目驾驶舱'!$B$3,H195&gt;='项目驾驶舱'!$B$3),"进行中","计划中")))</f>
        <v/>
      </c>
      <c r="K195" s="124">
        <f>IF(J195="待估算","补充投入工时",IF(AND(H195&lt;'项目驾驶舱'!$B$3,F195&lt;&gt;"已完成"),"确认延期和后续安排","按计划跟踪"))</f>
        <v/>
      </c>
      <c r="L195" s="127" t="n"/>
    </row>
    <row r="196">
      <c r="C196" s="124" t="inlineStr">
        <is>
          <t>T077</t>
        </is>
      </c>
      <c r="D196" s="124" t="inlineStr">
        <is>
          <t>采样作业信息录入列表</t>
        </is>
      </c>
      <c r="E196" s="124" t="inlineStr">
        <is>
          <t>第一批次</t>
        </is>
      </c>
      <c r="F196" s="124">
        <f>IF(OR(M80="挂起",M80="暂停",Q80="挂起",Q80="暂停",U80="挂起",U80="暂停",Y80="挂起",Y80="暂停"),"暂停","已完成")</f>
        <v/>
      </c>
      <c r="G196" s="125" t="n">
        <v>46227</v>
      </c>
      <c r="H196" s="125" t="n">
        <v>46227</v>
      </c>
      <c r="I196" s="127" t="n">
        <v>40</v>
      </c>
      <c r="J196" s="124">
        <f>IF(I196="","待估算",IF(F196="已完成","已结束",IF(AND(ISNUMBER(G196),ISNUMBER(H196),G196&lt;='项目驾驶舱'!$B$3,H196&gt;='项目驾驶舱'!$B$3),"进行中","计划中")))</f>
        <v/>
      </c>
      <c r="K196" s="124">
        <f>IF(J196="待估算","补充投入工时",IF(AND(H196&lt;'项目驾驶舱'!$B$3,F196&lt;&gt;"已完成"),"确认延期和后续安排","按计划跟踪"))</f>
        <v/>
      </c>
      <c r="L196" s="127" t="n"/>
    </row>
    <row r="197">
      <c r="C197" s="124" t="inlineStr">
        <is>
          <t>T097</t>
        </is>
      </c>
      <c r="D197" s="124" t="inlineStr">
        <is>
          <t>自动生成租赁费</t>
        </is>
      </c>
      <c r="E197" s="124" t="inlineStr">
        <is>
          <t>第一批次</t>
        </is>
      </c>
      <c r="F197" s="124">
        <f>IF(OR(M100="挂起",M100="暂停",Q100="挂起",Q100="暂停",U100="挂起",U100="暂停",Y100="挂起",Y100="暂停"),"暂停","已完成")</f>
        <v/>
      </c>
      <c r="G197" s="125" t="n">
        <v>46227</v>
      </c>
      <c r="H197" s="125" t="n">
        <v>46227</v>
      </c>
      <c r="I197" s="127" t="n">
        <v>40</v>
      </c>
      <c r="J197" s="124">
        <f>IF(I197="","待估算",IF(F197="已完成","已结束",IF(AND(ISNUMBER(G197),ISNUMBER(H197),G197&lt;='项目驾驶舱'!$B$3,H197&gt;='项目驾驶舱'!$B$3),"进行中","计划中")))</f>
        <v/>
      </c>
      <c r="K197" s="124">
        <f>IF(J197="待估算","补充投入工时",IF(AND(H197&lt;'项目驾驶舱'!$B$3,F197&lt;&gt;"已完成"),"确认延期和后续安排","按计划跟踪"))</f>
        <v/>
      </c>
      <c r="L197" s="127" t="n"/>
    </row>
    <row r="198">
      <c r="C198" s="124" t="inlineStr">
        <is>
          <t>T098</t>
        </is>
      </c>
      <c r="D198" s="124" t="inlineStr">
        <is>
          <t>优化装卸费新增</t>
        </is>
      </c>
      <c r="E198" s="124" t="inlineStr">
        <is>
          <t>第一批次</t>
        </is>
      </c>
      <c r="F198" s="124">
        <f>IF(OR(M101="挂起",M101="暂停",Q101="挂起",Q101="暂停",U101="挂起",U101="暂停",Y101="挂起",Y101="暂停"),"暂停","已完成")</f>
        <v/>
      </c>
      <c r="G198" s="125" t="n">
        <v>46227</v>
      </c>
      <c r="H198" s="125" t="n">
        <v>46227</v>
      </c>
      <c r="I198" s="127" t="n">
        <v>40</v>
      </c>
      <c r="J198" s="124">
        <f>IF(I198="","待估算",IF(F198="已完成","已结束",IF(AND(ISNUMBER(G198),ISNUMBER(H198),G198&lt;='项目驾驶舱'!$B$3,H198&gt;='项目驾驶舱'!$B$3),"进行中","计划中")))</f>
        <v/>
      </c>
      <c r="K198" s="124">
        <f>IF(J198="待估算","补充投入工时",IF(AND(H198&lt;'项目驾驶舱'!$B$3,F198&lt;&gt;"已完成"),"确认延期和后续安排","按计划跟踪"))</f>
        <v/>
      </c>
      <c r="L198" s="127" t="n"/>
    </row>
    <row r="199">
      <c r="A199" s="22" t="n"/>
      <c r="B199" s="22" t="n"/>
      <c r="C199" s="124" t="inlineStr">
        <is>
          <t>T099</t>
        </is>
      </c>
      <c r="D199" s="124" t="inlineStr">
        <is>
          <t>优化装卸费编辑</t>
        </is>
      </c>
      <c r="E199" s="124" t="inlineStr">
        <is>
          <t>第一批次</t>
        </is>
      </c>
      <c r="F199" s="124">
        <f>IF(OR(M102="挂起",M102="暂停",Q102="挂起",Q102="暂停",U102="挂起",U102="暂停",Y102="挂起",Y102="暂停"),"暂停","已完成")</f>
        <v/>
      </c>
      <c r="G199" s="125" t="n">
        <v>46227</v>
      </c>
      <c r="H199" s="125" t="n">
        <v>46227</v>
      </c>
      <c r="I199" s="127" t="n">
        <v>40</v>
      </c>
      <c r="J199" s="124">
        <f>IF(I199="","待估算",IF(F199="已完成","已结束",IF(AND(ISNUMBER(G199),ISNUMBER(H199),G199&lt;='项目驾驶舱'!$B$3,H199&gt;='项目驾驶舱'!$B$3),"进行中","计划中")))</f>
        <v/>
      </c>
      <c r="K199" s="124">
        <f>IF(J199="待估算","补充投入工时",IF(AND(H199&lt;'项目驾驶舱'!$B$3,F199&lt;&gt;"已完成"),"确认延期和后续安排","按计划跟踪"))</f>
        <v/>
      </c>
      <c r="L199" s="127" t="n"/>
    </row>
    <row r="200">
      <c r="A200" s="133" t="inlineStr">
        <is>
          <t>石军磊</t>
        </is>
      </c>
      <c r="B200" s="133" t="inlineStr">
        <is>
          <t>后端</t>
        </is>
      </c>
      <c r="C200" s="124" t="inlineStr">
        <is>
          <t>T037</t>
        </is>
      </c>
      <c r="D200" s="124" t="inlineStr">
        <is>
          <t>创建卸车流程</t>
        </is>
      </c>
      <c r="E200" s="124" t="inlineStr">
        <is>
          <t>第一批次</t>
        </is>
      </c>
      <c r="F200" s="124">
        <f>IF(OR(M40="挂起",M40="暂停",Q40="挂起",Q40="暂停",U40="挂起",U40="暂停",Y40="挂起",Y40="暂停"),"暂停","已完成")</f>
        <v/>
      </c>
      <c r="G200" s="125" t="n">
        <v>46230</v>
      </c>
      <c r="H200" s="125" t="n">
        <v>46262</v>
      </c>
      <c r="I200" s="127" t="n">
        <v>40</v>
      </c>
      <c r="J200" s="124">
        <f>IF(I200="","待估算",IF(F200="已完成","已结束",IF(AND(ISNUMBER(G200),ISNUMBER(H200),G200&lt;='项目驾驶舱'!$B$3,H200&gt;='项目驾驶舱'!$B$3),"进行中","计划中")))</f>
        <v/>
      </c>
      <c r="K200" s="124">
        <f>IF(J200="待估算","补充投入工时",IF(AND(H200&lt;'项目驾驶舱'!$B$3,F200&lt;&gt;"已完成"),"确认延期和后续安排","按计划跟踪"))</f>
        <v/>
      </c>
      <c r="L200" s="127" t="n"/>
    </row>
    <row r="201">
      <c r="C201" s="124" t="inlineStr">
        <is>
          <t>T038</t>
        </is>
      </c>
      <c r="D201" s="124" t="inlineStr">
        <is>
          <t>查询卸车流程</t>
        </is>
      </c>
      <c r="E201" s="124" t="inlineStr">
        <is>
          <t>第一批次</t>
        </is>
      </c>
      <c r="F201" s="124">
        <f>IF(OR(M41="挂起",M41="暂停",Q41="挂起",Q41="暂停",U41="挂起",U41="暂停",Y41="挂起",Y41="暂停"),"暂停","已完成")</f>
        <v/>
      </c>
      <c r="G201" s="125" t="n">
        <v>46230</v>
      </c>
      <c r="H201" s="125" t="n">
        <v>46262</v>
      </c>
      <c r="I201" s="127" t="n">
        <v>40</v>
      </c>
      <c r="J201" s="124">
        <f>IF(I201="","待估算",IF(F201="已完成","已结束",IF(AND(ISNUMBER(G201),ISNUMBER(H201),G201&lt;='项目驾驶舱'!$B$3,H201&gt;='项目驾驶舱'!$B$3),"进行中","计划中")))</f>
        <v/>
      </c>
      <c r="K201" s="124">
        <f>IF(J201="待估算","补充投入工时",IF(AND(H201&lt;'项目驾驶舱'!$B$3,F201&lt;&gt;"已完成"),"确认延期和后续安排","按计划跟踪"))</f>
        <v/>
      </c>
      <c r="L201" s="127" t="n"/>
    </row>
    <row r="202">
      <c r="C202" s="124" t="inlineStr">
        <is>
          <t>T039</t>
        </is>
      </c>
      <c r="D202" s="124" t="inlineStr">
        <is>
          <t>修改卸车流程</t>
        </is>
      </c>
      <c r="E202" s="124" t="inlineStr">
        <is>
          <t>第一批次</t>
        </is>
      </c>
      <c r="F202" s="124">
        <f>IF(OR(M42="挂起",M42="暂停",Q42="挂起",Q42="暂停",U42="挂起",U42="暂停",Y42="挂起",Y42="暂停"),"暂停","已完成")</f>
        <v/>
      </c>
      <c r="G202" s="125" t="n">
        <v>46230</v>
      </c>
      <c r="H202" s="125" t="n">
        <v>46262</v>
      </c>
      <c r="I202" s="127" t="n">
        <v>40</v>
      </c>
      <c r="J202" s="124">
        <f>IF(I202="","待估算",IF(F202="已完成","已结束",IF(AND(ISNUMBER(G202),ISNUMBER(H202),G202&lt;='项目驾驶舱'!$B$3,H202&gt;='项目驾驶舱'!$B$3),"进行中","计划中")))</f>
        <v/>
      </c>
      <c r="K202" s="124">
        <f>IF(J202="待估算","补充投入工时",IF(AND(H202&lt;'项目驾驶舱'!$B$3,F202&lt;&gt;"已完成"),"确认延期和后续安排","按计划跟踪"))</f>
        <v/>
      </c>
      <c r="L202" s="127" t="n"/>
    </row>
    <row r="203">
      <c r="C203" s="124" t="inlineStr">
        <is>
          <t>T040</t>
        </is>
      </c>
      <c r="D203" s="124" t="inlineStr">
        <is>
          <t>创建装船流程</t>
        </is>
      </c>
      <c r="E203" s="124" t="inlineStr">
        <is>
          <t>第一批次</t>
        </is>
      </c>
      <c r="F203" s="124">
        <f>IF(OR(M43="挂起",M43="暂停",Q43="挂起",Q43="暂停",U43="挂起",U43="暂停",Y43="挂起",Y43="暂停"),"暂停","已完成")</f>
        <v/>
      </c>
      <c r="G203" s="125" t="n">
        <v>46230</v>
      </c>
      <c r="H203" s="125" t="n">
        <v>46262</v>
      </c>
      <c r="I203" s="127" t="n">
        <v>40</v>
      </c>
      <c r="J203" s="124">
        <f>IF(I203="","待估算",IF(F203="已完成","已结束",IF(AND(ISNUMBER(G203),ISNUMBER(H203),G203&lt;='项目驾驶舱'!$B$3,H203&gt;='项目驾驶舱'!$B$3),"进行中","计划中")))</f>
        <v/>
      </c>
      <c r="K203" s="124">
        <f>IF(J203="待估算","补充投入工时",IF(AND(H203&lt;'项目驾驶舱'!$B$3,F203&lt;&gt;"已完成"),"确认延期和后续安排","按计划跟踪"))</f>
        <v/>
      </c>
      <c r="L203" s="127" t="n"/>
    </row>
    <row r="204">
      <c r="C204" s="124" t="inlineStr">
        <is>
          <t>T041</t>
        </is>
      </c>
      <c r="D204" s="124" t="inlineStr">
        <is>
          <t>查询装船流程</t>
        </is>
      </c>
      <c r="E204" s="124" t="inlineStr">
        <is>
          <t>第一批次</t>
        </is>
      </c>
      <c r="F204" s="124">
        <f>IF(OR(M44="挂起",M44="暂停",Q44="挂起",Q44="暂停",U44="挂起",U44="暂停",Y44="挂起",Y44="暂停"),"暂停","已完成")</f>
        <v/>
      </c>
      <c r="G204" s="125" t="n">
        <v>46230</v>
      </c>
      <c r="H204" s="125" t="n">
        <v>46262</v>
      </c>
      <c r="I204" s="127" t="n">
        <v>40</v>
      </c>
      <c r="J204" s="124">
        <f>IF(I204="","待估算",IF(F204="已完成","已结束",IF(AND(ISNUMBER(G204),ISNUMBER(H204),G204&lt;='项目驾驶舱'!$B$3,H204&gt;='项目驾驶舱'!$B$3),"进行中","计划中")))</f>
        <v/>
      </c>
      <c r="K204" s="124">
        <f>IF(J204="待估算","补充投入工时",IF(AND(H204&lt;'项目驾驶舱'!$B$3,F204&lt;&gt;"已完成"),"确认延期和后续安排","按计划跟踪"))</f>
        <v/>
      </c>
      <c r="L204" s="127" t="n"/>
    </row>
    <row r="205">
      <c r="C205" s="124" t="inlineStr">
        <is>
          <t>T042</t>
        </is>
      </c>
      <c r="D205" s="124" t="inlineStr">
        <is>
          <t>修改装船流程</t>
        </is>
      </c>
      <c r="E205" s="124" t="inlineStr">
        <is>
          <t>第一批次</t>
        </is>
      </c>
      <c r="F205" s="124">
        <f>IF(OR(M45="挂起",M45="暂停",Q45="挂起",Q45="暂停",U45="挂起",U45="暂停",Y45="挂起",Y45="暂停"),"暂停","已完成")</f>
        <v/>
      </c>
      <c r="G205" s="125" t="n">
        <v>46230</v>
      </c>
      <c r="H205" s="125" t="n">
        <v>46262</v>
      </c>
      <c r="I205" s="127" t="n">
        <v>40</v>
      </c>
      <c r="J205" s="124">
        <f>IF(I205="","待估算",IF(F205="已完成","已结束",IF(AND(ISNUMBER(G205),ISNUMBER(H205),G205&lt;='项目驾驶舱'!$B$3,H205&gt;='项目驾驶舱'!$B$3),"进行中","计划中")))</f>
        <v/>
      </c>
      <c r="K205" s="124">
        <f>IF(J205="待估算","补充投入工时",IF(AND(H205&lt;'项目驾驶舱'!$B$3,F205&lt;&gt;"已完成"),"确认延期和后续安排","按计划跟踪"))</f>
        <v/>
      </c>
      <c r="L205" s="127" t="n"/>
    </row>
    <row r="206">
      <c r="C206" s="124" t="inlineStr">
        <is>
          <t>T043</t>
        </is>
      </c>
      <c r="D206" s="124" t="inlineStr">
        <is>
          <t>创建卸船流程</t>
        </is>
      </c>
      <c r="E206" s="124" t="inlineStr">
        <is>
          <t>第二批次</t>
        </is>
      </c>
      <c r="F206" s="124">
        <f>IF(OR(M46="挂起",M46="暂停",Q46="挂起",Q46="暂停",U46="挂起",U46="暂停",Y46="挂起",Y46="暂停"),"暂停","已完成")</f>
        <v/>
      </c>
      <c r="G206" s="125" t="n">
        <v>46230</v>
      </c>
      <c r="H206" s="125" t="n">
        <v>46262</v>
      </c>
      <c r="I206" s="127" t="n">
        <v>40</v>
      </c>
      <c r="J206" s="124">
        <f>IF(I206="","待估算",IF(F206="已完成","已结束",IF(AND(ISNUMBER(G206),ISNUMBER(H206),G206&lt;='项目驾驶舱'!$B$3,H206&gt;='项目驾驶舱'!$B$3),"进行中","计划中")))</f>
        <v/>
      </c>
      <c r="K206" s="124">
        <f>IF(J206="待估算","补充投入工时",IF(AND(H206&lt;'项目驾驶舱'!$B$3,F206&lt;&gt;"已完成"),"确认延期和后续安排","按计划跟踪"))</f>
        <v/>
      </c>
      <c r="L206" s="127" t="n"/>
    </row>
    <row r="207">
      <c r="C207" s="124" t="inlineStr">
        <is>
          <t>T044</t>
        </is>
      </c>
      <c r="D207" s="124" t="inlineStr">
        <is>
          <t>查询卸船流程</t>
        </is>
      </c>
      <c r="E207" s="124" t="inlineStr">
        <is>
          <t>第二批次</t>
        </is>
      </c>
      <c r="F207" s="124">
        <f>IF(OR(M47="挂起",M47="暂停",Q47="挂起",Q47="暂停",U47="挂起",U47="暂停",Y47="挂起",Y47="暂停"),"暂停","已完成")</f>
        <v/>
      </c>
      <c r="G207" s="125" t="n">
        <v>46230</v>
      </c>
      <c r="H207" s="125" t="n">
        <v>46262</v>
      </c>
      <c r="I207" s="127" t="n">
        <v>40</v>
      </c>
      <c r="J207" s="124">
        <f>IF(I207="","待估算",IF(F207="已完成","已结束",IF(AND(ISNUMBER(G207),ISNUMBER(H207),G207&lt;='项目驾驶舱'!$B$3,H207&gt;='项目驾驶舱'!$B$3),"进行中","计划中")))</f>
        <v/>
      </c>
      <c r="K207" s="124">
        <f>IF(J207="待估算","补充投入工时",IF(AND(H207&lt;'项目驾驶舱'!$B$3,F207&lt;&gt;"已完成"),"确认延期和后续安排","按计划跟踪"))</f>
        <v/>
      </c>
      <c r="L207" s="127" t="n"/>
    </row>
    <row r="208">
      <c r="C208" s="124" t="inlineStr">
        <is>
          <t>T045</t>
        </is>
      </c>
      <c r="D208" s="124" t="inlineStr">
        <is>
          <t>修改卸船流程</t>
        </is>
      </c>
      <c r="E208" s="124" t="inlineStr">
        <is>
          <t>第二批次</t>
        </is>
      </c>
      <c r="F208" s="124">
        <f>IF(OR(M48="挂起",M48="暂停",Q48="挂起",Q48="暂停",U48="挂起",U48="暂停",Y48="挂起",Y48="暂停"),"暂停","已完成")</f>
        <v/>
      </c>
      <c r="G208" s="125" t="n">
        <v>46230</v>
      </c>
      <c r="H208" s="125" t="n">
        <v>46262</v>
      </c>
      <c r="I208" s="127" t="n">
        <v>40</v>
      </c>
      <c r="J208" s="124">
        <f>IF(I208="","待估算",IF(F208="已完成","已结束",IF(AND(ISNUMBER(G208),ISNUMBER(H208),G208&lt;='项目驾驶舱'!$B$3,H208&gt;='项目驾驶舱'!$B$3),"进行中","计划中")))</f>
        <v/>
      </c>
      <c r="K208" s="124">
        <f>IF(J208="待估算","补充投入工时",IF(AND(H208&lt;'项目驾驶舱'!$B$3,F208&lt;&gt;"已完成"),"确认延期和后续安排","按计划跟踪"))</f>
        <v/>
      </c>
      <c r="L208" s="127" t="n"/>
    </row>
    <row r="209">
      <c r="C209" s="124" t="inlineStr">
        <is>
          <t>T059</t>
        </is>
      </c>
      <c r="D209" s="124" t="inlineStr">
        <is>
          <t>优化新增装车作业信息</t>
        </is>
      </c>
      <c r="E209" s="124" t="inlineStr">
        <is>
          <t>第一批次</t>
        </is>
      </c>
      <c r="F209" s="124">
        <f>IF(OR(M62="挂起",M62="暂停",Q62="挂起",Q62="暂停",U62="挂起",U62="暂停",Y62="挂起",Y62="暂停"),"暂停","已完成")</f>
        <v/>
      </c>
      <c r="G209" s="125" t="n">
        <v>46230</v>
      </c>
      <c r="H209" s="125" t="n">
        <v>46241</v>
      </c>
      <c r="I209" s="127" t="n">
        <v>40</v>
      </c>
      <c r="J209" s="124">
        <f>IF(I209="","待估算",IF(F209="已完成","已结束",IF(AND(ISNUMBER(G209),ISNUMBER(H209),G209&lt;='项目驾驶舱'!$B$3,H209&gt;='项目驾驶舱'!$B$3),"进行中","计划中")))</f>
        <v/>
      </c>
      <c r="K209" s="124">
        <f>IF(J209="待估算","补充投入工时",IF(AND(H209&lt;'项目驾驶舱'!$B$3,F209&lt;&gt;"已完成"),"确认延期和后续安排","按计划跟踪"))</f>
        <v/>
      </c>
      <c r="L209" s="127" t="n"/>
    </row>
    <row r="210">
      <c r="C210" s="124" t="inlineStr">
        <is>
          <t>T104</t>
        </is>
      </c>
      <c r="D210" s="124" t="inlineStr">
        <is>
          <t>吞吐量统计（曹妃甸）</t>
        </is>
      </c>
      <c r="E210" s="124" t="inlineStr">
        <is>
          <t>第一批次</t>
        </is>
      </c>
      <c r="F210" s="124">
        <f>IF(OR(M107="挂起",M107="暂停",Q107="挂起",Q107="暂停",U107="挂起",U107="暂停",Y107="挂起",Y107="暂停"),"暂停","已完成")</f>
        <v/>
      </c>
      <c r="G210" s="125" t="n">
        <v>46230</v>
      </c>
      <c r="H210" s="125" t="n">
        <v>46262</v>
      </c>
      <c r="I210" s="127" t="n">
        <v>40</v>
      </c>
      <c r="J210" s="124">
        <f>IF(I210="","待估算",IF(F210="已完成","已结束",IF(AND(ISNUMBER(G210),ISNUMBER(H210),G210&lt;='项目驾驶舱'!$B$3,H210&gt;='项目驾驶舱'!$B$3),"进行中","计划中")))</f>
        <v/>
      </c>
      <c r="K210" s="124">
        <f>IF(J210="待估算","补充投入工时",IF(AND(H210&lt;'项目驾驶舱'!$B$3,F210&lt;&gt;"已完成"),"确认延期和后续安排","按计划跟踪"))</f>
        <v/>
      </c>
      <c r="L210" s="127" t="n"/>
    </row>
    <row r="211">
      <c r="A211" s="22" t="n"/>
      <c r="B211" s="22" t="n"/>
      <c r="C211" s="124" t="inlineStr">
        <is>
          <t>T105</t>
        </is>
      </c>
      <c r="D211" s="124" t="inlineStr">
        <is>
          <t>泊位占用率分析（曹妃甸）</t>
        </is>
      </c>
      <c r="E211" s="124" t="inlineStr">
        <is>
          <t>第一批次</t>
        </is>
      </c>
      <c r="F211" s="124">
        <f>IF(OR(M108="挂起",M108="暂停",Q108="挂起",Q108="暂停",U108="挂起",U108="暂停",Y108="挂起",Y108="暂停"),"暂停","已完成")</f>
        <v/>
      </c>
      <c r="G211" s="125" t="n">
        <v>46230</v>
      </c>
      <c r="H211" s="125" t="n">
        <v>46262</v>
      </c>
      <c r="I211" s="127" t="n">
        <v>40</v>
      </c>
      <c r="J211" s="124">
        <f>IF(I211="","待估算",IF(F211="已完成","已结束",IF(AND(ISNUMBER(G211),ISNUMBER(H211),G211&lt;='项目驾驶舱'!$B$3,H211&gt;='项目驾驶舱'!$B$3),"进行中","计划中")))</f>
        <v/>
      </c>
      <c r="K211" s="124">
        <f>IF(J211="待估算","补充投入工时",IF(AND(H211&lt;'项目驾驶舱'!$B$3,F211&lt;&gt;"已完成"),"确认延期和后续安排","按计划跟踪"))</f>
        <v/>
      </c>
      <c r="L211" s="127" t="n"/>
    </row>
    <row r="212">
      <c r="A212" s="133" t="inlineStr">
        <is>
          <t>石军磊</t>
        </is>
      </c>
      <c r="B212" s="133" t="inlineStr">
        <is>
          <t>后端</t>
        </is>
      </c>
      <c r="C212" s="124" t="inlineStr">
        <is>
          <t>T106</t>
        </is>
      </c>
      <c r="D212" s="124" t="inlineStr">
        <is>
          <t>堆存库存统计（曹妃甸）</t>
        </is>
      </c>
      <c r="E212" s="124" t="inlineStr">
        <is>
          <t>第一批次</t>
        </is>
      </c>
      <c r="F212" s="124">
        <f>IF(OR(M109="挂起",M109="暂停",Q109="挂起",Q109="暂停",U109="挂起",U109="暂停",Y109="挂起",Y109="暂停"),"暂停","已完成")</f>
        <v/>
      </c>
      <c r="G212" s="125" t="n">
        <v>46230</v>
      </c>
      <c r="H212" s="125" t="n">
        <v>46262</v>
      </c>
      <c r="I212" s="127" t="n">
        <v>40</v>
      </c>
      <c r="J212" s="124">
        <f>IF(I212="","待估算",IF(F212="已完成","已结束",IF(AND(ISNUMBER(G212),ISNUMBER(H212),G212&lt;='项目驾驶舱'!$B$3,H212&gt;='项目驾驶舱'!$B$3),"进行中","计划中")))</f>
        <v/>
      </c>
      <c r="K212" s="124">
        <f>IF(J212="待估算","补充投入工时",IF(AND(H212&lt;'项目驾驶舱'!$B$3,F212&lt;&gt;"已完成"),"确认延期和后续安排","按计划跟踪"))</f>
        <v/>
      </c>
      <c r="L212" s="127" t="n"/>
    </row>
    <row r="213">
      <c r="C213" s="124" t="inlineStr">
        <is>
          <t>T107</t>
        </is>
      </c>
      <c r="D213" s="124" t="inlineStr">
        <is>
          <t>分货主实时统计表（曹妃甸）</t>
        </is>
      </c>
      <c r="E213" s="124" t="inlineStr">
        <is>
          <t>第一批次</t>
        </is>
      </c>
      <c r="F213" s="124">
        <f>IF(OR(M110="挂起",M110="暂停",Q110="挂起",Q110="暂停",U110="挂起",U110="暂停",Y110="挂起",Y110="暂停"),"暂停","已完成")</f>
        <v/>
      </c>
      <c r="G213" s="125" t="n">
        <v>46230</v>
      </c>
      <c r="H213" s="125" t="n">
        <v>46262</v>
      </c>
      <c r="I213" s="127" t="n">
        <v>40</v>
      </c>
      <c r="J213" s="124">
        <f>IF(I213="","待估算",IF(F213="已完成","已结束",IF(AND(ISNUMBER(G213),ISNUMBER(H213),G213&lt;='项目驾驶舱'!$B$3,H213&gt;='项目驾驶舱'!$B$3),"进行中","计划中")))</f>
        <v/>
      </c>
      <c r="K213" s="124">
        <f>IF(J213="待估算","补充投入工时",IF(AND(H213&lt;'项目驾驶舱'!$B$3,F213&lt;&gt;"已完成"),"确认延期和后续安排","按计划跟踪"))</f>
        <v/>
      </c>
      <c r="L213" s="127" t="n"/>
    </row>
    <row r="214">
      <c r="C214" s="124" t="inlineStr">
        <is>
          <t>T108</t>
        </is>
      </c>
      <c r="D214" s="124" t="inlineStr">
        <is>
          <t>综合装船效率分析（曹妃甸）</t>
        </is>
      </c>
      <c r="E214" s="124" t="inlineStr">
        <is>
          <t>第一批次</t>
        </is>
      </c>
      <c r="F214" s="124">
        <f>IF(OR(M111="挂起",M111="暂停",Q111="挂起",Q111="暂停",U111="挂起",U111="暂停",Y111="挂起",Y111="暂停"),"暂停","已完成")</f>
        <v/>
      </c>
      <c r="G214" s="125" t="n">
        <v>46230</v>
      </c>
      <c r="H214" s="125" t="n">
        <v>46262</v>
      </c>
      <c r="I214" s="127" t="n">
        <v>40</v>
      </c>
      <c r="J214" s="124">
        <f>IF(I214="","待估算",IF(F214="已完成","已结束",IF(AND(ISNUMBER(G214),ISNUMBER(H214),G214&lt;='项目驾驶舱'!$B$3,H214&gt;='项目驾驶舱'!$B$3),"进行中","计划中")))</f>
        <v/>
      </c>
      <c r="K214" s="124">
        <f>IF(J214="待估算","补充投入工时",IF(AND(H214&lt;'项目驾驶舱'!$B$3,F214&lt;&gt;"已完成"),"确认延期和后续安排","按计划跟踪"))</f>
        <v/>
      </c>
      <c r="L214" s="127" t="n"/>
    </row>
    <row r="215">
      <c r="C215" s="124" t="inlineStr">
        <is>
          <t>T109</t>
        </is>
      </c>
      <c r="D215" s="124" t="inlineStr">
        <is>
          <t>综合卸车效率分析（曹妃甸）</t>
        </is>
      </c>
      <c r="E215" s="124" t="inlineStr">
        <is>
          <t>第一批次</t>
        </is>
      </c>
      <c r="F215" s="124">
        <f>IF(OR(M112="挂起",M112="暂停",Q112="挂起",Q112="暂停",U112="挂起",U112="暂停",Y112="挂起",Y112="暂停"),"暂停","已完成")</f>
        <v/>
      </c>
      <c r="G215" s="125" t="n">
        <v>46230</v>
      </c>
      <c r="H215" s="125" t="n">
        <v>46262</v>
      </c>
      <c r="I215" s="127" t="n">
        <v>40</v>
      </c>
      <c r="J215" s="124">
        <f>IF(I215="","待估算",IF(F215="已完成","已结束",IF(AND(ISNUMBER(G215),ISNUMBER(H215),G215&lt;='项目驾驶舱'!$B$3,H215&gt;='项目驾驶舱'!$B$3),"进行中","计划中")))</f>
        <v/>
      </c>
      <c r="K215" s="124">
        <f>IF(J215="待估算","补充投入工时",IF(AND(H215&lt;'项目驾驶舱'!$B$3,F215&lt;&gt;"已完成"),"确认延期和后续安排","按计划跟踪"))</f>
        <v/>
      </c>
      <c r="L215" s="127" t="n"/>
    </row>
    <row r="216">
      <c r="C216" s="124" t="inlineStr">
        <is>
          <t>T110</t>
        </is>
      </c>
      <c r="D216" s="124" t="inlineStr">
        <is>
          <t>综合卸船效率分析（曹妃甸）</t>
        </is>
      </c>
      <c r="E216" s="124" t="inlineStr">
        <is>
          <t>第二批次</t>
        </is>
      </c>
      <c r="F216" s="124">
        <f>IF(OR(M113="挂起",M113="暂停",Q113="挂起",Q113="暂停",U113="挂起",U113="暂停",Y113="挂起",Y113="暂停"),"暂停","已完成")</f>
        <v/>
      </c>
      <c r="G216" s="125" t="n">
        <v>46230</v>
      </c>
      <c r="H216" s="125" t="n">
        <v>46262</v>
      </c>
      <c r="I216" s="127" t="n">
        <v>40</v>
      </c>
      <c r="J216" s="124">
        <f>IF(I216="","待估算",IF(F216="已完成","已结束",IF(AND(ISNUMBER(G216),ISNUMBER(H216),G216&lt;='项目驾驶舱'!$B$3,H216&gt;='项目驾驶舱'!$B$3),"进行中","计划中")))</f>
        <v/>
      </c>
      <c r="K216" s="124">
        <f>IF(J216="待估算","补充投入工时",IF(AND(H216&lt;'项目驾驶舱'!$B$3,F216&lt;&gt;"已完成"),"确认延期和后续安排","按计划跟踪"))</f>
        <v/>
      </c>
      <c r="L216" s="127" t="n"/>
    </row>
    <row r="217">
      <c r="C217" s="124" t="inlineStr">
        <is>
          <t>T117</t>
        </is>
      </c>
      <c r="D217" s="124" t="inlineStr">
        <is>
          <t>经营任务情况分析报告</t>
        </is>
      </c>
      <c r="E217" s="124" t="inlineStr">
        <is>
          <t>第一批次</t>
        </is>
      </c>
      <c r="F217" s="124">
        <f>IF(OR(M120="挂起",M120="暂停",Q120="挂起",Q120="暂停",U120="挂起",U120="暂停",Y120="挂起",Y120="暂停"),"暂停","已完成")</f>
        <v/>
      </c>
      <c r="G217" s="125" t="n">
        <v>46230</v>
      </c>
      <c r="H217" s="125" t="n">
        <v>46262</v>
      </c>
      <c r="I217" s="127" t="n">
        <v>40</v>
      </c>
      <c r="J217" s="124">
        <f>IF(I217="","待估算",IF(F217="已完成","已结束",IF(AND(ISNUMBER(G217),ISNUMBER(H217),G217&lt;='项目驾驶舱'!$B$3,H217&gt;='项目驾驶舱'!$B$3),"进行中","计划中")))</f>
        <v/>
      </c>
      <c r="K217" s="124">
        <f>IF(J217="待估算","补充投入工时",IF(AND(H217&lt;'项目驾驶舱'!$B$3,F217&lt;&gt;"已完成"),"确认延期和后续安排","按计划跟踪"))</f>
        <v/>
      </c>
      <c r="L217" s="127" t="n"/>
    </row>
    <row r="218">
      <c r="C218" s="124" t="inlineStr">
        <is>
          <t>T118</t>
        </is>
      </c>
      <c r="D218" s="124" t="inlineStr">
        <is>
          <t>客户月报报告</t>
        </is>
      </c>
      <c r="E218" s="124" t="inlineStr">
        <is>
          <t>第一批次</t>
        </is>
      </c>
      <c r="F218" s="124">
        <f>IF(OR(M121="挂起",M121="暂停",Q121="挂起",Q121="暂停",U121="挂起",U121="暂停",Y121="挂起",Y121="暂停"),"暂停","已完成")</f>
        <v/>
      </c>
      <c r="G218" s="125" t="n">
        <v>46230</v>
      </c>
      <c r="H218" s="125" t="n">
        <v>46262</v>
      </c>
      <c r="I218" s="127" t="n">
        <v>40</v>
      </c>
      <c r="J218" s="124">
        <f>IF(I218="","待估算",IF(F218="已完成","已结束",IF(AND(ISNUMBER(G218),ISNUMBER(H218),G218&lt;='项目驾驶舱'!$B$3,H218&gt;='项目驾驶舱'!$B$3),"进行中","计划中")))</f>
        <v/>
      </c>
      <c r="K218" s="124">
        <f>IF(J218="待估算","补充投入工时",IF(AND(H218&lt;'项目驾驶舱'!$B$3,F218&lt;&gt;"已完成"),"确认延期和后续安排","按计划跟踪"))</f>
        <v/>
      </c>
      <c r="L218" s="127" t="n"/>
    </row>
    <row r="219">
      <c r="C219" s="124" t="inlineStr">
        <is>
          <t>T119</t>
        </is>
      </c>
      <c r="D219" s="124" t="inlineStr">
        <is>
          <t>月度客户情况报告</t>
        </is>
      </c>
      <c r="E219" s="124" t="inlineStr">
        <is>
          <t>第一批次</t>
        </is>
      </c>
      <c r="F219" s="124">
        <f>IF(OR(M122="挂起",M122="暂停",Q122="挂起",Q122="暂停",U122="挂起",U122="暂停",Y122="挂起",Y122="暂停"),"暂停","已完成")</f>
        <v/>
      </c>
      <c r="G219" s="125" t="n">
        <v>46230</v>
      </c>
      <c r="H219" s="125" t="n">
        <v>46262</v>
      </c>
      <c r="I219" s="127" t="n">
        <v>40</v>
      </c>
      <c r="J219" s="124">
        <f>IF(I219="","待估算",IF(F219="已完成","已结束",IF(AND(ISNUMBER(G219),ISNUMBER(H219),G219&lt;='项目驾驶舱'!$B$3,H219&gt;='项目驾驶舱'!$B$3),"进行中","计划中")))</f>
        <v/>
      </c>
      <c r="K219" s="124">
        <f>IF(J219="待估算","补充投入工时",IF(AND(H219&lt;'项目驾驶舱'!$B$3,F219&lt;&gt;"已完成"),"确认延期和后续安排","按计划跟踪"))</f>
        <v/>
      </c>
      <c r="L219" s="127" t="n"/>
    </row>
    <row r="220">
      <c r="C220" s="124" t="inlineStr">
        <is>
          <t>T120</t>
        </is>
      </c>
      <c r="D220" s="124" t="inlineStr">
        <is>
          <t>商务计划周报</t>
        </is>
      </c>
      <c r="E220" s="124" t="inlineStr">
        <is>
          <t>第一批次</t>
        </is>
      </c>
      <c r="F220" s="124">
        <f>IF(OR(M123="挂起",M123="暂停",Q123="挂起",Q123="暂停",U123="挂起",U123="暂停",Y123="挂起",Y123="暂停"),"暂停","已完成")</f>
        <v/>
      </c>
      <c r="G220" s="125" t="n">
        <v>46230</v>
      </c>
      <c r="H220" s="125" t="n">
        <v>46262</v>
      </c>
      <c r="I220" s="127" t="n">
        <v>40</v>
      </c>
      <c r="J220" s="124">
        <f>IF(I220="","待估算",IF(F220="已完成","已结束",IF(AND(ISNUMBER(G220),ISNUMBER(H220),G220&lt;='项目驾驶舱'!$B$3,H220&gt;='项目驾驶舱'!$B$3),"进行中","计划中")))</f>
        <v/>
      </c>
      <c r="K220" s="124">
        <f>IF(J220="待估算","补充投入工时",IF(AND(H220&lt;'项目驾驶舱'!$B$3,F220&lt;&gt;"已完成"),"确认延期和后续安排","按计划跟踪"))</f>
        <v/>
      </c>
      <c r="L220" s="127" t="n"/>
    </row>
    <row r="221">
      <c r="C221" s="124" t="inlineStr">
        <is>
          <t>T138</t>
        </is>
      </c>
      <c r="D221" s="124" t="inlineStr">
        <is>
          <t>查询卸车流程</t>
        </is>
      </c>
      <c r="E221" s="124" t="inlineStr">
        <is>
          <t>第二批次</t>
        </is>
      </c>
      <c r="F221" s="124">
        <f>IF(OR(M141="挂起",M141="暂停",Q141="挂起",Q141="暂停",U141="挂起",U141="暂停",Y141="挂起",Y141="暂停"),"暂停","已完成")</f>
        <v/>
      </c>
      <c r="G221" s="125" t="n">
        <v>46230</v>
      </c>
      <c r="H221" s="125" t="n">
        <v>46262</v>
      </c>
      <c r="I221" s="127" t="n">
        <v>40</v>
      </c>
      <c r="J221" s="124">
        <f>IF(I221="","待估算",IF(F221="已完成","已结束",IF(AND(ISNUMBER(G221),ISNUMBER(H221),G221&lt;='项目驾驶舱'!$B$3,H221&gt;='项目驾驶舱'!$B$3),"进行中","计划中")))</f>
        <v/>
      </c>
      <c r="K221" s="124">
        <f>IF(J221="待估算","补充投入工时",IF(AND(H221&lt;'项目驾驶舱'!$B$3,F221&lt;&gt;"已完成"),"确认延期和后续安排","按计划跟踪"))</f>
        <v/>
      </c>
      <c r="L221" s="127" t="n"/>
    </row>
    <row r="222">
      <c r="C222" s="124" t="inlineStr">
        <is>
          <t>T139</t>
        </is>
      </c>
      <c r="D222" s="124" t="inlineStr">
        <is>
          <t>查询装船流程</t>
        </is>
      </c>
      <c r="E222" s="124" t="inlineStr">
        <is>
          <t>第二批次</t>
        </is>
      </c>
      <c r="F222" s="124">
        <f>IF(OR(M142="挂起",M142="暂停",Q142="挂起",Q142="暂停",U142="挂起",U142="暂停",Y142="挂起",Y142="暂停"),"暂停","已完成")</f>
        <v/>
      </c>
      <c r="G222" s="125" t="n">
        <v>46230</v>
      </c>
      <c r="H222" s="125" t="n">
        <v>46262</v>
      </c>
      <c r="I222" s="127" t="n">
        <v>40</v>
      </c>
      <c r="J222" s="124">
        <f>IF(I222="","待估算",IF(F222="已完成","已结束",IF(AND(ISNUMBER(G222),ISNUMBER(H222),G222&lt;='项目驾驶舱'!$B$3,H222&gt;='项目驾驶舱'!$B$3),"进行中","计划中")))</f>
        <v/>
      </c>
      <c r="K222" s="124">
        <f>IF(J222="待估算","补充投入工时",IF(AND(H222&lt;'项目驾驶舱'!$B$3,F222&lt;&gt;"已完成"),"确认延期和后续安排","按计划跟踪"))</f>
        <v/>
      </c>
      <c r="L222" s="127" t="n"/>
    </row>
    <row r="223">
      <c r="A223" s="22" t="n"/>
      <c r="B223" s="22" t="n"/>
      <c r="C223" s="124" t="inlineStr">
        <is>
          <t>T140</t>
        </is>
      </c>
      <c r="D223" s="124" t="inlineStr">
        <is>
          <t>查询卸船流程</t>
        </is>
      </c>
      <c r="E223" s="124" t="inlineStr">
        <is>
          <t>第二批次</t>
        </is>
      </c>
      <c r="F223" s="124">
        <f>IF(OR(M143="挂起",M143="暂停",Q143="挂起",Q143="暂停",U143="挂起",U143="暂停",Y143="挂起",Y143="暂停"),"暂停","已完成")</f>
        <v/>
      </c>
      <c r="G223" s="125" t="n">
        <v>46230</v>
      </c>
      <c r="H223" s="125" t="n">
        <v>46262</v>
      </c>
      <c r="I223" s="127" t="n">
        <v>40</v>
      </c>
      <c r="J223" s="124">
        <f>IF(I223="","待估算",IF(F223="已完成","已结束",IF(AND(ISNUMBER(G223),ISNUMBER(H223),G223&lt;='项目驾驶舱'!$B$3,H223&gt;='项目驾驶舱'!$B$3),"进行中","计划中")))</f>
        <v/>
      </c>
      <c r="K223" s="124">
        <f>IF(J223="待估算","补充投入工时",IF(AND(H223&lt;'项目驾驶舱'!$B$3,F223&lt;&gt;"已完成"),"确认延期和后续安排","按计划跟踪"))</f>
        <v/>
      </c>
      <c r="L223" s="127" t="n"/>
    </row>
    <row r="224">
      <c r="A224" s="133" t="inlineStr">
        <is>
          <t>石军磊</t>
        </is>
      </c>
      <c r="B224" s="133" t="inlineStr">
        <is>
          <t>后端</t>
        </is>
      </c>
      <c r="C224" s="124" t="inlineStr">
        <is>
          <t>T143</t>
        </is>
      </c>
      <c r="D224" s="124" t="inlineStr">
        <is>
          <t>图片上传</t>
        </is>
      </c>
      <c r="E224" s="124" t="inlineStr">
        <is>
          <t>第一批次</t>
        </is>
      </c>
      <c r="F224" s="124">
        <f>IF(OR(M146="挂起",M146="暂停",Q146="挂起",Q146="暂停",U146="挂起",U146="暂停",Y146="挂起",Y146="暂停"),"暂停","已完成")</f>
        <v/>
      </c>
      <c r="G224" s="125" t="n">
        <v>46237</v>
      </c>
      <c r="H224" s="125" t="n">
        <v>46252</v>
      </c>
      <c r="I224" s="127" t="n">
        <v>40</v>
      </c>
      <c r="J224" s="124">
        <f>IF(I224="","待估算",IF(F224="已完成","已结束",IF(AND(ISNUMBER(G224),ISNUMBER(H224),G224&lt;='项目驾驶舱'!$B$3,H224&gt;='项目驾驶舱'!$B$3),"进行中","计划中")))</f>
        <v/>
      </c>
      <c r="K224" s="124">
        <f>IF(J224="待估算","补充投入工时",IF(AND(H224&lt;'项目驾驶舱'!$B$3,F224&lt;&gt;"已完成"),"确认延期和后续安排","按计划跟踪"))</f>
        <v/>
      </c>
      <c r="L224" s="127" t="n"/>
    </row>
    <row r="225">
      <c r="C225" s="124" t="inlineStr">
        <is>
          <t>T144</t>
        </is>
      </c>
      <c r="D225" s="124" t="inlineStr">
        <is>
          <t>图片上传</t>
        </is>
      </c>
      <c r="E225" s="124" t="inlineStr">
        <is>
          <t>第一批次</t>
        </is>
      </c>
      <c r="F225" s="124">
        <f>IF(OR(M147="挂起",M147="暂停",Q147="挂起",Q147="暂停",U147="挂起",U147="暂停",Y147="挂起",Y147="暂停"),"暂停","已完成")</f>
        <v/>
      </c>
      <c r="G225" s="125" t="n">
        <v>46237</v>
      </c>
      <c r="H225" s="125" t="n">
        <v>46252</v>
      </c>
      <c r="I225" s="127" t="n">
        <v>40</v>
      </c>
      <c r="J225" s="124">
        <f>IF(I225="","待估算",IF(F225="已完成","已结束",IF(AND(ISNUMBER(G225),ISNUMBER(H225),G225&lt;='项目驾驶舱'!$B$3,H225&gt;='项目驾驶舱'!$B$3),"进行中","计划中")))</f>
        <v/>
      </c>
      <c r="K225" s="124">
        <f>IF(J225="待估算","补充投入工时",IF(AND(H225&lt;'项目驾驶舱'!$B$3,F225&lt;&gt;"已完成"),"确认延期和后续安排","按计划跟踪"))</f>
        <v/>
      </c>
      <c r="L225" s="127" t="n"/>
    </row>
    <row r="226">
      <c r="C226" s="124" t="inlineStr">
        <is>
          <t>T145</t>
        </is>
      </c>
      <c r="D226" s="124" t="inlineStr">
        <is>
          <t>图片上传</t>
        </is>
      </c>
      <c r="E226" s="124" t="inlineStr">
        <is>
          <t>第二批次</t>
        </is>
      </c>
      <c r="F226" s="124">
        <f>IF(OR(M148="挂起",M148="暂停",Q148="挂起",Q148="暂停",U148="挂起",U148="暂停",Y148="挂起",Y148="暂停"),"暂停","已完成")</f>
        <v/>
      </c>
      <c r="G226" s="125" t="n">
        <v>46237</v>
      </c>
      <c r="H226" s="125" t="n">
        <v>46252</v>
      </c>
      <c r="I226" s="127" t="n">
        <v>40</v>
      </c>
      <c r="J226" s="124">
        <f>IF(I226="","待估算",IF(F226="已完成","已结束",IF(AND(ISNUMBER(G226),ISNUMBER(H226),G226&lt;='项目驾驶舱'!$B$3,H226&gt;='项目驾驶舱'!$B$3),"进行中","计划中")))</f>
        <v/>
      </c>
      <c r="K226" s="124">
        <f>IF(J226="待估算","补充投入工时",IF(AND(H226&lt;'项目驾驶舱'!$B$3,F226&lt;&gt;"已完成"),"确认延期和后续安排","按计划跟踪"))</f>
        <v/>
      </c>
      <c r="L226" s="127" t="n"/>
    </row>
    <row r="227">
      <c r="C227" s="124" t="inlineStr">
        <is>
          <t>T121</t>
        </is>
      </c>
      <c r="D227" s="124" t="inlineStr">
        <is>
          <t>船舶供应服务查询</t>
        </is>
      </c>
      <c r="E227" s="124" t="inlineStr">
        <is>
          <t>第二批次</t>
        </is>
      </c>
      <c r="F227" s="124">
        <f>IF(OR(M124="挂起",M124="暂停",Q124="挂起",Q124="暂停",U124="挂起",U124="暂停",Y124="挂起",Y124="暂停"),"暂停","已完成")</f>
        <v/>
      </c>
      <c r="G227" s="125" t="n">
        <v>46265</v>
      </c>
      <c r="H227" s="125" t="n">
        <v>46269</v>
      </c>
      <c r="I227" s="127" t="n">
        <v>40</v>
      </c>
      <c r="J227" s="124">
        <f>IF(I227="","待估算",IF(F227="已完成","已结束",IF(AND(ISNUMBER(G227),ISNUMBER(H227),G227&lt;='项目驾驶舱'!$B$3,H227&gt;='项目驾驶舱'!$B$3),"进行中","计划中")))</f>
        <v/>
      </c>
      <c r="K227" s="124">
        <f>IF(J227="待估算","补充投入工时",IF(AND(H227&lt;'项目驾驶舱'!$B$3,F227&lt;&gt;"已完成"),"确认延期和后续安排","按计划跟踪"))</f>
        <v/>
      </c>
      <c r="L227" s="127" t="n"/>
    </row>
    <row r="228">
      <c r="C228" s="124" t="inlineStr">
        <is>
          <t>T122</t>
        </is>
      </c>
      <c r="D228" s="124" t="inlineStr">
        <is>
          <t>船舶预到（内贸）查询</t>
        </is>
      </c>
      <c r="E228" s="124" t="inlineStr">
        <is>
          <t>第二批次</t>
        </is>
      </c>
      <c r="F228" s="124">
        <f>IF(OR(M125="挂起",M125="暂停",Q125="挂起",Q125="暂停",U125="挂起",U125="暂停",Y125="挂起",Y125="暂停"),"暂停","已完成")</f>
        <v/>
      </c>
      <c r="G228" s="125" t="n">
        <v>46265</v>
      </c>
      <c r="H228" s="125" t="n">
        <v>46269</v>
      </c>
      <c r="I228" s="127" t="n">
        <v>40</v>
      </c>
      <c r="J228" s="124">
        <f>IF(I228="","待估算",IF(F228="已完成","已结束",IF(AND(ISNUMBER(G228),ISNUMBER(H228),G228&lt;='项目驾驶舱'!$B$3,H228&gt;='项目驾驶舱'!$B$3),"进行中","计划中")))</f>
        <v/>
      </c>
      <c r="K228" s="124">
        <f>IF(J228="待估算","补充投入工时",IF(AND(H228&lt;'项目驾驶舱'!$B$3,F228&lt;&gt;"已完成"),"确认延期和后续安排","按计划跟踪"))</f>
        <v/>
      </c>
      <c r="L228" s="127" t="n"/>
    </row>
    <row r="229">
      <c r="C229" s="124" t="inlineStr">
        <is>
          <t>T123</t>
        </is>
      </c>
      <c r="D229" s="124" t="inlineStr">
        <is>
          <t>台账查询</t>
        </is>
      </c>
      <c r="E229" s="124" t="inlineStr">
        <is>
          <t>第二批次</t>
        </is>
      </c>
      <c r="F229" s="124">
        <f>IF(OR(M126="挂起",M126="暂停",Q126="挂起",Q126="暂停",U126="挂起",U126="暂停",Y126="挂起",Y126="暂停"),"暂停","已完成")</f>
        <v/>
      </c>
      <c r="G229" s="125" t="n">
        <v>46265</v>
      </c>
      <c r="H229" s="125" t="n">
        <v>46269</v>
      </c>
      <c r="I229" s="127" t="n">
        <v>40</v>
      </c>
      <c r="J229" s="124">
        <f>IF(I229="","待估算",IF(F229="已完成","已结束",IF(AND(ISNUMBER(G229),ISNUMBER(H229),G229&lt;='项目驾驶舱'!$B$3,H229&gt;='项目驾驶舱'!$B$3),"进行中","计划中")))</f>
        <v/>
      </c>
      <c r="K229" s="124">
        <f>IF(J229="待估算","补充投入工时",IF(AND(H229&lt;'项目驾驶舱'!$B$3,F229&lt;&gt;"已完成"),"确认延期和后续安排","按计划跟踪"))</f>
        <v/>
      </c>
      <c r="L229" s="127" t="n"/>
    </row>
    <row r="230">
      <c r="C230" s="124" t="inlineStr">
        <is>
          <t>T124</t>
        </is>
      </c>
      <c r="D230" s="124" t="inlineStr">
        <is>
          <t>停泊费（内贸）查询</t>
        </is>
      </c>
      <c r="E230" s="124" t="inlineStr">
        <is>
          <t>第二批次</t>
        </is>
      </c>
      <c r="F230" s="124">
        <f>IF(OR(M127="挂起",M127="暂停",Q127="挂起",Q127="暂停",U127="挂起",U127="暂停",Y127="挂起",Y127="暂停"),"暂停","已完成")</f>
        <v/>
      </c>
      <c r="G230" s="125" t="n">
        <v>46265</v>
      </c>
      <c r="H230" s="125" t="n">
        <v>46269</v>
      </c>
      <c r="I230" s="127" t="n">
        <v>40</v>
      </c>
      <c r="J230" s="124">
        <f>IF(I230="","待估算",IF(F230="已完成","已结束",IF(AND(ISNUMBER(G230),ISNUMBER(H230),G230&lt;='项目驾驶舱'!$B$3,H230&gt;='项目驾驶舱'!$B$3),"进行中","计划中")))</f>
        <v/>
      </c>
      <c r="K230" s="124">
        <f>IF(J230="待估算","补充投入工时",IF(AND(H230&lt;'项目驾驶舱'!$B$3,F230&lt;&gt;"已完成"),"确认延期和后续安排","按计划跟踪"))</f>
        <v/>
      </c>
      <c r="L230" s="127" t="n"/>
    </row>
    <row r="231">
      <c r="C231" s="124" t="inlineStr">
        <is>
          <t>T125</t>
        </is>
      </c>
      <c r="D231" s="124" t="inlineStr">
        <is>
          <t>船舶供应服务费（内贸）查询</t>
        </is>
      </c>
      <c r="E231" s="124" t="inlineStr">
        <is>
          <t>第二批次</t>
        </is>
      </c>
      <c r="F231" s="124">
        <f>IF(OR(M128="挂起",M128="暂停",Q128="挂起",Q128="暂停",U128="挂起",U128="暂停",Y128="挂起",Y128="暂停"),"暂停","已完成")</f>
        <v/>
      </c>
      <c r="G231" s="125" t="n">
        <v>46265</v>
      </c>
      <c r="H231" s="125" t="n">
        <v>46269</v>
      </c>
      <c r="I231" s="127" t="n">
        <v>40</v>
      </c>
      <c r="J231" s="124">
        <f>IF(I231="","待估算",IF(F231="已完成","已结束",IF(AND(ISNUMBER(G231),ISNUMBER(H231),G231&lt;='项目驾驶舱'!$B$3,H231&gt;='项目驾驶舱'!$B$3),"进行中","计划中")))</f>
        <v/>
      </c>
      <c r="K231" s="124">
        <f>IF(J231="待估算","补充投入工时",IF(AND(H231&lt;'项目驾驶舱'!$B$3,F231&lt;&gt;"已完成"),"确认延期和后续安排","按计划跟踪"))</f>
        <v/>
      </c>
      <c r="L231" s="127" t="n"/>
    </row>
    <row r="232">
      <c r="C232" s="124" t="inlineStr">
        <is>
          <t>T013</t>
        </is>
      </c>
      <c r="D232" s="124" t="inlineStr">
        <is>
          <t>新增结算条款</t>
        </is>
      </c>
      <c r="E232" s="124" t="inlineStr">
        <is>
          <t>第二批次</t>
        </is>
      </c>
      <c r="F232" s="124">
        <f>IF(OR(M16="挂起",M16="暂停",Q16="挂起",Q16="暂停",U16="挂起",U16="暂停",Y16="挂起",Y16="暂停"),"暂停","未开始")</f>
        <v/>
      </c>
      <c r="G232" s="125" t="n">
        <v>46272</v>
      </c>
      <c r="H232" s="125" t="n">
        <v>46304</v>
      </c>
      <c r="I232" s="127" t="n">
        <v>40</v>
      </c>
      <c r="J232" s="124">
        <f>IF(I232="","待估算",IF(F232="已完成","已结束",IF(AND(ISNUMBER(G232),ISNUMBER(H232),G232&lt;='项目驾驶舱'!$B$3,H232&gt;='项目驾驶舱'!$B$3),"进行中","计划中")))</f>
        <v/>
      </c>
      <c r="K232" s="124">
        <f>IF(J232="待估算","补充投入工时",IF(AND(H232&lt;'项目驾驶舱'!$B$3,F232&lt;&gt;"已完成"),"确认延期和后续安排","按计划跟踪"))</f>
        <v/>
      </c>
      <c r="L232" s="127" t="n"/>
    </row>
    <row r="233">
      <c r="C233" s="124" t="inlineStr">
        <is>
          <t>T014</t>
        </is>
      </c>
      <c r="D233" s="124" t="inlineStr">
        <is>
          <t>结算条款审批</t>
        </is>
      </c>
      <c r="E233" s="124" t="inlineStr">
        <is>
          <t>第二批次</t>
        </is>
      </c>
      <c r="F233" s="124">
        <f>IF(OR(M17="挂起",M17="暂停",Q17="挂起",Q17="暂停",U17="挂起",U17="暂停",Y17="挂起",Y17="暂停"),"暂停","未开始")</f>
        <v/>
      </c>
      <c r="G233" s="125" t="n">
        <v>46272</v>
      </c>
      <c r="H233" s="125" t="n">
        <v>46304</v>
      </c>
      <c r="I233" s="127" t="n">
        <v>40</v>
      </c>
      <c r="J233" s="124">
        <f>IF(I233="","待估算",IF(F233="已完成","已结束",IF(AND(ISNUMBER(G233),ISNUMBER(H233),G233&lt;='项目驾驶舱'!$B$3,H233&gt;='项目驾驶舱'!$B$3),"进行中","计划中")))</f>
        <v/>
      </c>
      <c r="K233" s="124">
        <f>IF(J233="待估算","补充投入工时",IF(AND(H233&lt;'项目驾驶舱'!$B$3,F233&lt;&gt;"已完成"),"确认延期和后续安排","按计划跟踪"))</f>
        <v/>
      </c>
      <c r="L233" s="127" t="n"/>
    </row>
    <row r="234">
      <c r="C234" s="124" t="inlineStr">
        <is>
          <t>T015</t>
        </is>
      </c>
      <c r="D234" s="124" t="inlineStr">
        <is>
          <t>修改结算条款</t>
        </is>
      </c>
      <c r="E234" s="124" t="inlineStr">
        <is>
          <t>第二批次</t>
        </is>
      </c>
      <c r="F234" s="124">
        <f>IF(OR(M18="挂起",M18="暂停",Q18="挂起",Q18="暂停",U18="挂起",U18="暂停",Y18="挂起",Y18="暂停"),"暂停","未开始")</f>
        <v/>
      </c>
      <c r="G234" s="125" t="n">
        <v>46272</v>
      </c>
      <c r="H234" s="125" t="n">
        <v>46304</v>
      </c>
      <c r="I234" s="127" t="n">
        <v>40</v>
      </c>
      <c r="J234" s="124">
        <f>IF(I234="","待估算",IF(F234="已完成","已结束",IF(AND(ISNUMBER(G234),ISNUMBER(H234),G234&lt;='项目驾驶舱'!$B$3,H234&gt;='项目驾驶舱'!$B$3),"进行中","计划中")))</f>
        <v/>
      </c>
      <c r="K234" s="124">
        <f>IF(J234="待估算","补充投入工时",IF(AND(H234&lt;'项目驾驶舱'!$B$3,F234&lt;&gt;"已完成"),"确认延期和后续安排","按计划跟踪"))</f>
        <v/>
      </c>
      <c r="L234" s="127" t="n"/>
    </row>
    <row r="235">
      <c r="A235" s="22" t="n"/>
      <c r="B235" s="22" t="n"/>
      <c r="C235" s="124" t="inlineStr">
        <is>
          <t>T016</t>
        </is>
      </c>
      <c r="D235" s="124" t="inlineStr">
        <is>
          <t>删除结算条款</t>
        </is>
      </c>
      <c r="E235" s="124" t="inlineStr">
        <is>
          <t>第二批次</t>
        </is>
      </c>
      <c r="F235" s="124">
        <f>IF(OR(M19="挂起",M19="暂停",Q19="挂起",Q19="暂停",U19="挂起",U19="暂停",Y19="挂起",Y19="暂停"),"暂停","未开始")</f>
        <v/>
      </c>
      <c r="G235" s="125" t="n">
        <v>46272</v>
      </c>
      <c r="H235" s="125" t="n">
        <v>46304</v>
      </c>
      <c r="I235" s="127" t="n">
        <v>40</v>
      </c>
      <c r="J235" s="124">
        <f>IF(I235="","待估算",IF(F235="已完成","已结束",IF(AND(ISNUMBER(G235),ISNUMBER(H235),G235&lt;='项目驾驶舱'!$B$3,H235&gt;='项目驾驶舱'!$B$3),"进行中","计划中")))</f>
        <v/>
      </c>
      <c r="K235" s="124">
        <f>IF(J235="待估算","补充投入工时",IF(AND(H235&lt;'项目驾驶舱'!$B$3,F235&lt;&gt;"已完成"),"确认延期和后续安排","按计划跟踪"))</f>
        <v/>
      </c>
      <c r="L235" s="127" t="n"/>
    </row>
    <row r="236">
      <c r="A236" s="133" t="inlineStr">
        <is>
          <t>石军磊</t>
        </is>
      </c>
      <c r="B236" s="133" t="inlineStr">
        <is>
          <t>后端</t>
        </is>
      </c>
      <c r="C236" s="124" t="inlineStr">
        <is>
          <t>T017</t>
        </is>
      </c>
      <c r="D236" s="124" t="inlineStr">
        <is>
          <t>查询展示结算条款</t>
        </is>
      </c>
      <c r="E236" s="124" t="inlineStr">
        <is>
          <t>第二批次</t>
        </is>
      </c>
      <c r="F236" s="124">
        <f>IF(OR(M20="挂起",M20="暂停",Q20="挂起",Q20="暂停",U20="挂起",U20="暂停",Y20="挂起",Y20="暂停"),"暂停","未开始")</f>
        <v/>
      </c>
      <c r="G236" s="125" t="n">
        <v>46272</v>
      </c>
      <c r="H236" s="125" t="n">
        <v>46304</v>
      </c>
      <c r="I236" s="127" t="n">
        <v>40</v>
      </c>
      <c r="J236" s="124">
        <f>IF(I236="","待估算",IF(F236="已完成","已结束",IF(AND(ISNUMBER(G236),ISNUMBER(H236),G236&lt;='项目驾驶舱'!$B$3,H236&gt;='项目驾驶舱'!$B$3),"进行中","计划中")))</f>
        <v/>
      </c>
      <c r="K236" s="124">
        <f>IF(J236="待估算","补充投入工时",IF(AND(H236&lt;'项目驾驶舱'!$B$3,F236&lt;&gt;"已完成"),"确认延期和后续安排","按计划跟踪"))</f>
        <v/>
      </c>
      <c r="L236" s="127" t="n"/>
    </row>
    <row r="237">
      <c r="C237" s="124" t="inlineStr">
        <is>
          <t>T018</t>
        </is>
      </c>
      <c r="D237" s="124" t="inlineStr">
        <is>
          <t>结算条款推送法务系统</t>
        </is>
      </c>
      <c r="E237" s="124" t="inlineStr">
        <is>
          <t>第二批次</t>
        </is>
      </c>
      <c r="F237" s="124">
        <f>IF(OR(M21="挂起",M21="暂停",Q21="挂起",Q21="暂停",U21="挂起",U21="暂停",Y21="挂起",Y21="暂停"),"暂停","未开始")</f>
        <v/>
      </c>
      <c r="G237" s="125" t="n">
        <v>46272</v>
      </c>
      <c r="H237" s="125" t="n">
        <v>46304</v>
      </c>
      <c r="I237" s="127" t="n">
        <v>40</v>
      </c>
      <c r="J237" s="124">
        <f>IF(I237="","待估算",IF(F237="已完成","已结束",IF(AND(ISNUMBER(G237),ISNUMBER(H237),G237&lt;='项目驾驶舱'!$B$3,H237&gt;='项目驾驶舱'!$B$3),"进行中","计划中")))</f>
        <v/>
      </c>
      <c r="K237" s="124">
        <f>IF(J237="待估算","补充投入工时",IF(AND(H237&lt;'项目驾驶舱'!$B$3,F237&lt;&gt;"已完成"),"确认延期和后续安排","按计划跟踪"))</f>
        <v/>
      </c>
      <c r="L237" s="127" t="n"/>
    </row>
    <row r="238">
      <c r="C238" s="124" t="inlineStr">
        <is>
          <t>T053</t>
        </is>
      </c>
      <c r="D238" s="124" t="inlineStr">
        <is>
          <t>接入港口侧视频监控</t>
        </is>
      </c>
      <c r="E238" s="124" t="inlineStr">
        <is>
          <t>第二批次</t>
        </is>
      </c>
      <c r="F238" s="124">
        <f>IF(OR(M56="挂起",M56="暂停",Q56="挂起",Q56="暂停",U56="挂起",U56="暂停",Y56="挂起",Y56="暂停"),"暂停","未开始")</f>
        <v/>
      </c>
      <c r="G238" s="125" t="n">
        <v>46272</v>
      </c>
      <c r="H238" s="125" t="n">
        <v>46304</v>
      </c>
      <c r="I238" s="127" t="n">
        <v>40</v>
      </c>
      <c r="J238" s="124">
        <f>IF(I238="","待估算",IF(F238="已完成","已结束",IF(AND(ISNUMBER(G238),ISNUMBER(H238),G238&lt;='项目驾驶舱'!$B$3,H238&gt;='项目驾驶舱'!$B$3),"进行中","计划中")))</f>
        <v/>
      </c>
      <c r="K238" s="124">
        <f>IF(J238="待估算","补充投入工时",IF(AND(H238&lt;'项目驾驶舱'!$B$3,F238&lt;&gt;"已完成"),"确认延期和后续安排","按计划跟踪"))</f>
        <v/>
      </c>
      <c r="L238" s="127" t="n"/>
    </row>
    <row r="239">
      <c r="C239" s="124" t="inlineStr">
        <is>
          <t>T054</t>
        </is>
      </c>
      <c r="D239" s="124" t="inlineStr">
        <is>
          <t>视频查看权限申请</t>
        </is>
      </c>
      <c r="E239" s="124" t="inlineStr">
        <is>
          <t>第二批次</t>
        </is>
      </c>
      <c r="F239" s="124">
        <f>IF(OR(M57="挂起",M57="暂停",Q57="挂起",Q57="暂停",U57="挂起",U57="暂停",Y57="挂起",Y57="暂停"),"暂停","未开始")</f>
        <v/>
      </c>
      <c r="G239" s="125" t="n">
        <v>46272</v>
      </c>
      <c r="H239" s="125" t="n">
        <v>46304</v>
      </c>
      <c r="I239" s="127" t="n">
        <v>40</v>
      </c>
      <c r="J239" s="124">
        <f>IF(I239="","待估算",IF(F239="已完成","已结束",IF(AND(ISNUMBER(G239),ISNUMBER(H239),G239&lt;='项目驾驶舱'!$B$3,H239&gt;='项目驾驶舱'!$B$3),"进行中","计划中")))</f>
        <v/>
      </c>
      <c r="K239" s="124">
        <f>IF(J239="待估算","补充投入工时",IF(AND(H239&lt;'项目驾驶舱'!$B$3,F239&lt;&gt;"已完成"),"确认延期和后续安排","按计划跟踪"))</f>
        <v/>
      </c>
      <c r="L239" s="127" t="n"/>
    </row>
    <row r="240">
      <c r="C240" s="124" t="inlineStr">
        <is>
          <t>T055</t>
        </is>
      </c>
      <c r="D240" s="124" t="inlineStr">
        <is>
          <t>视频查看权限审批</t>
        </is>
      </c>
      <c r="E240" s="124" t="inlineStr">
        <is>
          <t>第二批次</t>
        </is>
      </c>
      <c r="F240" s="124">
        <f>IF(OR(M58="挂起",M58="暂停",Q58="挂起",Q58="暂停",U58="挂起",U58="暂停",Y58="挂起",Y58="暂停"),"暂停","未开始")</f>
        <v/>
      </c>
      <c r="G240" s="125" t="n">
        <v>46272</v>
      </c>
      <c r="H240" s="125" t="n">
        <v>46304</v>
      </c>
      <c r="I240" s="127" t="n">
        <v>40</v>
      </c>
      <c r="J240" s="124">
        <f>IF(I240="","待估算",IF(F240="已完成","已结束",IF(AND(ISNUMBER(G240),ISNUMBER(H240),G240&lt;='项目驾驶舱'!$B$3,H240&gt;='项目驾驶舱'!$B$3),"进行中","计划中")))</f>
        <v/>
      </c>
      <c r="K240" s="124">
        <f>IF(J240="待估算","补充投入工时",IF(AND(H240&lt;'项目驾驶舱'!$B$3,F240&lt;&gt;"已完成"),"确认延期和后续安排","按计划跟踪"))</f>
        <v/>
      </c>
      <c r="L240" s="127" t="n"/>
    </row>
    <row r="241">
      <c r="C241" s="124" t="inlineStr">
        <is>
          <t>T056</t>
        </is>
      </c>
      <c r="D241" s="124" t="inlineStr">
        <is>
          <t>视频查看权限有效期控制</t>
        </is>
      </c>
      <c r="E241" s="124" t="inlineStr">
        <is>
          <t>第二批次</t>
        </is>
      </c>
      <c r="F241" s="124">
        <f>IF(OR(M59="挂起",M59="暂停",Q59="挂起",Q59="暂停",U59="挂起",U59="暂停",Y59="挂起",Y59="暂停"),"暂停","未开始")</f>
        <v/>
      </c>
      <c r="G241" s="125" t="n">
        <v>46272</v>
      </c>
      <c r="H241" s="125" t="n">
        <v>46304</v>
      </c>
      <c r="I241" s="127" t="n">
        <v>40</v>
      </c>
      <c r="J241" s="124">
        <f>IF(I241="","待估算",IF(F241="已完成","已结束",IF(AND(ISNUMBER(G241),ISNUMBER(H241),G241&lt;='项目驾驶舱'!$B$3,H241&gt;='项目驾驶舱'!$B$3),"进行中","计划中")))</f>
        <v/>
      </c>
      <c r="K241" s="124">
        <f>IF(J241="待估算","补充投入工时",IF(AND(H241&lt;'项目驾驶舱'!$B$3,F241&lt;&gt;"已完成"),"确认延期和后续安排","按计划跟踪"))</f>
        <v/>
      </c>
      <c r="L241" s="127" t="n"/>
    </row>
    <row r="242">
      <c r="C242" s="124" t="inlineStr">
        <is>
          <t>T057</t>
        </is>
      </c>
      <c r="D242" s="124" t="inlineStr">
        <is>
          <t>外网PC端视频监控查询</t>
        </is>
      </c>
      <c r="E242" s="124" t="inlineStr">
        <is>
          <t>第二批次</t>
        </is>
      </c>
      <c r="F242" s="124">
        <f>IF(OR(M60="挂起",M60="暂停",Q60="挂起",Q60="暂停",U60="挂起",U60="暂停",Y60="挂起",Y60="暂停"),"暂停","未开始")</f>
        <v/>
      </c>
      <c r="G242" s="125" t="n">
        <v>46272</v>
      </c>
      <c r="H242" s="125" t="n">
        <v>46304</v>
      </c>
      <c r="I242" s="127" t="n">
        <v>40</v>
      </c>
      <c r="J242" s="124">
        <f>IF(I242="","待估算",IF(F242="已完成","已结束",IF(AND(ISNUMBER(G242),ISNUMBER(H242),G242&lt;='项目驾驶舱'!$B$3,H242&gt;='项目驾驶舱'!$B$3),"进行中","计划中")))</f>
        <v/>
      </c>
      <c r="K242" s="124">
        <f>IF(J242="待估算","补充投入工时",IF(AND(H242&lt;'项目驾驶舱'!$B$3,F242&lt;&gt;"已完成"),"确认延期和后续安排","按计划跟踪"))</f>
        <v/>
      </c>
      <c r="L242" s="127" t="n"/>
    </row>
    <row r="243">
      <c r="C243" s="124" t="inlineStr">
        <is>
          <t>T141</t>
        </is>
      </c>
      <c r="D243" s="124" t="inlineStr">
        <is>
          <t>视频监控查询</t>
        </is>
      </c>
      <c r="E243" s="124" t="inlineStr">
        <is>
          <t>第二批次</t>
        </is>
      </c>
      <c r="F243" s="124">
        <f>IF(OR(M144="挂起",M144="暂停",Q144="挂起",Q144="暂停",U144="挂起",U144="暂停",Y144="挂起",Y144="暂停"),"暂停","未开始")</f>
        <v/>
      </c>
      <c r="G243" s="125" t="n">
        <v>46272</v>
      </c>
      <c r="H243" s="125" t="n">
        <v>46304</v>
      </c>
      <c r="I243" s="127" t="n">
        <v>40</v>
      </c>
      <c r="J243" s="124">
        <f>IF(I243="","待估算",IF(F243="已完成","已结束",IF(AND(ISNUMBER(G243),ISNUMBER(H243),G243&lt;='项目驾驶舱'!$B$3,H243&gt;='项目驾驶舱'!$B$3),"进行中","计划中")))</f>
        <v/>
      </c>
      <c r="K243" s="124">
        <f>IF(J243="待估算","补充投入工时",IF(AND(H243&lt;'项目驾驶舱'!$B$3,F243&lt;&gt;"已完成"),"确认延期和后续安排","按计划跟踪"))</f>
        <v/>
      </c>
      <c r="L243" s="127" t="n"/>
    </row>
    <row r="244">
      <c r="C244" s="124" t="inlineStr">
        <is>
          <t>T005</t>
        </is>
      </c>
      <c r="D244" s="124" t="inlineStr">
        <is>
          <t>船舶唯一性校验</t>
        </is>
      </c>
      <c r="E244" s="124" t="inlineStr">
        <is>
          <t>第二批次</t>
        </is>
      </c>
      <c r="F244" s="124">
        <f>IF(OR(M8="挂起",M8="暂停",Q8="挂起",Q8="暂停",U8="挂起",U8="暂停",Y8="挂起",Y8="暂停"),"暂停","已完成")</f>
        <v/>
      </c>
      <c r="G244" s="125" t="n">
        <v>46307</v>
      </c>
      <c r="H244" s="125" t="n">
        <v>46339</v>
      </c>
      <c r="I244" s="127" t="n">
        <v>40</v>
      </c>
      <c r="J244" s="124">
        <f>IF(I244="","待估算",IF(F244="已完成","已结束",IF(AND(ISNUMBER(G244),ISNUMBER(H244),G244&lt;='项目驾驶舱'!$B$3,H244&gt;='项目驾驶舱'!$B$3),"进行中","计划中")))</f>
        <v/>
      </c>
      <c r="K244" s="124">
        <f>IF(J244="待估算","补充投入工时",IF(AND(H244&lt;'项目驾驶舱'!$B$3,F244&lt;&gt;"已完成"),"确认延期和后续安排","按计划跟踪"))</f>
        <v/>
      </c>
      <c r="L244" s="127" t="n"/>
    </row>
    <row r="245">
      <c r="C245" s="124" t="inlineStr">
        <is>
          <t>T019</t>
        </is>
      </c>
      <c r="D245" s="124" t="inlineStr">
        <is>
          <t>对接卸船计划</t>
        </is>
      </c>
      <c r="E245" s="124" t="inlineStr">
        <is>
          <t>第二批次</t>
        </is>
      </c>
      <c r="F245" s="124">
        <f>IF(OR(M22="挂起",M22="暂停",Q22="挂起",Q22="暂停",U22="挂起",U22="暂停",Y22="挂起",Y22="暂停"),"暂停","进行中")</f>
        <v/>
      </c>
      <c r="G245" s="125" t="n">
        <v>46307</v>
      </c>
      <c r="H245" s="125" t="n">
        <v>46339</v>
      </c>
      <c r="I245" s="127" t="n">
        <v>40</v>
      </c>
      <c r="J245" s="124">
        <f>IF(I245="","待估算",IF(F245="已完成","已结束",IF(AND(ISNUMBER(G245),ISNUMBER(H245),G245&lt;='项目驾驶舱'!$B$3,H245&gt;='项目驾驶舱'!$B$3),"进行中","计划中")))</f>
        <v/>
      </c>
      <c r="K245" s="124">
        <f>IF(J245="待估算","补充投入工时",IF(AND(H245&lt;'项目驾驶舱'!$B$3,F245&lt;&gt;"已完成"),"确认延期和后续安排","按计划跟踪"))</f>
        <v/>
      </c>
      <c r="L245" s="127" t="n"/>
    </row>
    <row r="246">
      <c r="C246" s="124" t="inlineStr">
        <is>
          <t>T020</t>
        </is>
      </c>
      <c r="D246" s="124" t="inlineStr">
        <is>
          <t>查询卸车计划</t>
        </is>
      </c>
      <c r="E246" s="124" t="inlineStr">
        <is>
          <t>第二批次</t>
        </is>
      </c>
      <c r="F246" s="124">
        <f>IF(OR(M23="挂起",M23="暂停",Q23="挂起",Q23="暂停",U23="挂起",U23="暂停",Y23="挂起",Y23="暂停"),"暂停","进行中")</f>
        <v/>
      </c>
      <c r="G246" s="125" t="n">
        <v>46307</v>
      </c>
      <c r="H246" s="125" t="n">
        <v>46339</v>
      </c>
      <c r="I246" s="127" t="n">
        <v>40</v>
      </c>
      <c r="J246" s="124">
        <f>IF(I246="","待估算",IF(F246="已完成","已结束",IF(AND(ISNUMBER(G246),ISNUMBER(H246),G246&lt;='项目驾驶舱'!$B$3,H246&gt;='项目驾驶舱'!$B$3),"进行中","计划中")))</f>
        <v/>
      </c>
      <c r="K246" s="124">
        <f>IF(J246="待估算","补充投入工时",IF(AND(H246&lt;'项目驾驶舱'!$B$3,F246&lt;&gt;"已完成"),"确认延期和后续安排","按计划跟踪"))</f>
        <v/>
      </c>
      <c r="L246" s="127" t="n"/>
    </row>
    <row r="247">
      <c r="A247" s="22" t="n"/>
      <c r="B247" s="22" t="n"/>
      <c r="C247" s="124" t="inlineStr">
        <is>
          <t>T021</t>
        </is>
      </c>
      <c r="D247" s="124" t="inlineStr">
        <is>
          <t>外部客户确认</t>
        </is>
      </c>
      <c r="E247" s="124" t="inlineStr">
        <is>
          <t>第二批次</t>
        </is>
      </c>
      <c r="F247" s="124">
        <f>IF(OR(M24="挂起",M24="暂停",Q24="挂起",Q24="暂停",U24="挂起",U24="暂停",Y24="挂起",Y24="暂停"),"暂停","进行中")</f>
        <v/>
      </c>
      <c r="G247" s="125" t="n">
        <v>46307</v>
      </c>
      <c r="H247" s="125" t="n">
        <v>46339</v>
      </c>
      <c r="I247" s="127" t="n">
        <v>40</v>
      </c>
      <c r="J247" s="124">
        <f>IF(I247="","待估算",IF(F247="已完成","已结束",IF(AND(ISNUMBER(G247),ISNUMBER(H247),G247&lt;='项目驾驶舱'!$B$3,H247&gt;='项目驾驶舱'!$B$3),"进行中","计划中")))</f>
        <v/>
      </c>
      <c r="K247" s="124">
        <f>IF(J247="待估算","补充投入工时",IF(AND(H247&lt;'项目驾驶舱'!$B$3,F247&lt;&gt;"已完成"),"确认延期和后续安排","按计划跟踪"))</f>
        <v/>
      </c>
      <c r="L247" s="127" t="n"/>
    </row>
    <row r="248">
      <c r="A248" s="133" t="inlineStr">
        <is>
          <t>石军磊</t>
        </is>
      </c>
      <c r="B248" s="133" t="inlineStr">
        <is>
          <t>后端</t>
        </is>
      </c>
      <c r="C248" s="124" t="inlineStr">
        <is>
          <t>T022</t>
        </is>
      </c>
      <c r="D248" s="124" t="inlineStr">
        <is>
          <t>对接卸船作业信息</t>
        </is>
      </c>
      <c r="E248" s="124" t="inlineStr">
        <is>
          <t>第二批次</t>
        </is>
      </c>
      <c r="F248" s="124">
        <f>IF(OR(M25="挂起",M25="暂停",Q25="挂起",Q25="暂停",U25="挂起",U25="暂停",Y25="挂起",Y25="暂停"),"暂停","未开始")</f>
        <v/>
      </c>
      <c r="G248" s="125" t="n">
        <v>46307</v>
      </c>
      <c r="H248" s="125" t="n">
        <v>46339</v>
      </c>
      <c r="I248" s="127" t="n">
        <v>40</v>
      </c>
      <c r="J248" s="124">
        <f>IF(I248="","待估算",IF(F248="已完成","已结束",IF(AND(ISNUMBER(G248),ISNUMBER(H248),G248&lt;='项目驾驶舱'!$B$3,H248&gt;='项目驾驶舱'!$B$3),"进行中","计划中")))</f>
        <v/>
      </c>
      <c r="K248" s="124">
        <f>IF(J248="待估算","补充投入工时",IF(AND(H248&lt;'项目驾驶舱'!$B$3,F248&lt;&gt;"已完成"),"确认延期和后续安排","按计划跟踪"))</f>
        <v/>
      </c>
      <c r="L248" s="127" t="n"/>
    </row>
    <row r="249">
      <c r="C249" s="124" t="inlineStr">
        <is>
          <t>T023</t>
        </is>
      </c>
      <c r="D249" s="124" t="inlineStr">
        <is>
          <t>查询卸船作业信息</t>
        </is>
      </c>
      <c r="E249" s="124" t="inlineStr">
        <is>
          <t>第二批次</t>
        </is>
      </c>
      <c r="F249" s="124">
        <f>IF(OR(M26="挂起",M26="暂停",Q26="挂起",Q26="暂停",U26="挂起",U26="暂停",Y26="挂起",Y26="暂停"),"暂停","未开始")</f>
        <v/>
      </c>
      <c r="G249" s="125" t="n">
        <v>46307</v>
      </c>
      <c r="H249" s="125" t="n">
        <v>46339</v>
      </c>
      <c r="I249" s="127" t="n">
        <v>40</v>
      </c>
      <c r="J249" s="124">
        <f>IF(I249="","待估算",IF(F249="已完成","已结束",IF(AND(ISNUMBER(G249),ISNUMBER(H249),G249&lt;='项目驾驶舱'!$B$3,H249&gt;='项目驾驶舱'!$B$3),"进行中","计划中")))</f>
        <v/>
      </c>
      <c r="K249" s="124">
        <f>IF(J249="待估算","补充投入工时",IF(AND(H249&lt;'项目驾驶舱'!$B$3,F249&lt;&gt;"已完成"),"确认延期和后续安排","按计划跟踪"))</f>
        <v/>
      </c>
      <c r="L249" s="127" t="n"/>
    </row>
    <row r="250">
      <c r="C250" s="124" t="inlineStr">
        <is>
          <t>T024</t>
        </is>
      </c>
      <c r="D250" s="124" t="inlineStr">
        <is>
          <t>卸船查询列表</t>
        </is>
      </c>
      <c r="E250" s="124" t="inlineStr">
        <is>
          <t>第二批次</t>
        </is>
      </c>
      <c r="F250" s="124">
        <f>IF(OR(M27="挂起",M27="暂停",Q27="挂起",Q27="暂停",U27="挂起",U27="暂停",Y27="挂起",Y27="暂停"),"暂停","未开始")</f>
        <v/>
      </c>
      <c r="G250" s="125" t="n">
        <v>46307</v>
      </c>
      <c r="H250" s="125" t="n">
        <v>46339</v>
      </c>
      <c r="I250" s="127" t="n">
        <v>40</v>
      </c>
      <c r="J250" s="124">
        <f>IF(I250="","待估算",IF(F250="已完成","已结束",IF(AND(ISNUMBER(G250),ISNUMBER(H250),G250&lt;='项目驾驶舱'!$B$3,H250&gt;='项目驾驶舱'!$B$3),"进行中","计划中")))</f>
        <v/>
      </c>
      <c r="K250" s="124">
        <f>IF(J250="待估算","补充投入工时",IF(AND(H250&lt;'项目驾驶舱'!$B$3,F250&lt;&gt;"已完成"),"确认延期和后续安排","按计划跟踪"))</f>
        <v/>
      </c>
      <c r="L250" s="127" t="n"/>
    </row>
    <row r="251">
      <c r="C251" s="124" t="inlineStr">
        <is>
          <t>T025</t>
        </is>
      </c>
      <c r="D251" s="124" t="inlineStr">
        <is>
          <t>卸船查询详情</t>
        </is>
      </c>
      <c r="E251" s="124" t="inlineStr">
        <is>
          <t>第二批次</t>
        </is>
      </c>
      <c r="F251" s="124">
        <f>IF(OR(M28="挂起",M28="暂停",Q28="挂起",Q28="暂停",U28="挂起",U28="暂停",Y28="挂起",Y28="暂停"),"暂停","未开始")</f>
        <v/>
      </c>
      <c r="G251" s="125" t="n">
        <v>46307</v>
      </c>
      <c r="H251" s="125" t="n">
        <v>46339</v>
      </c>
      <c r="I251" s="127" t="n">
        <v>40</v>
      </c>
      <c r="J251" s="124">
        <f>IF(I251="","待估算",IF(F251="已完成","已结束",IF(AND(ISNUMBER(G251),ISNUMBER(H251),G251&lt;='项目驾驶舱'!$B$3,H251&gt;='项目驾驶舱'!$B$3),"进行中","计划中")))</f>
        <v/>
      </c>
      <c r="K251" s="124">
        <f>IF(J251="待估算","补充投入工时",IF(AND(H251&lt;'项目驾驶舱'!$B$3,F251&lt;&gt;"已完成"),"确认延期和后续安排","按计划跟踪"))</f>
        <v/>
      </c>
      <c r="L251" s="127" t="n"/>
    </row>
    <row r="252">
      <c r="C252" s="124" t="inlineStr">
        <is>
          <t>T026</t>
        </is>
      </c>
      <c r="D252" s="124" t="inlineStr">
        <is>
          <t>创建卸船作业委托信息</t>
        </is>
      </c>
      <c r="E252" s="124" t="inlineStr">
        <is>
          <t>第二批次</t>
        </is>
      </c>
      <c r="F252" s="124">
        <f>IF(OR(M29="挂起",M29="暂停",Q29="挂起",Q29="暂停",U29="挂起",U29="暂停",Y29="挂起",Y29="暂停"),"暂停","进行中")</f>
        <v/>
      </c>
      <c r="G252" s="125" t="n">
        <v>46307</v>
      </c>
      <c r="H252" s="125" t="n">
        <v>46339</v>
      </c>
      <c r="I252" s="127" t="n">
        <v>40</v>
      </c>
      <c r="J252" s="124">
        <f>IF(I252="","待估算",IF(F252="已完成","已结束",IF(AND(ISNUMBER(G252),ISNUMBER(H252),G252&lt;='项目驾驶舱'!$B$3,H252&gt;='项目驾驶舱'!$B$3),"进行中","计划中")))</f>
        <v/>
      </c>
      <c r="K252" s="124">
        <f>IF(J252="待估算","补充投入工时",IF(AND(H252&lt;'项目驾驶舱'!$B$3,F252&lt;&gt;"已完成"),"确认延期和后续安排","按计划跟踪"))</f>
        <v/>
      </c>
      <c r="L252" s="127" t="n"/>
    </row>
    <row r="253">
      <c r="C253" s="124" t="inlineStr">
        <is>
          <t>T027</t>
        </is>
      </c>
      <c r="D253" s="124" t="inlineStr">
        <is>
          <t>修改卸船作业委托信息</t>
        </is>
      </c>
      <c r="E253" s="124" t="inlineStr">
        <is>
          <t>第二批次</t>
        </is>
      </c>
      <c r="F253" s="124">
        <f>IF(OR(M30="挂起",M30="暂停",Q30="挂起",Q30="暂停",U30="挂起",U30="暂停",Y30="挂起",Y30="暂停"),"暂停","进行中")</f>
        <v/>
      </c>
      <c r="G253" s="125" t="n">
        <v>46307</v>
      </c>
      <c r="H253" s="125" t="n">
        <v>46339</v>
      </c>
      <c r="I253" s="127" t="n">
        <v>40</v>
      </c>
      <c r="J253" s="124">
        <f>IF(I253="","待估算",IF(F253="已完成","已结束",IF(AND(ISNUMBER(G253),ISNUMBER(H253),G253&lt;='项目驾驶舱'!$B$3,H253&gt;='项目驾驶舱'!$B$3),"进行中","计划中")))</f>
        <v/>
      </c>
      <c r="K253" s="124">
        <f>IF(J253="待估算","补充投入工时",IF(AND(H253&lt;'项目驾驶舱'!$B$3,F253&lt;&gt;"已完成"),"确认延期和后续安排","按计划跟踪"))</f>
        <v/>
      </c>
      <c r="L253" s="127" t="n"/>
    </row>
    <row r="254">
      <c r="C254" s="124" t="inlineStr">
        <is>
          <t>T028</t>
        </is>
      </c>
      <c r="D254" s="124" t="inlineStr">
        <is>
          <t>作废卸船作业委托信息</t>
        </is>
      </c>
      <c r="E254" s="124" t="inlineStr">
        <is>
          <t>第二批次</t>
        </is>
      </c>
      <c r="F254" s="124">
        <f>IF(OR(M31="挂起",M31="暂停",Q31="挂起",Q31="暂停",U31="挂起",U31="暂停",Y31="挂起",Y31="暂停"),"暂停","进行中")</f>
        <v/>
      </c>
      <c r="G254" s="125" t="n">
        <v>46307</v>
      </c>
      <c r="H254" s="125" t="n">
        <v>46339</v>
      </c>
      <c r="I254" s="127" t="n">
        <v>40</v>
      </c>
      <c r="J254" s="124">
        <f>IF(I254="","待估算",IF(F254="已完成","已结束",IF(AND(ISNUMBER(G254),ISNUMBER(H254),G254&lt;='项目驾驶舱'!$B$3,H254&gt;='项目驾驶舱'!$B$3),"进行中","计划中")))</f>
        <v/>
      </c>
      <c r="K254" s="124">
        <f>IF(J254="待估算","补充投入工时",IF(AND(H254&lt;'项目驾驶舱'!$B$3,F254&lt;&gt;"已完成"),"确认延期和后续安排","按计划跟踪"))</f>
        <v/>
      </c>
      <c r="L254" s="127" t="n"/>
    </row>
    <row r="255">
      <c r="C255" s="124" t="inlineStr">
        <is>
          <t>T029</t>
        </is>
      </c>
      <c r="D255" s="124" t="inlineStr">
        <is>
          <t>推送卸船作业委托信息</t>
        </is>
      </c>
      <c r="E255" s="124" t="inlineStr">
        <is>
          <t>第二批次</t>
        </is>
      </c>
      <c r="F255" s="124">
        <f>IF(OR(M32="挂起",M32="暂停",Q32="挂起",Q32="暂停",U32="挂起",U32="暂停",Y32="挂起",Y32="暂停"),"暂停","进行中")</f>
        <v/>
      </c>
      <c r="G255" s="125" t="n">
        <v>46307</v>
      </c>
      <c r="H255" s="125" t="n">
        <v>46339</v>
      </c>
      <c r="I255" s="127" t="n">
        <v>40</v>
      </c>
      <c r="J255" s="124">
        <f>IF(I255="","待估算",IF(F255="已完成","已结束",IF(AND(ISNUMBER(G255),ISNUMBER(H255),G255&lt;='项目驾驶舱'!$B$3,H255&gt;='项目驾驶舱'!$B$3),"进行中","计划中")))</f>
        <v/>
      </c>
      <c r="K255" s="124">
        <f>IF(J255="待估算","补充投入工时",IF(AND(H255&lt;'项目驾驶舱'!$B$3,F255&lt;&gt;"已完成"),"确认延期和后续安排","按计划跟踪"))</f>
        <v/>
      </c>
      <c r="L255" s="127" t="n"/>
    </row>
    <row r="256">
      <c r="C256" s="124" t="inlineStr">
        <is>
          <t>T030</t>
        </is>
      </c>
      <c r="D256" s="124" t="inlineStr">
        <is>
          <t>查询卸船作业委托信息</t>
        </is>
      </c>
      <c r="E256" s="124" t="inlineStr">
        <is>
          <t>第二批次</t>
        </is>
      </c>
      <c r="F256" s="124">
        <f>IF(OR(M33="挂起",M33="暂停",Q33="挂起",Q33="暂停",U33="挂起",U33="暂停",Y33="挂起",Y33="暂停"),"暂停","进行中")</f>
        <v/>
      </c>
      <c r="G256" s="125" t="n">
        <v>46307</v>
      </c>
      <c r="H256" s="125" t="n">
        <v>46339</v>
      </c>
      <c r="I256" s="127" t="n">
        <v>40</v>
      </c>
      <c r="J256" s="124">
        <f>IF(I256="","待估算",IF(F256="已完成","已结束",IF(AND(ISNUMBER(G256),ISNUMBER(H256),G256&lt;='项目驾驶舱'!$B$3,H256&gt;='项目驾驶舱'!$B$3),"进行中","计划中")))</f>
        <v/>
      </c>
      <c r="K256" s="124">
        <f>IF(J256="待估算","补充投入工时",IF(AND(H256&lt;'项目驾驶舱'!$B$3,F256&lt;&gt;"已完成"),"确认延期和后续安排","按计划跟踪"))</f>
        <v/>
      </c>
      <c r="L256" s="127" t="n"/>
    </row>
    <row r="257">
      <c r="C257" s="124" t="inlineStr">
        <is>
          <t>T031</t>
        </is>
      </c>
      <c r="D257" s="124" t="inlineStr">
        <is>
          <t>创建外轮转内贸业务信息</t>
        </is>
      </c>
      <c r="E257" s="124" t="inlineStr">
        <is>
          <t>第二批次</t>
        </is>
      </c>
      <c r="F257" s="124">
        <f>IF(OR(M34="挂起",M34="暂停",Q34="挂起",Q34="暂停",U34="挂起",U34="暂停",Y34="挂起",Y34="暂停"),"暂停","未开始")</f>
        <v/>
      </c>
      <c r="G257" s="125" t="n">
        <v>46307</v>
      </c>
      <c r="H257" s="125" t="n">
        <v>46339</v>
      </c>
      <c r="I257" s="127" t="n">
        <v>40</v>
      </c>
      <c r="J257" s="124">
        <f>IF(I257="","待估算",IF(F257="已完成","已结束",IF(AND(ISNUMBER(G257),ISNUMBER(H257),G257&lt;='项目驾驶舱'!$B$3,H257&gt;='项目驾驶舱'!$B$3),"进行中","计划中")))</f>
        <v/>
      </c>
      <c r="K257" s="124">
        <f>IF(J257="待估算","补充投入工时",IF(AND(H257&lt;'项目驾驶舱'!$B$3,F257&lt;&gt;"已完成"),"确认延期和后续安排","按计划跟踪"))</f>
        <v/>
      </c>
      <c r="L257" s="127" t="n"/>
    </row>
    <row r="258">
      <c r="C258" s="124" t="inlineStr">
        <is>
          <t>T032</t>
        </is>
      </c>
      <c r="D258" s="124" t="inlineStr">
        <is>
          <t>作废外轮转内贸业务信息</t>
        </is>
      </c>
      <c r="E258" s="124" t="inlineStr">
        <is>
          <t>第二批次</t>
        </is>
      </c>
      <c r="F258" s="124">
        <f>IF(OR(M35="挂起",M35="暂停",Q35="挂起",Q35="暂停",U35="挂起",U35="暂停",Y35="挂起",Y35="暂停"),"暂停","未开始")</f>
        <v/>
      </c>
      <c r="G258" s="125" t="n">
        <v>46307</v>
      </c>
      <c r="H258" s="125" t="n">
        <v>46339</v>
      </c>
      <c r="I258" s="127" t="n">
        <v>40</v>
      </c>
      <c r="J258" s="124">
        <f>IF(I258="","待估算",IF(F258="已完成","已结束",IF(AND(ISNUMBER(G258),ISNUMBER(H258),G258&lt;='项目驾驶舱'!$B$3,H258&gt;='项目驾驶舱'!$B$3),"进行中","计划中")))</f>
        <v/>
      </c>
      <c r="K258" s="124">
        <f>IF(J258="待估算","补充投入工时",IF(AND(H258&lt;'项目驾驶舱'!$B$3,F258&lt;&gt;"已完成"),"确认延期和后续安排","按计划跟踪"))</f>
        <v/>
      </c>
      <c r="L258" s="127" t="n"/>
    </row>
    <row r="259">
      <c r="A259" s="22" t="n"/>
      <c r="B259" s="22" t="n"/>
      <c r="C259" s="124" t="inlineStr">
        <is>
          <t>T033</t>
        </is>
      </c>
      <c r="D259" s="124" t="inlineStr">
        <is>
          <t>查询外轮转内贸业务信息</t>
        </is>
      </c>
      <c r="E259" s="124" t="inlineStr">
        <is>
          <t>第二批次</t>
        </is>
      </c>
      <c r="F259" s="124">
        <f>IF(OR(M36="挂起",M36="暂停",Q36="挂起",Q36="暂停",U36="挂起",U36="暂停",Y36="挂起",Y36="暂停"),"暂停","未开始")</f>
        <v/>
      </c>
      <c r="G259" s="125" t="n">
        <v>46307</v>
      </c>
      <c r="H259" s="125" t="n">
        <v>46339</v>
      </c>
      <c r="I259" s="127" t="n">
        <v>40</v>
      </c>
      <c r="J259" s="124">
        <f>IF(I259="","待估算",IF(F259="已完成","已结束",IF(AND(ISNUMBER(G259),ISNUMBER(H259),G259&lt;='项目驾驶舱'!$B$3,H259&gt;='项目驾驶舱'!$B$3),"进行中","计划中")))</f>
        <v/>
      </c>
      <c r="K259" s="124">
        <f>IF(J259="待估算","补充投入工时",IF(AND(H259&lt;'项目驾驶舱'!$B$3,F259&lt;&gt;"已完成"),"确认延期和后续安排","按计划跟踪"))</f>
        <v/>
      </c>
      <c r="L259" s="127" t="n"/>
    </row>
    <row r="260">
      <c r="A260" s="133" t="inlineStr">
        <is>
          <t>石军磊</t>
        </is>
      </c>
      <c r="B260" s="133" t="inlineStr">
        <is>
          <t>后端</t>
        </is>
      </c>
      <c r="C260" s="124" t="inlineStr">
        <is>
          <t>T034</t>
        </is>
      </c>
      <c r="D260" s="124" t="inlineStr">
        <is>
          <t>新增船舶靠泊通知单</t>
        </is>
      </c>
      <c r="E260" s="124" t="inlineStr">
        <is>
          <t>第二批次</t>
        </is>
      </c>
      <c r="F260" s="124">
        <f>IF(OR(M37="挂起",M37="暂停",Q37="挂起",Q37="暂停",U37="挂起",U37="暂停",Y37="挂起",Y37="暂停"),"暂停","进行中")</f>
        <v/>
      </c>
      <c r="G260" s="125" t="n">
        <v>46307</v>
      </c>
      <c r="H260" s="125" t="n">
        <v>46339</v>
      </c>
      <c r="I260" s="127" t="n">
        <v>40</v>
      </c>
      <c r="J260" s="124">
        <f>IF(I260="","待估算",IF(F260="已完成","已结束",IF(AND(ISNUMBER(G260),ISNUMBER(H260),G260&lt;='项目驾驶舱'!$B$3,H260&gt;='项目驾驶舱'!$B$3),"进行中","计划中")))</f>
        <v/>
      </c>
      <c r="K260" s="124">
        <f>IF(J260="待估算","补充投入工时",IF(AND(H260&lt;'项目驾驶舱'!$B$3,F260&lt;&gt;"已完成"),"确认延期和后续安排","按计划跟踪"))</f>
        <v/>
      </c>
      <c r="L260" s="127" t="n"/>
    </row>
    <row r="261">
      <c r="C261" s="124" t="inlineStr">
        <is>
          <t>T035</t>
        </is>
      </c>
      <c r="D261" s="124" t="inlineStr">
        <is>
          <t>审批船舶靠泊通知单</t>
        </is>
      </c>
      <c r="E261" s="124" t="inlineStr">
        <is>
          <t>第二批次</t>
        </is>
      </c>
      <c r="F261" s="124">
        <f>IF(OR(M38="挂起",M38="暂停",Q38="挂起",Q38="暂停",U38="挂起",U38="暂停",Y38="挂起",Y38="暂停"),"暂停","进行中")</f>
        <v/>
      </c>
      <c r="G261" s="125" t="n">
        <v>46307</v>
      </c>
      <c r="H261" s="125" t="n">
        <v>46339</v>
      </c>
      <c r="I261" s="127" t="n">
        <v>40</v>
      </c>
      <c r="J261" s="124">
        <f>IF(I261="","待估算",IF(F261="已完成","已结束",IF(AND(ISNUMBER(G261),ISNUMBER(H261),G261&lt;='项目驾驶舱'!$B$3,H261&gt;='项目驾驶舱'!$B$3),"进行中","计划中")))</f>
        <v/>
      </c>
      <c r="K261" s="124">
        <f>IF(J261="待估算","补充投入工时",IF(AND(H261&lt;'项目驾驶舱'!$B$3,F261&lt;&gt;"已完成"),"确认延期和后续安排","按计划跟踪"))</f>
        <v/>
      </c>
      <c r="L261" s="127" t="n"/>
    </row>
    <row r="262">
      <c r="C262" s="124" t="inlineStr">
        <is>
          <t>T036</t>
        </is>
      </c>
      <c r="D262" s="124" t="inlineStr">
        <is>
          <t>查询船舶靠泊通知单</t>
        </is>
      </c>
      <c r="E262" s="124" t="inlineStr">
        <is>
          <t>第二批次</t>
        </is>
      </c>
      <c r="F262" s="124">
        <f>IF(OR(M39="挂起",M39="暂停",Q39="挂起",Q39="暂停",U39="挂起",U39="暂停",Y39="挂起",Y39="暂停"),"暂停","进行中")</f>
        <v/>
      </c>
      <c r="G262" s="125" t="n">
        <v>46307</v>
      </c>
      <c r="H262" s="125" t="n">
        <v>46339</v>
      </c>
      <c r="I262" s="127" t="n">
        <v>40</v>
      </c>
      <c r="J262" s="124">
        <f>IF(I262="","待估算",IF(F262="已完成","已结束",IF(AND(ISNUMBER(G262),ISNUMBER(H262),G262&lt;='项目驾驶舱'!$B$3,H262&gt;='项目驾驶舱'!$B$3),"进行中","计划中")))</f>
        <v/>
      </c>
      <c r="K262" s="124">
        <f>IF(J262="待估算","补充投入工时",IF(AND(H262&lt;'项目驾驶舱'!$B$3,F262&lt;&gt;"已完成"),"确认延期和后续安排","按计划跟踪"))</f>
        <v/>
      </c>
      <c r="L262" s="127" t="n"/>
    </row>
    <row r="263">
      <c r="C263" s="124" t="inlineStr">
        <is>
          <t>T046</t>
        </is>
      </c>
      <c r="D263" s="124" t="inlineStr">
        <is>
          <t>新增船舶预到（外贸）</t>
        </is>
      </c>
      <c r="E263" s="124" t="inlineStr">
        <is>
          <t>第二批次</t>
        </is>
      </c>
      <c r="F263" s="124">
        <f>IF(OR(M49="挂起",M49="暂停",Q49="挂起",Q49="暂停",U49="挂起",U49="暂停",Y49="挂起",Y49="暂停"),"暂停","已完成")</f>
        <v/>
      </c>
      <c r="G263" s="125" t="n">
        <v>46307</v>
      </c>
      <c r="H263" s="125" t="n">
        <v>46339</v>
      </c>
      <c r="I263" s="127" t="n">
        <v>40</v>
      </c>
      <c r="J263" s="124">
        <f>IF(I263="","待估算",IF(F263="已完成","已结束",IF(AND(ISNUMBER(G263),ISNUMBER(H263),G263&lt;='项目驾驶舱'!$B$3,H263&gt;='项目驾驶舱'!$B$3),"进行中","计划中")))</f>
        <v/>
      </c>
      <c r="K263" s="124">
        <f>IF(J263="待估算","补充投入工时",IF(AND(H263&lt;'项目驾驶舱'!$B$3,F263&lt;&gt;"已完成"),"确认延期和后续安排","按计划跟踪"))</f>
        <v/>
      </c>
      <c r="L263" s="127" t="n"/>
    </row>
    <row r="264">
      <c r="C264" s="124" t="inlineStr">
        <is>
          <t>T047</t>
        </is>
      </c>
      <c r="D264" s="124" t="inlineStr">
        <is>
          <t>退回船舶预到（外贸）</t>
        </is>
      </c>
      <c r="E264" s="124" t="inlineStr">
        <is>
          <t>第二批次</t>
        </is>
      </c>
      <c r="F264" s="124">
        <f>IF(OR(M50="挂起",M50="暂停",Q50="挂起",Q50="暂停",U50="挂起",U50="暂停",Y50="挂起",Y50="暂停"),"暂停","未开始")</f>
        <v/>
      </c>
      <c r="G264" s="125" t="n">
        <v>46307</v>
      </c>
      <c r="H264" s="125" t="n">
        <v>46339</v>
      </c>
      <c r="I264" s="127" t="n">
        <v>40</v>
      </c>
      <c r="J264" s="124">
        <f>IF(I264="","待估算",IF(F264="已完成","已结束",IF(AND(ISNUMBER(G264),ISNUMBER(H264),G264&lt;='项目驾驶舱'!$B$3,H264&gt;='项目驾驶舱'!$B$3),"进行中","计划中")))</f>
        <v/>
      </c>
      <c r="K264" s="124">
        <f>IF(J264="待估算","补充投入工时",IF(AND(H264&lt;'项目驾驶舱'!$B$3,F264&lt;&gt;"已完成"),"确认延期和后续安排","按计划跟踪"))</f>
        <v/>
      </c>
      <c r="L264" s="127" t="n"/>
    </row>
    <row r="265">
      <c r="C265" s="124" t="inlineStr">
        <is>
          <t>T048</t>
        </is>
      </c>
      <c r="D265" s="124" t="inlineStr">
        <is>
          <t>退回船舶预到（外贸）</t>
        </is>
      </c>
      <c r="E265" s="124" t="inlineStr">
        <is>
          <t>第二批次</t>
        </is>
      </c>
      <c r="F265" s="124">
        <f>IF(OR(M51="挂起",M51="暂停",Q51="挂起",Q51="暂停",U51="挂起",U51="暂停",Y51="挂起",Y51="暂停"),"暂停","未开始")</f>
        <v/>
      </c>
      <c r="G265" s="125" t="n">
        <v>46307</v>
      </c>
      <c r="H265" s="125" t="n">
        <v>46339</v>
      </c>
      <c r="I265" s="127" t="n">
        <v>40</v>
      </c>
      <c r="J265" s="124">
        <f>IF(I265="","待估算",IF(F265="已完成","已结束",IF(AND(ISNUMBER(G265),ISNUMBER(H265),G265&lt;='项目驾驶舱'!$B$3,H265&gt;='项目驾驶舱'!$B$3),"进行中","计划中")))</f>
        <v/>
      </c>
      <c r="K265" s="124">
        <f>IF(J265="待估算","补充投入工时",IF(AND(H265&lt;'项目驾驶舱'!$B$3,F265&lt;&gt;"已完成"),"确认延期和后续安排","按计划跟踪"))</f>
        <v/>
      </c>
      <c r="L265" s="127" t="n"/>
    </row>
    <row r="266">
      <c r="C266" s="124" t="inlineStr">
        <is>
          <t>T049</t>
        </is>
      </c>
      <c r="D266" s="124" t="inlineStr">
        <is>
          <t>申请采样申请（外贸）</t>
        </is>
      </c>
      <c r="E266" s="124" t="inlineStr">
        <is>
          <t>第二批次</t>
        </is>
      </c>
      <c r="F266" s="124">
        <f>IF(OR(M52="挂起",M52="暂停",Q52="挂起",Q52="暂停",U52="挂起",U52="暂停",Y52="挂起",Y52="暂停"),"暂停","已完成")</f>
        <v/>
      </c>
      <c r="G266" s="125" t="n">
        <v>46307</v>
      </c>
      <c r="H266" s="125" t="n">
        <v>46339</v>
      </c>
      <c r="I266" s="127" t="n">
        <v>40</v>
      </c>
      <c r="J266" s="124">
        <f>IF(I266="","待估算",IF(F266="已完成","已结束",IF(AND(ISNUMBER(G266),ISNUMBER(H266),G266&lt;='项目驾驶舱'!$B$3,H266&gt;='项目驾驶舱'!$B$3),"进行中","计划中")))</f>
        <v/>
      </c>
      <c r="K266" s="124">
        <f>IF(J266="待估算","补充投入工时",IF(AND(H266&lt;'项目驾驶舱'!$B$3,F266&lt;&gt;"已完成"),"确认延期和后续安排","按计划跟踪"))</f>
        <v/>
      </c>
      <c r="L266" s="127" t="n"/>
    </row>
    <row r="267">
      <c r="C267" s="124" t="inlineStr">
        <is>
          <t>T078</t>
        </is>
      </c>
      <c r="D267" s="124" t="inlineStr">
        <is>
          <t>业务数据合同签订校验</t>
        </is>
      </c>
      <c r="E267" s="124" t="inlineStr">
        <is>
          <t>第二批次</t>
        </is>
      </c>
      <c r="F267" s="124">
        <f>IF(OR(M81="挂起",M81="暂停",Q81="挂起",Q81="暂停",U81="挂起",U81="暂停",Y81="挂起",Y81="暂停"),"暂停","未开始")</f>
        <v/>
      </c>
      <c r="G267" s="125" t="n">
        <v>46307</v>
      </c>
      <c r="H267" s="125" t="n">
        <v>46339</v>
      </c>
      <c r="I267" s="127" t="n">
        <v>40</v>
      </c>
      <c r="J267" s="124">
        <f>IF(I267="","待估算",IF(F267="已完成","已结束",IF(AND(ISNUMBER(G267),ISNUMBER(H267),G267&lt;='项目驾驶舱'!$B$3,H267&gt;='项目驾驶舱'!$B$3),"进行中","计划中")))</f>
        <v/>
      </c>
      <c r="K267" s="124">
        <f>IF(J267="待估算","补充投入工时",IF(AND(H267&lt;'项目驾驶舱'!$B$3,F267&lt;&gt;"已完成"),"确认延期和后续安排","按计划跟踪"))</f>
        <v/>
      </c>
      <c r="L267" s="127" t="n"/>
    </row>
    <row r="268">
      <c r="C268" s="124" t="inlineStr">
        <is>
          <t>T079</t>
        </is>
      </c>
      <c r="D268" s="124" t="inlineStr">
        <is>
          <t>结算数据合同签订校验</t>
        </is>
      </c>
      <c r="E268" s="124" t="inlineStr">
        <is>
          <t>第二批次</t>
        </is>
      </c>
      <c r="F268" s="124">
        <f>IF(OR(M82="挂起",M82="暂停",Q82="挂起",Q82="暂停",U82="挂起",U82="暂停",Y82="挂起",Y82="暂停"),"暂停","未开始")</f>
        <v/>
      </c>
      <c r="G268" s="125" t="n">
        <v>46307</v>
      </c>
      <c r="H268" s="125" t="n">
        <v>46339</v>
      </c>
      <c r="I268" s="127" t="n">
        <v>40</v>
      </c>
      <c r="J268" s="124">
        <f>IF(I268="","待估算",IF(F268="已完成","已结束",IF(AND(ISNUMBER(G268),ISNUMBER(H268),G268&lt;='项目驾驶舱'!$B$3,H268&gt;='项目驾驶舱'!$B$3),"进行中","计划中")))</f>
        <v/>
      </c>
      <c r="K268" s="124">
        <f>IF(J268="待估算","补充投入工时",IF(AND(H268&lt;'项目驾驶舱'!$B$3,F268&lt;&gt;"已完成"),"确认延期和后续安排","按计划跟踪"))</f>
        <v/>
      </c>
      <c r="L268" s="127" t="n"/>
    </row>
    <row r="269">
      <c r="C269" s="124" t="inlineStr">
        <is>
          <t>T080</t>
        </is>
      </c>
      <c r="D269" s="124" t="inlineStr">
        <is>
          <t>合同校验结果查询</t>
        </is>
      </c>
      <c r="E269" s="124" t="inlineStr">
        <is>
          <t>第二批次</t>
        </is>
      </c>
      <c r="F269" s="124">
        <f>IF(OR(M83="挂起",M83="暂停",Q83="挂起",Q83="暂停",U83="挂起",U83="暂停",Y83="挂起",Y83="暂停"),"暂停","未开始")</f>
        <v/>
      </c>
      <c r="G269" s="125" t="n">
        <v>46307</v>
      </c>
      <c r="H269" s="125" t="n">
        <v>46339</v>
      </c>
      <c r="I269" s="127" t="n">
        <v>40</v>
      </c>
      <c r="J269" s="124">
        <f>IF(I269="","待估算",IF(F269="已完成","已结束",IF(AND(ISNUMBER(G269),ISNUMBER(H269),G269&lt;='项目驾驶舱'!$B$3,H269&gt;='项目驾驶舱'!$B$3),"进行中","计划中")))</f>
        <v/>
      </c>
      <c r="K269" s="124">
        <f>IF(J269="待估算","补充投入工时",IF(AND(H269&lt;'项目驾驶舱'!$B$3,F269&lt;&gt;"已完成"),"确认延期和后续安排","按计划跟踪"))</f>
        <v/>
      </c>
      <c r="L269" s="127" t="n"/>
    </row>
    <row r="270">
      <c r="C270" s="124" t="inlineStr">
        <is>
          <t>T081</t>
        </is>
      </c>
      <c r="D270" s="124" t="inlineStr">
        <is>
          <t>数据对接</t>
        </is>
      </c>
      <c r="E270" s="124" t="inlineStr">
        <is>
          <t>第二批次</t>
        </is>
      </c>
      <c r="F270" s="124">
        <f>IF(OR(M84="挂起",M84="暂停",Q84="挂起",Q84="暂停",U84="挂起",U84="暂停",Y84="挂起",Y84="暂停"),"暂停","未开始")</f>
        <v/>
      </c>
      <c r="G270" s="125" t="n">
        <v>46307</v>
      </c>
      <c r="H270" s="125" t="n">
        <v>46339</v>
      </c>
      <c r="I270" s="127" t="n">
        <v>40</v>
      </c>
      <c r="J270" s="124">
        <f>IF(I270="","待估算",IF(F270="已完成","已结束",IF(AND(ISNUMBER(G270),ISNUMBER(H270),G270&lt;='项目驾驶舱'!$B$3,H270&gt;='项目驾驶舱'!$B$3),"进行中","计划中")))</f>
        <v/>
      </c>
      <c r="K270" s="124">
        <f>IF(J270="待估算","补充投入工时",IF(AND(H270&lt;'项目驾驶舱'!$B$3,F270&lt;&gt;"已完成"),"确认延期和后续安排","按计划跟踪"))</f>
        <v/>
      </c>
      <c r="L270" s="127" t="n"/>
    </row>
    <row r="271">
      <c r="A271" s="22" t="n"/>
      <c r="B271" s="22" t="n"/>
      <c r="C271" s="124" t="inlineStr">
        <is>
          <t>T082</t>
        </is>
      </c>
      <c r="D271" s="124" t="inlineStr">
        <is>
          <t>数据展示</t>
        </is>
      </c>
      <c r="E271" s="124" t="inlineStr">
        <is>
          <t>第二批次</t>
        </is>
      </c>
      <c r="F271" s="124">
        <f>IF(OR(M85="挂起",M85="暂停",Q85="挂起",Q85="暂停",U85="挂起",U85="暂停",Y85="挂起",Y85="暂停"),"暂停","未开始")</f>
        <v/>
      </c>
      <c r="G271" s="125" t="n">
        <v>46307</v>
      </c>
      <c r="H271" s="125" t="n">
        <v>46339</v>
      </c>
      <c r="I271" s="127" t="n">
        <v>40</v>
      </c>
      <c r="J271" s="124">
        <f>IF(I271="","待估算",IF(F271="已完成","已结束",IF(AND(ISNUMBER(G271),ISNUMBER(H271),G271&lt;='项目驾驶舱'!$B$3,H271&gt;='项目驾驶舱'!$B$3),"进行中","计划中")))</f>
        <v/>
      </c>
      <c r="K271" s="124">
        <f>IF(J271="待估算","补充投入工时",IF(AND(H271&lt;'项目驾驶舱'!$B$3,F271&lt;&gt;"已完成"),"确认延期和后续安排","按计划跟踪"))</f>
        <v/>
      </c>
      <c r="L271" s="127" t="n"/>
    </row>
    <row r="272">
      <c r="A272" s="133" t="inlineStr">
        <is>
          <t>石军磊</t>
        </is>
      </c>
      <c r="B272" s="133" t="inlineStr">
        <is>
          <t>后端</t>
        </is>
      </c>
      <c r="C272" s="124" t="inlineStr">
        <is>
          <t>T083</t>
        </is>
      </c>
      <c r="D272" s="124" t="inlineStr">
        <is>
          <t>数据对接</t>
        </is>
      </c>
      <c r="E272" s="124" t="inlineStr">
        <is>
          <t>第二批次</t>
        </is>
      </c>
      <c r="F272" s="124">
        <f>IF(OR(M86="挂起",M86="暂停",Q86="挂起",Q86="暂停",U86="挂起",U86="暂停",Y86="挂起",Y86="暂停"),"暂停","未开始")</f>
        <v/>
      </c>
      <c r="G272" s="125" t="n">
        <v>46307</v>
      </c>
      <c r="H272" s="125" t="n">
        <v>46339</v>
      </c>
      <c r="I272" s="127" t="n">
        <v>40</v>
      </c>
      <c r="J272" s="124">
        <f>IF(I272="","待估算",IF(F272="已完成","已结束",IF(AND(ISNUMBER(G272),ISNUMBER(H272),G272&lt;='项目驾驶舱'!$B$3,H272&gt;='项目驾驶舱'!$B$3),"进行中","计划中")))</f>
        <v/>
      </c>
      <c r="K272" s="124">
        <f>IF(J272="待估算","补充投入工时",IF(AND(H272&lt;'项目驾驶舱'!$B$3,F272&lt;&gt;"已完成"),"确认延期和后续安排","按计划跟踪"))</f>
        <v/>
      </c>
      <c r="L272" s="127" t="n"/>
    </row>
    <row r="273">
      <c r="C273" s="124" t="inlineStr">
        <is>
          <t>T084</t>
        </is>
      </c>
      <c r="D273" s="124" t="inlineStr">
        <is>
          <t>数据产生</t>
        </is>
      </c>
      <c r="E273" s="124" t="inlineStr">
        <is>
          <t>第二批次</t>
        </is>
      </c>
      <c r="F273" s="124">
        <f>IF(OR(M87="挂起",M87="暂停",Q87="挂起",Q87="暂停",U87="挂起",U87="暂停",Y87="挂起",Y87="暂停"),"暂停","未开始")</f>
        <v/>
      </c>
      <c r="G273" s="125" t="n">
        <v>46307</v>
      </c>
      <c r="H273" s="125" t="n">
        <v>46339</v>
      </c>
      <c r="I273" s="127" t="n">
        <v>40</v>
      </c>
      <c r="J273" s="124">
        <f>IF(I273="","待估算",IF(F273="已完成","已结束",IF(AND(ISNUMBER(G273),ISNUMBER(H273),G273&lt;='项目驾驶舱'!$B$3,H273&gt;='项目驾驶舱'!$B$3),"进行中","计划中")))</f>
        <v/>
      </c>
      <c r="K273" s="124">
        <f>IF(J273="待估算","补充投入工时",IF(AND(H273&lt;'项目驾驶舱'!$B$3,F273&lt;&gt;"已完成"),"确认延期和后续安排","按计划跟踪"))</f>
        <v/>
      </c>
      <c r="L273" s="127" t="n"/>
    </row>
    <row r="274">
      <c r="C274" s="124" t="inlineStr">
        <is>
          <t>T085</t>
        </is>
      </c>
      <c r="D274" s="124" t="inlineStr">
        <is>
          <t>数据对接</t>
        </is>
      </c>
      <c r="E274" s="124" t="inlineStr">
        <is>
          <t>第二批次</t>
        </is>
      </c>
      <c r="F274" s="124">
        <f>IF(OR(M88="挂起",M88="暂停",Q88="挂起",Q88="暂停",U88="挂起",U88="暂停",Y88="挂起",Y88="暂停"),"暂停","未开始")</f>
        <v/>
      </c>
      <c r="G274" s="125" t="n">
        <v>46307</v>
      </c>
      <c r="H274" s="125" t="n">
        <v>46339</v>
      </c>
      <c r="I274" s="127" t="n">
        <v>40</v>
      </c>
      <c r="J274" s="124">
        <f>IF(I274="","待估算",IF(F274="已完成","已结束",IF(AND(ISNUMBER(G274),ISNUMBER(H274),G274&lt;='项目驾驶舱'!$B$3,H274&gt;='项目驾驶舱'!$B$3),"进行中","计划中")))</f>
        <v/>
      </c>
      <c r="K274" s="124">
        <f>IF(J274="待估算","补充投入工时",IF(AND(H274&lt;'项目驾驶舱'!$B$3,F274&lt;&gt;"已完成"),"确认延期和后续安排","按计划跟踪"))</f>
        <v/>
      </c>
      <c r="L274" s="127" t="n"/>
    </row>
    <row r="275">
      <c r="C275" s="124" t="inlineStr">
        <is>
          <t>T086</t>
        </is>
      </c>
      <c r="D275" s="124" t="inlineStr">
        <is>
          <t>数据展示</t>
        </is>
      </c>
      <c r="E275" s="124" t="inlineStr">
        <is>
          <t>第二批次</t>
        </is>
      </c>
      <c r="F275" s="124">
        <f>IF(OR(M89="挂起",M89="暂停",Q89="挂起",Q89="暂停",U89="挂起",U89="暂停",Y89="挂起",Y89="暂停"),"暂停","未开始")</f>
        <v/>
      </c>
      <c r="G275" s="125" t="n">
        <v>46307</v>
      </c>
      <c r="H275" s="125" t="n">
        <v>46339</v>
      </c>
      <c r="I275" s="127" t="n">
        <v>40</v>
      </c>
      <c r="J275" s="124">
        <f>IF(I275="","待估算",IF(F275="已完成","已结束",IF(AND(ISNUMBER(G275),ISNUMBER(H275),G275&lt;='项目驾驶舱'!$B$3,H275&gt;='项目驾驶舱'!$B$3),"进行中","计划中")))</f>
        <v/>
      </c>
      <c r="K275" s="124">
        <f>IF(J275="待估算","补充投入工时",IF(AND(H275&lt;'项目驾驶舱'!$B$3,F275&lt;&gt;"已完成"),"确认延期和后续安排","按计划跟踪"))</f>
        <v/>
      </c>
      <c r="L275" s="127" t="n"/>
    </row>
    <row r="276">
      <c r="C276" s="124" t="inlineStr">
        <is>
          <t>T087</t>
        </is>
      </c>
      <c r="D276" s="124" t="inlineStr">
        <is>
          <t>数据对接</t>
        </is>
      </c>
      <c r="E276" s="124" t="inlineStr">
        <is>
          <t>第二批次</t>
        </is>
      </c>
      <c r="F276" s="124">
        <f>IF(OR(M90="挂起",M90="暂停",Q90="挂起",Q90="暂停",U90="挂起",U90="暂停",Y90="挂起",Y90="暂停"),"暂停","未开始")</f>
        <v/>
      </c>
      <c r="G276" s="125" t="n">
        <v>46307</v>
      </c>
      <c r="H276" s="125" t="n">
        <v>46339</v>
      </c>
      <c r="I276" s="127" t="n">
        <v>40</v>
      </c>
      <c r="J276" s="124">
        <f>IF(I276="","待估算",IF(F276="已完成","已结束",IF(AND(ISNUMBER(G276),ISNUMBER(H276),G276&lt;='项目驾驶舱'!$B$3,H276&gt;='项目驾驶舱'!$B$3),"进行中","计划中")))</f>
        <v/>
      </c>
      <c r="K276" s="124">
        <f>IF(J276="待估算","补充投入工时",IF(AND(H276&lt;'项目驾驶舱'!$B$3,F276&lt;&gt;"已完成"),"确认延期和后续安排","按计划跟踪"))</f>
        <v/>
      </c>
      <c r="L276" s="127" t="n"/>
    </row>
    <row r="277">
      <c r="C277" s="124" t="inlineStr">
        <is>
          <t>T088</t>
        </is>
      </c>
      <c r="D277" s="124" t="inlineStr">
        <is>
          <t>数据展示</t>
        </is>
      </c>
      <c r="E277" s="124" t="inlineStr">
        <is>
          <t>第二批次</t>
        </is>
      </c>
      <c r="F277" s="124">
        <f>IF(OR(M91="挂起",M91="暂停",Q91="挂起",Q91="暂停",U91="挂起",U91="暂停",Y91="挂起",Y91="暂停"),"暂停","未开始")</f>
        <v/>
      </c>
      <c r="G277" s="125" t="n">
        <v>46307</v>
      </c>
      <c r="H277" s="125" t="n">
        <v>46339</v>
      </c>
      <c r="I277" s="127" t="n">
        <v>40</v>
      </c>
      <c r="J277" s="124">
        <f>IF(I277="","待估算",IF(F277="已完成","已结束",IF(AND(ISNUMBER(G277),ISNUMBER(H277),G277&lt;='项目驾驶舱'!$B$3,H277&gt;='项目驾驶舱'!$B$3),"进行中","计划中")))</f>
        <v/>
      </c>
      <c r="K277" s="124">
        <f>IF(J277="待估算","补充投入工时",IF(AND(H277&lt;'项目驾驶舱'!$B$3,F277&lt;&gt;"已完成"),"确认延期和后续安排","按计划跟踪"))</f>
        <v/>
      </c>
      <c r="L277" s="127" t="n"/>
    </row>
    <row r="278">
      <c r="C278" s="124" t="inlineStr">
        <is>
          <t>T089</t>
        </is>
      </c>
      <c r="D278" s="124" t="inlineStr">
        <is>
          <t>新增采样服务费（外贸）</t>
        </is>
      </c>
      <c r="E278" s="124" t="inlineStr">
        <is>
          <t>第二批次</t>
        </is>
      </c>
      <c r="F278" s="124">
        <f>IF(OR(M92="挂起",M92="暂停",Q92="挂起",Q92="暂停",U92="挂起",U92="暂停",Y92="挂起",Y92="暂停"),"暂停","未开始")</f>
        <v/>
      </c>
      <c r="G278" s="125" t="n">
        <v>46307</v>
      </c>
      <c r="H278" s="125" t="n">
        <v>46339</v>
      </c>
      <c r="I278" s="127" t="n">
        <v>40</v>
      </c>
      <c r="J278" s="124">
        <f>IF(I278="","待估算",IF(F278="已完成","已结束",IF(AND(ISNUMBER(G278),ISNUMBER(H278),G278&lt;='项目驾驶舱'!$B$3,H278&gt;='项目驾驶舱'!$B$3),"进行中","计划中")))</f>
        <v/>
      </c>
      <c r="K278" s="124">
        <f>IF(J278="待估算","补充投入工时",IF(AND(H278&lt;'项目驾驶舱'!$B$3,F278&lt;&gt;"已完成"),"确认延期和后续安排","按计划跟踪"))</f>
        <v/>
      </c>
      <c r="L278" s="127" t="n"/>
    </row>
    <row r="279">
      <c r="C279" s="124" t="inlineStr">
        <is>
          <t>T090</t>
        </is>
      </c>
      <c r="D279" s="124" t="inlineStr">
        <is>
          <t>审批采样服务费（外贸）</t>
        </is>
      </c>
      <c r="E279" s="124" t="inlineStr">
        <is>
          <t>第二批次</t>
        </is>
      </c>
      <c r="F279" s="124">
        <f>IF(OR(M93="挂起",M93="暂停",Q93="挂起",Q93="暂停",U93="挂起",U93="暂停",Y93="挂起",Y93="暂停"),"暂停","未开始")</f>
        <v/>
      </c>
      <c r="G279" s="125" t="n">
        <v>46307</v>
      </c>
      <c r="H279" s="125" t="n">
        <v>46339</v>
      </c>
      <c r="I279" s="127" t="n">
        <v>40</v>
      </c>
      <c r="J279" s="124">
        <f>IF(I279="","待估算",IF(F279="已完成","已结束",IF(AND(ISNUMBER(G279),ISNUMBER(H279),G279&lt;='项目驾驶舱'!$B$3,H279&gt;='项目驾驶舱'!$B$3),"进行中","计划中")))</f>
        <v/>
      </c>
      <c r="K279" s="124">
        <f>IF(J279="待估算","补充投入工时",IF(AND(H279&lt;'项目驾驶舱'!$B$3,F279&lt;&gt;"已完成"),"确认延期和后续安排","按计划跟踪"))</f>
        <v/>
      </c>
      <c r="L279" s="127" t="n"/>
    </row>
    <row r="280">
      <c r="C280" s="124" t="inlineStr">
        <is>
          <t>T091</t>
        </is>
      </c>
      <c r="D280" s="124" t="inlineStr">
        <is>
          <t>单据签章</t>
        </is>
      </c>
      <c r="E280" s="124" t="inlineStr">
        <is>
          <t>第二批次</t>
        </is>
      </c>
      <c r="F280" s="124">
        <f>IF(OR(M94="挂起",M94="暂停",Q94="挂起",Q94="暂停",U94="挂起",U94="暂停",Y94="挂起",Y94="暂停"),"暂停","未开始")</f>
        <v/>
      </c>
      <c r="G280" s="125" t="n">
        <v>46307</v>
      </c>
      <c r="H280" s="125" t="n">
        <v>46339</v>
      </c>
      <c r="I280" s="127" t="n">
        <v>40</v>
      </c>
      <c r="J280" s="124">
        <f>IF(I280="","待估算",IF(F280="已完成","已结束",IF(AND(ISNUMBER(G280),ISNUMBER(H280),G280&lt;='项目驾驶舱'!$B$3,H280&gt;='项目驾驶舱'!$B$3),"进行中","计划中")))</f>
        <v/>
      </c>
      <c r="K280" s="124">
        <f>IF(J280="待估算","补充投入工时",IF(AND(H280&lt;'项目驾驶舱'!$B$3,F280&lt;&gt;"已完成"),"确认延期和后续安排","按计划跟踪"))</f>
        <v/>
      </c>
      <c r="L280" s="127" t="n"/>
    </row>
    <row r="281">
      <c r="C281" s="124" t="inlineStr">
        <is>
          <t>T092</t>
        </is>
      </c>
      <c r="D281" s="124" t="inlineStr">
        <is>
          <t>数据推送</t>
        </is>
      </c>
      <c r="E281" s="124" t="inlineStr">
        <is>
          <t>第二批次</t>
        </is>
      </c>
      <c r="F281" s="124">
        <f>IF(OR(M95="挂起",M95="暂停",Q95="挂起",Q95="暂停",U95="挂起",U95="暂停",Y95="挂起",Y95="暂停"),"暂停","未开始")</f>
        <v/>
      </c>
      <c r="G281" s="125" t="n">
        <v>46307</v>
      </c>
      <c r="H281" s="125" t="n">
        <v>46339</v>
      </c>
      <c r="I281" s="127" t="n">
        <v>40</v>
      </c>
      <c r="J281" s="124">
        <f>IF(I281="","待估算",IF(F281="已完成","已结束",IF(AND(ISNUMBER(G281),ISNUMBER(H281),G281&lt;='项目驾驶舱'!$B$3,H281&gt;='项目驾驶舱'!$B$3),"进行中","计划中")))</f>
        <v/>
      </c>
      <c r="K281" s="124">
        <f>IF(J281="待估算","补充投入工时",IF(AND(H281&lt;'项目驾驶舱'!$B$3,F281&lt;&gt;"已完成"),"确认延期和后续安排","按计划跟踪"))</f>
        <v/>
      </c>
      <c r="L281" s="127" t="n"/>
    </row>
    <row r="282">
      <c r="C282" s="124" t="inlineStr">
        <is>
          <t>T093</t>
        </is>
      </c>
      <c r="D282" s="124" t="inlineStr">
        <is>
          <t>数据对接</t>
        </is>
      </c>
      <c r="E282" s="124" t="inlineStr">
        <is>
          <t>第二批次</t>
        </is>
      </c>
      <c r="F282" s="124">
        <f>IF(OR(M96="挂起",M96="暂停",Q96="挂起",Q96="暂停",U96="挂起",U96="暂停",Y96="挂起",Y96="暂停"),"暂停","未开始")</f>
        <v/>
      </c>
      <c r="G282" s="125" t="n">
        <v>46307</v>
      </c>
      <c r="H282" s="125" t="n">
        <v>46339</v>
      </c>
      <c r="I282" s="127" t="n">
        <v>40</v>
      </c>
      <c r="J282" s="124">
        <f>IF(I282="","待估算",IF(F282="已完成","已结束",IF(AND(ISNUMBER(G282),ISNUMBER(H282),G282&lt;='项目驾驶舱'!$B$3,H282&gt;='项目驾驶舱'!$B$3),"进行中","计划中")))</f>
        <v/>
      </c>
      <c r="K282" s="124">
        <f>IF(J282="待估算","补充投入工时",IF(AND(H282&lt;'项目驾驶舱'!$B$3,F282&lt;&gt;"已完成"),"确认延期和后续安排","按计划跟踪"))</f>
        <v/>
      </c>
      <c r="L282" s="127" t="n"/>
    </row>
    <row r="283">
      <c r="A283" s="22" t="n"/>
      <c r="B283" s="22" t="n"/>
      <c r="C283" s="124" t="inlineStr">
        <is>
          <t>T094</t>
        </is>
      </c>
      <c r="D283" s="124" t="inlineStr">
        <is>
          <t>数据展示</t>
        </is>
      </c>
      <c r="E283" s="124" t="inlineStr">
        <is>
          <t>第二批次</t>
        </is>
      </c>
      <c r="F283" s="124">
        <f>IF(OR(M97="挂起",M97="暂停",Q97="挂起",Q97="暂停",U97="挂起",U97="暂停",Y97="挂起",Y97="暂停"),"暂停","未开始")</f>
        <v/>
      </c>
      <c r="G283" s="125" t="n">
        <v>46307</v>
      </c>
      <c r="H283" s="125" t="n">
        <v>46339</v>
      </c>
      <c r="I283" s="127" t="n">
        <v>40</v>
      </c>
      <c r="J283" s="124">
        <f>IF(I283="","待估算",IF(F283="已完成","已结束",IF(AND(ISNUMBER(G283),ISNUMBER(H283),G283&lt;='项目驾驶舱'!$B$3,H283&gt;='项目驾驶舱'!$B$3),"进行中","计划中")))</f>
        <v/>
      </c>
      <c r="K283" s="124">
        <f>IF(J283="待估算","补充投入工时",IF(AND(H283&lt;'项目驾驶舱'!$B$3,F283&lt;&gt;"已完成"),"确认延期和后续安排","按计划跟踪"))</f>
        <v/>
      </c>
      <c r="L283" s="127" t="n"/>
    </row>
    <row r="284">
      <c r="A284" s="133" t="inlineStr">
        <is>
          <t>石军磊</t>
        </is>
      </c>
      <c r="B284" s="133" t="inlineStr">
        <is>
          <t>后端</t>
        </is>
      </c>
      <c r="C284" s="124" t="inlineStr">
        <is>
          <t>T126</t>
        </is>
      </c>
      <c r="D284" s="124" t="inlineStr">
        <is>
          <t>停泊费（外贸）查询</t>
        </is>
      </c>
      <c r="E284" s="124" t="inlineStr">
        <is>
          <t>第二批次</t>
        </is>
      </c>
      <c r="F284" s="124">
        <f>IF(OR(M129="挂起",M129="暂停",Q129="挂起",Q129="暂停",U129="挂起",U129="暂停",Y129="挂起",Y129="暂停"),"暂停","未开始")</f>
        <v/>
      </c>
      <c r="G284" s="125" t="n">
        <v>46307</v>
      </c>
      <c r="H284" s="125" t="n">
        <v>46339</v>
      </c>
      <c r="I284" s="127" t="n">
        <v>40</v>
      </c>
      <c r="J284" s="124">
        <f>IF(I284="","待估算",IF(F284="已完成","已结束",IF(AND(ISNUMBER(G284),ISNUMBER(H284),G284&lt;='项目驾驶舱'!$B$3,H284&gt;='项目驾驶舱'!$B$3),"进行中","计划中")))</f>
        <v/>
      </c>
      <c r="K284" s="124">
        <f>IF(J284="待估算","补充投入工时",IF(AND(H284&lt;'项目驾驶舱'!$B$3,F284&lt;&gt;"已完成"),"确认延期和后续安排","按计划跟踪"))</f>
        <v/>
      </c>
      <c r="L284" s="127" t="n"/>
    </row>
    <row r="285">
      <c r="C285" s="124" t="inlineStr">
        <is>
          <t>T127</t>
        </is>
      </c>
      <c r="D285" s="124" t="inlineStr">
        <is>
          <t>锚泊费（外贸）查询</t>
        </is>
      </c>
      <c r="E285" s="124" t="inlineStr">
        <is>
          <t>第二批次</t>
        </is>
      </c>
      <c r="F285" s="124">
        <f>IF(OR(M130="挂起",M130="暂停",Q130="挂起",Q130="暂停",U130="挂起",U130="暂停",Y130="挂起",Y130="暂停"),"暂停","未开始")</f>
        <v/>
      </c>
      <c r="G285" s="125" t="n">
        <v>46307</v>
      </c>
      <c r="H285" s="125" t="n">
        <v>46339</v>
      </c>
      <c r="I285" s="127" t="n">
        <v>40</v>
      </c>
      <c r="J285" s="124">
        <f>IF(I285="","待估算",IF(F285="已完成","已结束",IF(AND(ISNUMBER(G285),ISNUMBER(H285),G285&lt;='项目驾驶舱'!$B$3,H285&gt;='项目驾驶舱'!$B$3),"进行中","计划中")))</f>
        <v/>
      </c>
      <c r="K285" s="124">
        <f>IF(J285="待估算","补充投入工时",IF(AND(H285&lt;'项目驾驶舱'!$B$3,F285&lt;&gt;"已完成"),"确认延期和后续安排","按计划跟踪"))</f>
        <v/>
      </c>
      <c r="L285" s="127" t="n"/>
    </row>
    <row r="286">
      <c r="C286" s="124" t="inlineStr">
        <is>
          <t>T128</t>
        </is>
      </c>
      <c r="D286" s="124" t="inlineStr">
        <is>
          <t>堆存费（外贸）查询</t>
        </is>
      </c>
      <c r="E286" s="124" t="inlineStr">
        <is>
          <t>第二批次</t>
        </is>
      </c>
      <c r="F286" s="124">
        <f>IF(OR(M131="挂起",M131="暂停",Q131="挂起",Q131="暂停",U131="挂起",U131="暂停",Y131="挂起",Y131="暂停"),"暂停","未开始")</f>
        <v/>
      </c>
      <c r="G286" s="125" t="n">
        <v>46307</v>
      </c>
      <c r="H286" s="125" t="n">
        <v>46339</v>
      </c>
      <c r="I286" s="127" t="n">
        <v>40</v>
      </c>
      <c r="J286" s="124">
        <f>IF(I286="","待估算",IF(F286="已完成","已结束",IF(AND(ISNUMBER(G286),ISNUMBER(H286),G286&lt;='项目驾驶舱'!$B$3,H286&gt;='项目驾驶舱'!$B$3),"进行中","计划中")))</f>
        <v/>
      </c>
      <c r="K286" s="124">
        <f>IF(J286="待估算","补充投入工时",IF(AND(H286&lt;'项目驾驶舱'!$B$3,F286&lt;&gt;"已完成"),"确认延期和后续安排","按计划跟踪"))</f>
        <v/>
      </c>
      <c r="L286" s="127" t="n"/>
    </row>
    <row r="287">
      <c r="C287" s="124" t="inlineStr">
        <is>
          <t>T129</t>
        </is>
      </c>
      <c r="D287" s="124" t="inlineStr">
        <is>
          <t>卸船费（外贸）查询</t>
        </is>
      </c>
      <c r="E287" s="124" t="inlineStr">
        <is>
          <t>第二批次</t>
        </is>
      </c>
      <c r="F287" s="124">
        <f>IF(OR(M132="挂起",M132="暂停",Q132="挂起",Q132="暂停",U132="挂起",U132="暂停",Y132="挂起",Y132="暂停"),"暂停","未开始")</f>
        <v/>
      </c>
      <c r="G287" s="125" t="n">
        <v>46307</v>
      </c>
      <c r="H287" s="125" t="n">
        <v>46339</v>
      </c>
      <c r="I287" s="127" t="n">
        <v>40</v>
      </c>
      <c r="J287" s="124">
        <f>IF(I287="","待估算",IF(F287="已完成","已结束",IF(AND(ISNUMBER(G287),ISNUMBER(H287),G287&lt;='项目驾驶舱'!$B$3,H287&gt;='项目驾驶舱'!$B$3),"进行中","计划中")))</f>
        <v/>
      </c>
      <c r="K287" s="124">
        <f>IF(J287="待估算","补充投入工时",IF(AND(H287&lt;'项目驾驶舱'!$B$3,F287&lt;&gt;"已完成"),"确认延期和后续安排","按计划跟踪"))</f>
        <v/>
      </c>
      <c r="L287" s="127" t="n"/>
    </row>
    <row r="288">
      <c r="C288" s="124" t="inlineStr">
        <is>
          <t>T130</t>
        </is>
      </c>
      <c r="D288" s="124" t="inlineStr">
        <is>
          <t>采样服务费（外贸）查询</t>
        </is>
      </c>
      <c r="E288" s="124" t="inlineStr">
        <is>
          <t>第二批次</t>
        </is>
      </c>
      <c r="F288" s="124">
        <f>IF(OR(M133="挂起",M133="暂停",Q133="挂起",Q133="暂停",U133="挂起",U133="暂停",Y133="挂起",Y133="暂停"),"暂停","未开始")</f>
        <v/>
      </c>
      <c r="G288" s="125" t="n">
        <v>46307</v>
      </c>
      <c r="H288" s="125" t="n">
        <v>46339</v>
      </c>
      <c r="I288" s="127" t="n">
        <v>40</v>
      </c>
      <c r="J288" s="124">
        <f>IF(I288="","待估算",IF(F288="已完成","已结束",IF(AND(ISNUMBER(G288),ISNUMBER(H288),G288&lt;='项目驾驶舱'!$B$3,H288&gt;='项目驾驶舱'!$B$3),"进行中","计划中")))</f>
        <v/>
      </c>
      <c r="K288" s="124">
        <f>IF(J288="待估算","补充投入工时",IF(AND(H288&lt;'项目驾驶舱'!$B$3,F288&lt;&gt;"已完成"),"确认延期和后续安排","按计划跟踪"))</f>
        <v/>
      </c>
      <c r="L288" s="127" t="n"/>
    </row>
    <row r="289">
      <c r="C289" s="124" t="inlineStr">
        <is>
          <t>T131</t>
        </is>
      </c>
      <c r="D289" s="124" t="inlineStr">
        <is>
          <t>船舶供应服务费（外贸）查询</t>
        </is>
      </c>
      <c r="E289" s="124" t="inlineStr">
        <is>
          <t>第二批次</t>
        </is>
      </c>
      <c r="F289" s="124">
        <f>IF(OR(M134="挂起",M134="暂停",Q134="挂起",Q134="暂停",U134="挂起",U134="暂停",Y134="挂起",Y134="暂停"),"暂停","未开始")</f>
        <v/>
      </c>
      <c r="G289" s="125" t="n">
        <v>46307</v>
      </c>
      <c r="H289" s="125" t="n">
        <v>46339</v>
      </c>
      <c r="I289" s="127" t="n">
        <v>40</v>
      </c>
      <c r="J289" s="124">
        <f>IF(I289="","待估算",IF(F289="已完成","已结束",IF(AND(ISNUMBER(G289),ISNUMBER(H289),G289&lt;='项目驾驶舱'!$B$3,H289&gt;='项目驾驶舱'!$B$3),"进行中","计划中")))</f>
        <v/>
      </c>
      <c r="K289" s="124">
        <f>IF(J289="待估算","补充投入工时",IF(AND(H289&lt;'项目驾驶舱'!$B$3,F289&lt;&gt;"已完成"),"确认延期和后续安排","按计划跟踪"))</f>
        <v/>
      </c>
      <c r="L289" s="127" t="n"/>
    </row>
    <row r="290">
      <c r="C290" s="124" t="inlineStr">
        <is>
          <t>T132</t>
        </is>
      </c>
      <c r="D290" s="124" t="inlineStr">
        <is>
          <t>新增船舶靠泊通知单</t>
        </is>
      </c>
      <c r="E290" s="124" t="inlineStr">
        <is>
          <t>第二批次</t>
        </is>
      </c>
      <c r="F290" s="124">
        <f>IF(OR(M135="挂起",M135="暂停",Q135="挂起",Q135="暂停",U135="挂起",U135="暂停",Y135="挂起",Y135="暂停"),"暂停","未开始")</f>
        <v/>
      </c>
      <c r="G290" s="125" t="n">
        <v>46307</v>
      </c>
      <c r="H290" s="125" t="n">
        <v>46339</v>
      </c>
      <c r="I290" s="127" t="n">
        <v>40</v>
      </c>
      <c r="J290" s="124">
        <f>IF(I290="","待估算",IF(F290="已完成","已结束",IF(AND(ISNUMBER(G290),ISNUMBER(H290),G290&lt;='项目驾驶舱'!$B$3,H290&gt;='项目驾驶舱'!$B$3),"进行中","计划中")))</f>
        <v/>
      </c>
      <c r="K290" s="124">
        <f>IF(J290="待估算","补充投入工时",IF(AND(H290&lt;'项目驾驶舱'!$B$3,F290&lt;&gt;"已完成"),"确认延期和后续安排","按计划跟踪"))</f>
        <v/>
      </c>
      <c r="L290" s="127" t="n"/>
    </row>
    <row r="291">
      <c r="C291" s="124" t="inlineStr">
        <is>
          <t>T133</t>
        </is>
      </c>
      <c r="D291" s="124" t="inlineStr">
        <is>
          <t>查询船舶靠泊通知单</t>
        </is>
      </c>
      <c r="E291" s="124" t="inlineStr">
        <is>
          <t>第二批次</t>
        </is>
      </c>
      <c r="F291" s="124">
        <f>IF(OR(M136="挂起",M136="暂停",Q136="挂起",Q136="暂停",U136="挂起",U136="暂停",Y136="挂起",Y136="暂停"),"暂停","未开始")</f>
        <v/>
      </c>
      <c r="G291" s="125" t="n">
        <v>46307</v>
      </c>
      <c r="H291" s="125" t="n">
        <v>46339</v>
      </c>
      <c r="I291" s="127" t="n">
        <v>40</v>
      </c>
      <c r="J291" s="124">
        <f>IF(I291="","待估算",IF(F291="已完成","已结束",IF(AND(ISNUMBER(G291),ISNUMBER(H291),G291&lt;='项目驾驶舱'!$B$3,H291&gt;='项目驾驶舱'!$B$3),"进行中","计划中")))</f>
        <v/>
      </c>
      <c r="K291" s="124">
        <f>IF(J291="待估算","补充投入工时",IF(AND(H291&lt;'项目驾驶舱'!$B$3,F291&lt;&gt;"已完成"),"确认延期和后续安排","按计划跟踪"))</f>
        <v/>
      </c>
      <c r="L291" s="127" t="n"/>
    </row>
    <row r="292">
      <c r="C292" s="124" t="inlineStr">
        <is>
          <t>T134</t>
        </is>
      </c>
      <c r="D292" s="124" t="inlineStr">
        <is>
          <t>卸船计划查询</t>
        </is>
      </c>
      <c r="E292" s="124" t="inlineStr">
        <is>
          <t>第二批次</t>
        </is>
      </c>
      <c r="F292" s="124">
        <f>IF(OR(M137="挂起",M137="暂停",Q137="挂起",Q137="暂停",U137="挂起",U137="暂停",Y137="挂起",Y137="暂停"),"暂停","未开始")</f>
        <v/>
      </c>
      <c r="G292" s="125" t="n">
        <v>46307</v>
      </c>
      <c r="H292" s="125" t="n">
        <v>46339</v>
      </c>
      <c r="I292" s="127" t="n">
        <v>40</v>
      </c>
      <c r="J292" s="124">
        <f>IF(I292="","待估算",IF(F292="已完成","已结束",IF(AND(ISNUMBER(G292),ISNUMBER(H292),G292&lt;='项目驾驶舱'!$B$3,H292&gt;='项目驾驶舱'!$B$3),"进行中","计划中")))</f>
        <v/>
      </c>
      <c r="K292" s="124">
        <f>IF(J292="待估算","补充投入工时",IF(AND(H292&lt;'项目驾驶舱'!$B$3,F292&lt;&gt;"已完成"),"确认延期和后续安排","按计划跟踪"))</f>
        <v/>
      </c>
      <c r="L292" s="127" t="n"/>
    </row>
    <row r="293">
      <c r="C293" s="124" t="inlineStr">
        <is>
          <t>T135</t>
        </is>
      </c>
      <c r="D293" s="124" t="inlineStr">
        <is>
          <t>卸船查询</t>
        </is>
      </c>
      <c r="E293" s="124" t="inlineStr">
        <is>
          <t>第二批次</t>
        </is>
      </c>
      <c r="F293" s="124">
        <f>IF(OR(M138="挂起",M138="暂停",Q138="挂起",Q138="暂停",U138="挂起",U138="暂停",Y138="挂起",Y138="暂停"),"暂停","未开始")</f>
        <v/>
      </c>
      <c r="G293" s="125" t="n">
        <v>46307</v>
      </c>
      <c r="H293" s="125" t="n">
        <v>46339</v>
      </c>
      <c r="I293" s="127" t="n">
        <v>40</v>
      </c>
      <c r="J293" s="124">
        <f>IF(I293="","待估算",IF(F293="已完成","已结束",IF(AND(ISNUMBER(G293),ISNUMBER(H293),G293&lt;='项目驾驶舱'!$B$3,H293&gt;='项目驾驶舱'!$B$3),"进行中","计划中")))</f>
        <v/>
      </c>
      <c r="K293" s="124">
        <f>IF(J293="待估算","补充投入工时",IF(AND(H293&lt;'项目驾驶舱'!$B$3,F293&lt;&gt;"已完成"),"确认延期和后续安排","按计划跟踪"))</f>
        <v/>
      </c>
      <c r="L293" s="127" t="n"/>
    </row>
    <row r="294">
      <c r="C294" s="124" t="inlineStr">
        <is>
          <t>T136</t>
        </is>
      </c>
      <c r="D294" s="124" t="inlineStr">
        <is>
          <t>卸船作业委托</t>
        </is>
      </c>
      <c r="E294" s="124" t="inlineStr">
        <is>
          <t>第二批次</t>
        </is>
      </c>
      <c r="F294" s="124">
        <f>IF(OR(M139="挂起",M139="暂停",Q139="挂起",Q139="暂停",U139="挂起",U139="暂停",Y139="挂起",Y139="暂停"),"暂停","未开始")</f>
        <v/>
      </c>
      <c r="G294" s="125" t="n">
        <v>46307</v>
      </c>
      <c r="H294" s="125" t="n">
        <v>46339</v>
      </c>
      <c r="I294" s="127" t="n">
        <v>40</v>
      </c>
      <c r="J294" s="124">
        <f>IF(I294="","待估算",IF(F294="已完成","已结束",IF(AND(ISNUMBER(G294),ISNUMBER(H294),G294&lt;='项目驾驶舱'!$B$3,H294&gt;='项目驾驶舱'!$B$3),"进行中","计划中")))</f>
        <v/>
      </c>
      <c r="K294" s="124">
        <f>IF(J294="待估算","补充投入工时",IF(AND(H294&lt;'项目驾驶舱'!$B$3,F294&lt;&gt;"已完成"),"确认延期和后续安排","按计划跟踪"))</f>
        <v/>
      </c>
      <c r="L294" s="127" t="n"/>
    </row>
    <row r="295">
      <c r="A295" s="22" t="n"/>
      <c r="B295" s="22" t="n"/>
      <c r="C295" s="124" t="inlineStr">
        <is>
          <t>T137</t>
        </is>
      </c>
      <c r="D295" s="124" t="inlineStr">
        <is>
          <t>外轮转内贸业务查询</t>
        </is>
      </c>
      <c r="E295" s="124" t="inlineStr">
        <is>
          <t>第二批次</t>
        </is>
      </c>
      <c r="F295" s="124">
        <f>IF(OR(M140="挂起",M140="暂停",Q140="挂起",Q140="暂停",U140="挂起",U140="暂停",Y140="挂起",Y140="暂停"),"暂停","未开始")</f>
        <v/>
      </c>
      <c r="G295" s="125" t="n">
        <v>46307</v>
      </c>
      <c r="H295" s="125" t="n">
        <v>46339</v>
      </c>
      <c r="I295" s="127" t="n">
        <v>40</v>
      </c>
      <c r="J295" s="124">
        <f>IF(I295="","待估算",IF(F295="已完成","已结束",IF(AND(ISNUMBER(G295),ISNUMBER(H295),G295&lt;='项目驾驶舱'!$B$3,H295&gt;='项目驾驶舱'!$B$3),"进行中","计划中")))</f>
        <v/>
      </c>
      <c r="K295" s="124">
        <f>IF(J295="待估算","补充投入工时",IF(AND(H295&lt;'项目驾驶舱'!$B$3,F295&lt;&gt;"已完成"),"确认延期和后续安排","按计划跟踪"))</f>
        <v/>
      </c>
      <c r="L295" s="127" t="n"/>
    </row>
    <row r="296">
      <c r="A296" s="133" t="inlineStr">
        <is>
          <t>石军磊</t>
        </is>
      </c>
      <c r="B296" s="133" t="inlineStr">
        <is>
          <t>后端</t>
        </is>
      </c>
      <c r="C296" s="124" t="inlineStr">
        <is>
          <t>T142</t>
        </is>
      </c>
      <c r="D296" s="124" t="inlineStr">
        <is>
          <t>审批船舶靠泊通知单</t>
        </is>
      </c>
      <c r="E296" s="124" t="inlineStr">
        <is>
          <t>第二批次</t>
        </is>
      </c>
      <c r="F296" s="124">
        <f>IF(OR(M145="挂起",M145="暂停",Q145="挂起",Q145="暂停",U145="挂起",U145="暂停",Y145="挂起",Y145="暂停"),"暂停","未开始")</f>
        <v/>
      </c>
      <c r="G296" s="125" t="n">
        <v>46307</v>
      </c>
      <c r="H296" s="125" t="n">
        <v>46339</v>
      </c>
      <c r="I296" s="127" t="n">
        <v>40</v>
      </c>
      <c r="J296" s="124">
        <f>IF(I296="","待估算",IF(F296="已完成","已结束",IF(AND(ISNUMBER(G296),ISNUMBER(H296),G296&lt;='项目驾驶舱'!$B$3,H296&gt;='项目驾驶舱'!$B$3),"进行中","计划中")))</f>
        <v/>
      </c>
      <c r="K296" s="124">
        <f>IF(J296="待估算","补充投入工时",IF(AND(H296&lt;'项目驾驶舱'!$B$3,F296&lt;&gt;"已完成"),"确认延期和后续安排","按计划跟踪"))</f>
        <v/>
      </c>
      <c r="L296" s="127" t="n"/>
    </row>
    <row r="297">
      <c r="A297" s="129" t="inlineStr">
        <is>
          <t>袁丽荣</t>
        </is>
      </c>
      <c r="B297" s="129" t="inlineStr">
        <is>
          <t>测试</t>
        </is>
      </c>
      <c r="C297" s="130" t="inlineStr">
        <is>
          <t>T058</t>
        </is>
      </c>
      <c r="D297" s="130" t="inlineStr">
        <is>
          <t>OCR识别及编辑</t>
        </is>
      </c>
      <c r="E297" s="130" t="inlineStr">
        <is>
          <t>第一批次</t>
        </is>
      </c>
      <c r="F297" s="130">
        <f>IF(OR(M61="挂起",M61="暂停",Q61="挂起",Q61="暂停",U61="挂起",U61="暂停",Y61="挂起",Y61="暂停"),"暂停","已完成")</f>
        <v/>
      </c>
      <c r="G297" s="131" t="n">
        <v>46202</v>
      </c>
      <c r="H297" s="131" t="n">
        <v>46213</v>
      </c>
      <c r="I297" s="132" t="n">
        <v>40</v>
      </c>
      <c r="J297" s="130">
        <f>IF(I297="","待估算",IF(F297="已完成","已结束",IF(AND(ISNUMBER(G297),ISNUMBER(H297),G297&lt;='项目驾驶舱'!$B$3,H297&gt;='项目驾驶舱'!$B$3),"进行中","计划中")))</f>
        <v/>
      </c>
      <c r="K297" s="130">
        <f>IF(J297="待估算","补充投入工时",IF(AND(H297&lt;'项目驾驶舱'!$B$3,F297&lt;&gt;"已完成"),"确认延期和后续安排","按计划跟踪"))</f>
        <v/>
      </c>
      <c r="L297" s="132" t="n"/>
    </row>
    <row r="298">
      <c r="C298" s="124" t="inlineStr">
        <is>
          <t>T070</t>
        </is>
      </c>
      <c r="D298" s="124" t="inlineStr">
        <is>
          <t>生成报告</t>
        </is>
      </c>
      <c r="E298" s="124" t="inlineStr">
        <is>
          <t>第一批次</t>
        </is>
      </c>
      <c r="F298" s="124">
        <f>IF(OR(M73="挂起",M73="暂停",Q73="挂起",Q73="暂停",U73="挂起",U73="暂停",Y73="挂起",Y73="暂停"),"暂停","已完成")</f>
        <v/>
      </c>
      <c r="G298" s="125" t="n">
        <v>46202</v>
      </c>
      <c r="H298" s="125" t="n">
        <v>46213</v>
      </c>
      <c r="I298" s="127" t="n">
        <v>40</v>
      </c>
      <c r="J298" s="124">
        <f>IF(I298="","待估算",IF(F298="已完成","已结束",IF(AND(ISNUMBER(G298),ISNUMBER(H298),G298&lt;='项目驾驶舱'!$B$3,H298&gt;='项目驾驶舱'!$B$3),"进行中","计划中")))</f>
        <v/>
      </c>
      <c r="K298" s="124">
        <f>IF(J298="待估算","补充投入工时",IF(AND(H298&lt;'项目驾驶舱'!$B$3,F298&lt;&gt;"已完成"),"确认延期和后续安排","按计划跟踪"))</f>
        <v/>
      </c>
      <c r="L298" s="127" t="n"/>
    </row>
    <row r="299">
      <c r="C299" s="124" t="inlineStr">
        <is>
          <t>T071</t>
        </is>
      </c>
      <c r="D299" s="124" t="inlineStr">
        <is>
          <t>装船作业信息录入优化（太仓）</t>
        </is>
      </c>
      <c r="E299" s="124" t="inlineStr">
        <is>
          <t>第一批次</t>
        </is>
      </c>
      <c r="F299" s="124">
        <f>IF(OR(M74="挂起",M74="暂停",Q74="挂起",Q74="暂停",U74="挂起",U74="暂停",Y74="挂起",Y74="暂停"),"暂停","已完成")</f>
        <v/>
      </c>
      <c r="G299" s="125" t="n">
        <v>46202</v>
      </c>
      <c r="H299" s="125" t="n">
        <v>46213</v>
      </c>
      <c r="I299" s="127" t="n">
        <v>40</v>
      </c>
      <c r="J299" s="124">
        <f>IF(I299="","待估算",IF(F299="已完成","已结束",IF(AND(ISNUMBER(G299),ISNUMBER(H299),G299&lt;='项目驾驶舱'!$B$3,H299&gt;='项目驾驶舱'!$B$3),"进行中","计划中")))</f>
        <v/>
      </c>
      <c r="K299" s="124">
        <f>IF(J299="待估算","补充投入工时",IF(AND(H299&lt;'项目驾驶舱'!$B$3,F299&lt;&gt;"已完成"),"确认延期和后续安排","按计划跟踪"))</f>
        <v/>
      </c>
      <c r="L299" s="127" t="n"/>
    </row>
    <row r="300">
      <c r="C300" s="124" t="inlineStr">
        <is>
          <t>T001</t>
        </is>
      </c>
      <c r="D300" s="124" t="inlineStr">
        <is>
          <t>新增车辆信息</t>
        </is>
      </c>
      <c r="E300" s="124" t="inlineStr">
        <is>
          <t>第一批次</t>
        </is>
      </c>
      <c r="F300" s="124">
        <f>IF(OR(M4="挂起",M4="暂停",Q4="挂起",Q4="暂停",U4="挂起",U4="暂停",Y4="挂起",Y4="暂停"),"暂停","已完成")</f>
        <v/>
      </c>
      <c r="G300" s="125" t="n">
        <v>46216</v>
      </c>
      <c r="H300" s="125" t="n">
        <v>46234</v>
      </c>
      <c r="I300" s="127" t="n">
        <v>40</v>
      </c>
      <c r="J300" s="124">
        <f>IF(I300="","待估算",IF(F300="已完成","已结束",IF(AND(ISNUMBER(G300),ISNUMBER(H300),G300&lt;='项目驾驶舱'!$B$3,H300&gt;='项目驾驶舱'!$B$3),"进行中","计划中")))</f>
        <v/>
      </c>
      <c r="K300" s="124">
        <f>IF(J300="待估算","补充投入工时",IF(AND(H300&lt;'项目驾驶舱'!$B$3,F300&lt;&gt;"已完成"),"确认延期和后续安排","按计划跟踪"))</f>
        <v/>
      </c>
      <c r="L300" s="127" t="n"/>
    </row>
    <row r="301">
      <c r="C301" s="124" t="inlineStr">
        <is>
          <t>T002</t>
        </is>
      </c>
      <c r="D301" s="124" t="inlineStr">
        <is>
          <t>修改车辆信息</t>
        </is>
      </c>
      <c r="E301" s="124" t="inlineStr">
        <is>
          <t>第一批次</t>
        </is>
      </c>
      <c r="F301" s="124">
        <f>IF(OR(M5="挂起",M5="暂停",Q5="挂起",Q5="暂停",U5="挂起",U5="暂停",Y5="挂起",Y5="暂停"),"暂停","已完成")</f>
        <v/>
      </c>
      <c r="G301" s="125" t="n">
        <v>46216</v>
      </c>
      <c r="H301" s="125" t="n">
        <v>46234</v>
      </c>
      <c r="I301" s="127" t="n">
        <v>40</v>
      </c>
      <c r="J301" s="124">
        <f>IF(I301="","待估算",IF(F301="已完成","已结束",IF(AND(ISNUMBER(G301),ISNUMBER(H301),G301&lt;='项目驾驶舱'!$B$3,H301&gt;='项目驾驶舱'!$B$3),"进行中","计划中")))</f>
        <v/>
      </c>
      <c r="K301" s="124">
        <f>IF(J301="待估算","补充投入工时",IF(AND(H301&lt;'项目驾驶舱'!$B$3,F301&lt;&gt;"已完成"),"确认延期和后续安排","按计划跟踪"))</f>
        <v/>
      </c>
      <c r="L301" s="127" t="n"/>
    </row>
    <row r="302">
      <c r="C302" s="124" t="inlineStr">
        <is>
          <t>T003</t>
        </is>
      </c>
      <c r="D302" s="124" t="inlineStr">
        <is>
          <t>删除车辆信息</t>
        </is>
      </c>
      <c r="E302" s="124" t="inlineStr">
        <is>
          <t>第一批次</t>
        </is>
      </c>
      <c r="F302" s="124">
        <f>IF(OR(M6="挂起",M6="暂停",Q6="挂起",Q6="暂停",U6="挂起",U6="暂停",Y6="挂起",Y6="暂停"),"暂停","已完成")</f>
        <v/>
      </c>
      <c r="G302" s="125" t="n">
        <v>46216</v>
      </c>
      <c r="H302" s="125" t="n">
        <v>46234</v>
      </c>
      <c r="I302" s="127" t="n">
        <v>40</v>
      </c>
      <c r="J302" s="124">
        <f>IF(I302="","待估算",IF(F302="已完成","已结束",IF(AND(ISNUMBER(G302),ISNUMBER(H302),G302&lt;='项目驾驶舱'!$B$3,H302&gt;='项目驾驶舱'!$B$3),"进行中","计划中")))</f>
        <v/>
      </c>
      <c r="K302" s="124">
        <f>IF(J302="待估算","补充投入工时",IF(AND(H302&lt;'项目驾驶舱'!$B$3,F302&lt;&gt;"已完成"),"确认延期和后续安排","按计划跟踪"))</f>
        <v/>
      </c>
      <c r="L302" s="127" t="n"/>
    </row>
    <row r="303">
      <c r="C303" s="124" t="inlineStr">
        <is>
          <t>T004</t>
        </is>
      </c>
      <c r="D303" s="124" t="inlineStr">
        <is>
          <t>查询展示车辆信息</t>
        </is>
      </c>
      <c r="E303" s="124" t="inlineStr">
        <is>
          <t>第一批次</t>
        </is>
      </c>
      <c r="F303" s="124">
        <f>IF(OR(M7="挂起",M7="暂停",Q7="挂起",Q7="暂停",U7="挂起",U7="暂停",Y7="挂起",Y7="暂停"),"暂停","已完成")</f>
        <v/>
      </c>
      <c r="G303" s="125" t="n">
        <v>46216</v>
      </c>
      <c r="H303" s="125" t="n">
        <v>46234</v>
      </c>
      <c r="I303" s="127" t="n">
        <v>40</v>
      </c>
      <c r="J303" s="124">
        <f>IF(I303="","待估算",IF(F303="已完成","已结束",IF(AND(ISNUMBER(G303),ISNUMBER(H303),G303&lt;='项目驾驶舱'!$B$3,H303&gt;='项目驾驶舱'!$B$3),"进行中","计划中")))</f>
        <v/>
      </c>
      <c r="K303" s="124">
        <f>IF(J303="待估算","补充投入工时",IF(AND(H303&lt;'项目驾驶舱'!$B$3,F303&lt;&gt;"已完成"),"确认延期和后续安排","按计划跟踪"))</f>
        <v/>
      </c>
      <c r="L303" s="127" t="n"/>
    </row>
    <row r="304">
      <c r="C304" s="124" t="inlineStr">
        <is>
          <t>T006</t>
        </is>
      </c>
      <c r="D304" s="124" t="inlineStr">
        <is>
          <t>优化收费标准（装卸费）新增</t>
        </is>
      </c>
      <c r="E304" s="124" t="inlineStr">
        <is>
          <t>第一批次</t>
        </is>
      </c>
      <c r="F304" s="124">
        <f>IF(OR(M9="挂起",M9="暂停",Q9="挂起",Q9="暂停",U9="挂起",U9="暂停",Y9="挂起",Y9="暂停"),"暂停","已完成")</f>
        <v/>
      </c>
      <c r="G304" s="125" t="n">
        <v>46216</v>
      </c>
      <c r="H304" s="125" t="n">
        <v>46234</v>
      </c>
      <c r="I304" s="127" t="n">
        <v>40</v>
      </c>
      <c r="J304" s="124">
        <f>IF(I304="","待估算",IF(F304="已完成","已结束",IF(AND(ISNUMBER(G304),ISNUMBER(H304),G304&lt;='项目驾驶舱'!$B$3,H304&gt;='项目驾驶舱'!$B$3),"进行中","计划中")))</f>
        <v/>
      </c>
      <c r="K304" s="124">
        <f>IF(J304="待估算","补充投入工时",IF(AND(H304&lt;'项目驾驶舱'!$B$3,F304&lt;&gt;"已完成"),"确认延期和后续安排","按计划跟踪"))</f>
        <v/>
      </c>
      <c r="L304" s="127" t="n"/>
    </row>
    <row r="305">
      <c r="C305" s="124" t="inlineStr">
        <is>
          <t>T007</t>
        </is>
      </c>
      <c r="D305" s="124" t="inlineStr">
        <is>
          <t>优化收费标准（装卸费）编辑</t>
        </is>
      </c>
      <c r="E305" s="124" t="inlineStr">
        <is>
          <t>第一批次</t>
        </is>
      </c>
      <c r="F305" s="124">
        <f>IF(OR(M10="挂起",M10="暂停",Q10="挂起",Q10="暂停",U10="挂起",U10="暂停",Y10="挂起",Y10="暂停"),"暂停","已完成")</f>
        <v/>
      </c>
      <c r="G305" s="125" t="n">
        <v>46216</v>
      </c>
      <c r="H305" s="125" t="n">
        <v>46234</v>
      </c>
      <c r="I305" s="127" t="n">
        <v>40</v>
      </c>
      <c r="J305" s="124">
        <f>IF(I305="","待估算",IF(F305="已完成","已结束",IF(AND(ISNUMBER(G305),ISNUMBER(H305),G305&lt;='项目驾驶舱'!$B$3,H305&gt;='项目驾驶舱'!$B$3),"进行中","计划中")))</f>
        <v/>
      </c>
      <c r="K305" s="124">
        <f>IF(J305="待估算","补充投入工时",IF(AND(H305&lt;'项目驾驶舱'!$B$3,F305&lt;&gt;"已完成"),"确认延期和后续安排","按计划跟踪"))</f>
        <v/>
      </c>
      <c r="L305" s="127" t="n"/>
    </row>
    <row r="306">
      <c r="C306" s="124" t="inlineStr">
        <is>
          <t>T008</t>
        </is>
      </c>
      <c r="D306" s="124" t="inlineStr">
        <is>
          <t>优化收费标准（装卸费）详情</t>
        </is>
      </c>
      <c r="E306" s="124" t="inlineStr">
        <is>
          <t>第一批次</t>
        </is>
      </c>
      <c r="F306" s="124">
        <f>IF(OR(M11="挂起",M11="暂停",Q11="挂起",Q11="暂停",U11="挂起",U11="暂停",Y11="挂起",Y11="暂停"),"暂停","已完成")</f>
        <v/>
      </c>
      <c r="G306" s="125" t="n">
        <v>46216</v>
      </c>
      <c r="H306" s="125" t="n">
        <v>46234</v>
      </c>
      <c r="I306" s="127" t="n">
        <v>40</v>
      </c>
      <c r="J306" s="124">
        <f>IF(I306="","待估算",IF(F306="已完成","已结束",IF(AND(ISNUMBER(G306),ISNUMBER(H306),G306&lt;='项目驾驶舱'!$B$3,H306&gt;='项目驾驶舱'!$B$3),"进行中","计划中")))</f>
        <v/>
      </c>
      <c r="K306" s="124">
        <f>IF(J306="待估算","补充投入工时",IF(AND(H306&lt;'项目驾驶舱'!$B$3,F306&lt;&gt;"已完成"),"确认延期和后续安排","按计划跟踪"))</f>
        <v/>
      </c>
      <c r="L306" s="127" t="n"/>
    </row>
    <row r="307">
      <c r="C307" s="124" t="inlineStr">
        <is>
          <t>T009</t>
        </is>
      </c>
      <c r="D307" s="124" t="inlineStr">
        <is>
          <t>优化采样方式新增</t>
        </is>
      </c>
      <c r="E307" s="124" t="inlineStr">
        <is>
          <t>第一批次</t>
        </is>
      </c>
      <c r="F307" s="124">
        <f>IF(OR(M12="挂起",M12="暂停",Q12="挂起",Q12="暂停",U12="挂起",U12="暂停",Y12="挂起",Y12="暂停"),"暂停","已完成")</f>
        <v/>
      </c>
      <c r="G307" s="125" t="n">
        <v>46216</v>
      </c>
      <c r="H307" s="125" t="n">
        <v>46234</v>
      </c>
      <c r="I307" s="127" t="n">
        <v>40</v>
      </c>
      <c r="J307" s="124">
        <f>IF(I307="","待估算",IF(F307="已完成","已结束",IF(AND(ISNUMBER(G307),ISNUMBER(H307),G307&lt;='项目驾驶舱'!$B$3,H307&gt;='项目驾驶舱'!$B$3),"进行中","计划中")))</f>
        <v/>
      </c>
      <c r="K307" s="124">
        <f>IF(J307="待估算","补充投入工时",IF(AND(H307&lt;'项目驾驶舱'!$B$3,F307&lt;&gt;"已完成"),"确认延期和后续安排","按计划跟踪"))</f>
        <v/>
      </c>
      <c r="L307" s="127" t="n"/>
    </row>
    <row r="308">
      <c r="A308" s="22" t="n"/>
      <c r="B308" s="22" t="n"/>
      <c r="C308" s="124" t="inlineStr">
        <is>
          <t>T010</t>
        </is>
      </c>
      <c r="D308" s="124" t="inlineStr">
        <is>
          <t>优化采样方式编辑</t>
        </is>
      </c>
      <c r="E308" s="124" t="inlineStr">
        <is>
          <t>第一批次</t>
        </is>
      </c>
      <c r="F308" s="124">
        <f>IF(OR(M13="挂起",M13="暂停",Q13="挂起",Q13="暂停",U13="挂起",U13="暂停",Y13="挂起",Y13="暂停"),"暂停","已完成")</f>
        <v/>
      </c>
      <c r="G308" s="125" t="n">
        <v>46216</v>
      </c>
      <c r="H308" s="125" t="n">
        <v>46234</v>
      </c>
      <c r="I308" s="127" t="n">
        <v>40</v>
      </c>
      <c r="J308" s="124">
        <f>IF(I308="","待估算",IF(F308="已完成","已结束",IF(AND(ISNUMBER(G308),ISNUMBER(H308),G308&lt;='项目驾驶舱'!$B$3,H308&gt;='项目驾驶舱'!$B$3),"进行中","计划中")))</f>
        <v/>
      </c>
      <c r="K308" s="124">
        <f>IF(J308="待估算","补充投入工时",IF(AND(H308&lt;'项目驾驶舱'!$B$3,F308&lt;&gt;"已完成"),"确认延期和后续安排","按计划跟踪"))</f>
        <v/>
      </c>
      <c r="L308" s="127" t="n"/>
    </row>
    <row r="309">
      <c r="A309" s="133" t="inlineStr">
        <is>
          <t>袁丽荣</t>
        </is>
      </c>
      <c r="B309" s="133" t="inlineStr">
        <is>
          <t>测试</t>
        </is>
      </c>
      <c r="C309" s="124" t="inlineStr">
        <is>
          <t>T011</t>
        </is>
      </c>
      <c r="D309" s="124" t="inlineStr">
        <is>
          <t>获取报单数据及展示</t>
        </is>
      </c>
      <c r="E309" s="124" t="inlineStr">
        <is>
          <t>第一批次</t>
        </is>
      </c>
      <c r="F309" s="124">
        <f>IF(OR(M14="挂起",M14="暂停",Q14="挂起",Q14="暂停",U14="挂起",U14="暂停",Y14="挂起",Y14="暂停"),"暂停","已完成")</f>
        <v/>
      </c>
      <c r="G309" s="125" t="n">
        <v>46216</v>
      </c>
      <c r="H309" s="125" t="n">
        <v>46234</v>
      </c>
      <c r="I309" s="127" t="n">
        <v>40</v>
      </c>
      <c r="J309" s="124">
        <f>IF(I309="","待估算",IF(F309="已完成","已结束",IF(AND(ISNUMBER(G309),ISNUMBER(H309),G309&lt;='项目驾驶舱'!$B$3,H309&gt;='项目驾驶舱'!$B$3),"进行中","计划中")))</f>
        <v/>
      </c>
      <c r="K309" s="124">
        <f>IF(J309="待估算","补充投入工时",IF(AND(H309&lt;'项目驾驶舱'!$B$3,F309&lt;&gt;"已完成"),"确认延期和后续安排","按计划跟踪"))</f>
        <v/>
      </c>
      <c r="L309" s="127" t="n"/>
    </row>
    <row r="310">
      <c r="C310" s="124" t="inlineStr">
        <is>
          <t>T012</t>
        </is>
      </c>
      <c r="D310" s="124" t="inlineStr">
        <is>
          <t>应单入口</t>
        </is>
      </c>
      <c r="E310" s="124" t="inlineStr">
        <is>
          <t>第一批次</t>
        </is>
      </c>
      <c r="F310" s="124">
        <f>IF(OR(M15="挂起",M15="暂停",Q15="挂起",Q15="暂停",U15="挂起",U15="暂停",Y15="挂起",Y15="暂停"),"暂停","已完成")</f>
        <v/>
      </c>
      <c r="G310" s="125" t="n">
        <v>46216</v>
      </c>
      <c r="H310" s="125" t="n">
        <v>46234</v>
      </c>
      <c r="I310" s="127" t="n">
        <v>40</v>
      </c>
      <c r="J310" s="124">
        <f>IF(I310="","待估算",IF(F310="已完成","已结束",IF(AND(ISNUMBER(G310),ISNUMBER(H310),G310&lt;='项目驾驶舱'!$B$3,H310&gt;='项目驾驶舱'!$B$3),"进行中","计划中")))</f>
        <v/>
      </c>
      <c r="K310" s="124">
        <f>IF(J310="待估算","补充投入工时",IF(AND(H310&lt;'项目驾驶舱'!$B$3,F310&lt;&gt;"已完成"),"确认延期和后续安排","按计划跟踪"))</f>
        <v/>
      </c>
      <c r="L310" s="127" t="n"/>
    </row>
    <row r="311">
      <c r="C311" s="124" t="inlineStr">
        <is>
          <t>T050</t>
        </is>
      </c>
      <c r="D311" s="124" t="inlineStr">
        <is>
          <t>维护需跟踪船舶清单</t>
        </is>
      </c>
      <c r="E311" s="124" t="inlineStr">
        <is>
          <t>第一批次</t>
        </is>
      </c>
      <c r="F311" s="124">
        <f>IF(OR(M53="挂起",M53="暂停",Q53="挂起",Q53="暂停",U53="挂起",U53="暂停",Y53="挂起",Y53="暂停"),"暂停","进行中")</f>
        <v/>
      </c>
      <c r="G311" s="125" t="n">
        <v>46216</v>
      </c>
      <c r="H311" s="125" t="n">
        <v>46234</v>
      </c>
      <c r="I311" s="127" t="n">
        <v>40</v>
      </c>
      <c r="J311" s="124">
        <f>IF(I311="","待估算",IF(F311="已完成","已结束",IF(AND(ISNUMBER(G311),ISNUMBER(H311),G311&lt;='项目驾驶舱'!$B$3,H311&gt;='项目驾驶舱'!$B$3),"进行中","计划中")))</f>
        <v/>
      </c>
      <c r="K311" s="124">
        <f>IF(J311="待估算","补充投入工时",IF(AND(H311&lt;'项目驾驶舱'!$B$3,F311&lt;&gt;"已完成"),"确认延期和后续安排","按计划跟踪"))</f>
        <v/>
      </c>
      <c r="L311" s="127" t="n"/>
    </row>
    <row r="312">
      <c r="C312" s="124" t="inlineStr">
        <is>
          <t>T051</t>
        </is>
      </c>
      <c r="D312" s="124" t="inlineStr">
        <is>
          <t>根据船舶清单更新第三方系统推送数据船舶清单</t>
        </is>
      </c>
      <c r="E312" s="124" t="inlineStr">
        <is>
          <t>第一批次</t>
        </is>
      </c>
      <c r="F312" s="124">
        <f>IF(OR(M54="挂起",M54="暂停",Q54="挂起",Q54="暂停",U54="挂起",U54="暂停",Y54="挂起",Y54="暂停"),"暂停","进行中")</f>
        <v/>
      </c>
      <c r="G312" s="125" t="n">
        <v>46216</v>
      </c>
      <c r="H312" s="125" t="n">
        <v>46234</v>
      </c>
      <c r="I312" s="127" t="n">
        <v>40</v>
      </c>
      <c r="J312" s="124">
        <f>IF(I312="","待估算",IF(F312="已完成","已结束",IF(AND(ISNUMBER(G312),ISNUMBER(H312),G312&lt;='项目驾驶舱'!$B$3,H312&gt;='项目驾驶舱'!$B$3),"进行中","计划中")))</f>
        <v/>
      </c>
      <c r="K312" s="124">
        <f>IF(J312="待估算","补充投入工时",IF(AND(H312&lt;'项目驾驶舱'!$B$3,F312&lt;&gt;"已完成"),"确认延期和后续安排","按计划跟踪"))</f>
        <v/>
      </c>
      <c r="L312" s="127" t="n"/>
    </row>
    <row r="313">
      <c r="C313" s="124" t="inlineStr">
        <is>
          <t>T052</t>
        </is>
      </c>
      <c r="D313" s="124" t="inlineStr">
        <is>
          <t>船舶轨迹跟踪</t>
        </is>
      </c>
      <c r="E313" s="124" t="inlineStr">
        <is>
          <t>第一批次</t>
        </is>
      </c>
      <c r="F313" s="124">
        <f>IF(OR(M55="挂起",M55="暂停",Q55="挂起",Q55="暂停",U55="挂起",U55="暂停",Y55="挂起",Y55="暂停"),"暂停","进行中")</f>
        <v/>
      </c>
      <c r="G313" s="125" t="n">
        <v>46216</v>
      </c>
      <c r="H313" s="125" t="n">
        <v>46234</v>
      </c>
      <c r="I313" s="127" t="n">
        <v>40</v>
      </c>
      <c r="J313" s="124">
        <f>IF(I313="","待估算",IF(F313="已完成","已结束",IF(AND(ISNUMBER(G313),ISNUMBER(H313),G313&lt;='项目驾驶舱'!$B$3,H313&gt;='项目驾驶舱'!$B$3),"进行中","计划中")))</f>
        <v/>
      </c>
      <c r="K313" s="124">
        <f>IF(J313="待估算","补充投入工时",IF(AND(H313&lt;'项目驾驶舱'!$B$3,F313&lt;&gt;"已完成"),"确认延期和后续安排","按计划跟踪"))</f>
        <v/>
      </c>
      <c r="L313" s="127" t="n"/>
    </row>
    <row r="314">
      <c r="C314" s="124" t="inlineStr">
        <is>
          <t>T060</t>
        </is>
      </c>
      <c r="D314" s="124" t="inlineStr">
        <is>
          <t>货权录入</t>
        </is>
      </c>
      <c r="E314" s="124" t="inlineStr">
        <is>
          <t>第一批次</t>
        </is>
      </c>
      <c r="F314" s="124">
        <f>IF(OR(M63="挂起",M63="暂停",Q63="挂起",Q63="暂停",U63="挂起",U63="暂停",Y63="挂起",Y63="暂停"),"暂停","已完成")</f>
        <v/>
      </c>
      <c r="G314" s="125" t="n">
        <v>46216</v>
      </c>
      <c r="H314" s="125" t="n">
        <v>46234</v>
      </c>
      <c r="I314" s="127" t="n">
        <v>40</v>
      </c>
      <c r="J314" s="124">
        <f>IF(I314="","待估算",IF(F314="已完成","已结束",IF(AND(ISNUMBER(G314),ISNUMBER(H314),G314&lt;='项目驾驶舱'!$B$3,H314&gt;='项目驾驶舱'!$B$3),"进行中","计划中")))</f>
        <v/>
      </c>
      <c r="K314" s="124">
        <f>IF(J314="待估算","补充投入工时",IF(AND(H314&lt;'项目驾驶舱'!$B$3,F314&lt;&gt;"已完成"),"确认延期和后续安排","按计划跟踪"))</f>
        <v/>
      </c>
      <c r="L314" s="127" t="n"/>
    </row>
    <row r="315">
      <c r="C315" s="124" t="inlineStr">
        <is>
          <t>T061</t>
        </is>
      </c>
      <c r="D315" s="124" t="inlineStr">
        <is>
          <t>货权修改</t>
        </is>
      </c>
      <c r="E315" s="124" t="inlineStr">
        <is>
          <t>第一批次</t>
        </is>
      </c>
      <c r="F315" s="124">
        <f>IF(OR(M64="挂起",M64="暂停",Q64="挂起",Q64="暂停",U64="挂起",U64="暂停",Y64="挂起",Y64="暂停"),"暂停","已完成")</f>
        <v/>
      </c>
      <c r="G315" s="125" t="n">
        <v>46216</v>
      </c>
      <c r="H315" s="125" t="n">
        <v>46234</v>
      </c>
      <c r="I315" s="127" t="n">
        <v>40</v>
      </c>
      <c r="J315" s="124">
        <f>IF(I315="","待估算",IF(F315="已完成","已结束",IF(AND(ISNUMBER(G315),ISNUMBER(H315),G315&lt;='项目驾驶舱'!$B$3,H315&gt;='项目驾驶舱'!$B$3),"进行中","计划中")))</f>
        <v/>
      </c>
      <c r="K315" s="124">
        <f>IF(J315="待估算","补充投入工时",IF(AND(H315&lt;'项目驾驶舱'!$B$3,F315&lt;&gt;"已完成"),"确认延期和后续安排","按计划跟踪"))</f>
        <v/>
      </c>
      <c r="L315" s="127" t="n"/>
    </row>
    <row r="316">
      <c r="C316" s="124" t="inlineStr">
        <is>
          <t>T062</t>
        </is>
      </c>
      <c r="D316" s="124" t="inlineStr">
        <is>
          <t>获取查询</t>
        </is>
      </c>
      <c r="E316" s="124" t="inlineStr">
        <is>
          <t>第一批次</t>
        </is>
      </c>
      <c r="F316" s="124">
        <f>IF(OR(M65="挂起",M65="暂停",Q65="挂起",Q65="暂停",U65="挂起",U65="暂停",Y65="挂起",Y65="暂停"),"暂停","已完成")</f>
        <v/>
      </c>
      <c r="G316" s="125" t="n">
        <v>46216</v>
      </c>
      <c r="H316" s="125" t="n">
        <v>46234</v>
      </c>
      <c r="I316" s="127" t="n">
        <v>40</v>
      </c>
      <c r="J316" s="124">
        <f>IF(I316="","待估算",IF(F316="已完成","已结束",IF(AND(ISNUMBER(G316),ISNUMBER(H316),G316&lt;='项目驾驶舱'!$B$3,H316&gt;='项目驾驶舱'!$B$3),"进行中","计划中")))</f>
        <v/>
      </c>
      <c r="K316" s="124">
        <f>IF(J316="待估算","补充投入工时",IF(AND(H316&lt;'项目驾驶舱'!$B$3,F316&lt;&gt;"已完成"),"确认延期和后续安排","按计划跟踪"))</f>
        <v/>
      </c>
      <c r="L316" s="127" t="n"/>
    </row>
    <row r="317">
      <c r="C317" s="124" t="inlineStr">
        <is>
          <t>T063</t>
        </is>
      </c>
      <c r="D317" s="124" t="inlineStr">
        <is>
          <t>卸船作业货权跟踪</t>
        </is>
      </c>
      <c r="E317" s="124" t="inlineStr">
        <is>
          <t>第一批次</t>
        </is>
      </c>
      <c r="F317" s="124">
        <f>IF(OR(M66="挂起",M66="暂停",Q66="挂起",Q66="暂停",U66="挂起",U66="暂停",Y66="挂起",Y66="暂停"),"暂停","已完成")</f>
        <v/>
      </c>
      <c r="G317" s="125" t="n">
        <v>46216</v>
      </c>
      <c r="H317" s="125" t="n">
        <v>46234</v>
      </c>
      <c r="I317" s="127" t="n">
        <v>40</v>
      </c>
      <c r="J317" s="124">
        <f>IF(I317="","待估算",IF(F317="已完成","已结束",IF(AND(ISNUMBER(G317),ISNUMBER(H317),G317&lt;='项目驾驶舱'!$B$3,H317&gt;='项目驾驶舱'!$B$3),"进行中","计划中")))</f>
        <v/>
      </c>
      <c r="K317" s="124">
        <f>IF(J317="待估算","补充投入工时",IF(AND(H317&lt;'项目驾驶舱'!$B$3,F317&lt;&gt;"已完成"),"确认延期和后续安排","按计划跟踪"))</f>
        <v/>
      </c>
      <c r="L317" s="127" t="n"/>
    </row>
    <row r="318">
      <c r="C318" s="124" t="inlineStr">
        <is>
          <t>T064</t>
        </is>
      </c>
      <c r="D318" s="124" t="inlineStr">
        <is>
          <t>卸船作业货权跟踪</t>
        </is>
      </c>
      <c r="E318" s="124" t="inlineStr">
        <is>
          <t>第一批次</t>
        </is>
      </c>
      <c r="F318" s="124">
        <f>IF(OR(M67="挂起",M67="暂停",Q67="挂起",Q67="暂停",U67="挂起",U67="暂停",Y67="挂起",Y67="暂停"),"暂停","已完成")</f>
        <v/>
      </c>
      <c r="G318" s="125" t="n">
        <v>46216</v>
      </c>
      <c r="H318" s="125" t="n">
        <v>46234</v>
      </c>
      <c r="I318" s="127" t="n">
        <v>40</v>
      </c>
      <c r="J318" s="124">
        <f>IF(I318="","待估算",IF(F318="已完成","已结束",IF(AND(ISNUMBER(G318),ISNUMBER(H318),G318&lt;='项目驾驶舱'!$B$3,H318&gt;='项目驾驶舱'!$B$3),"进行中","计划中")))</f>
        <v/>
      </c>
      <c r="K318" s="124">
        <f>IF(J318="待估算","补充投入工时",IF(AND(H318&lt;'项目驾驶舱'!$B$3,F318&lt;&gt;"已完成"),"确认延期和后续安排","按计划跟踪"))</f>
        <v/>
      </c>
      <c r="L318" s="127" t="n"/>
    </row>
    <row r="319">
      <c r="C319" s="124" t="inlineStr">
        <is>
          <t>T065</t>
        </is>
      </c>
      <c r="D319" s="124" t="inlineStr">
        <is>
          <t>装船作业货权跟踪</t>
        </is>
      </c>
      <c r="E319" s="124" t="inlineStr">
        <is>
          <t>第一批次</t>
        </is>
      </c>
      <c r="F319" s="124">
        <f>IF(OR(M68="挂起",M68="暂停",Q68="挂起",Q68="暂停",U68="挂起",U68="暂停",Y68="挂起",Y68="暂停"),"暂停","已完成")</f>
        <v/>
      </c>
      <c r="G319" s="125" t="n">
        <v>46216</v>
      </c>
      <c r="H319" s="125" t="n">
        <v>46234</v>
      </c>
      <c r="I319" s="127" t="n">
        <v>40</v>
      </c>
      <c r="J319" s="124">
        <f>IF(I319="","待估算",IF(F319="已完成","已结束",IF(AND(ISNUMBER(G319),ISNUMBER(H319),G319&lt;='项目驾驶舱'!$B$3,H319&gt;='项目驾驶舱'!$B$3),"进行中","计划中")))</f>
        <v/>
      </c>
      <c r="K319" s="124">
        <f>IF(J319="待估算","补充投入工时",IF(AND(H319&lt;'项目驾驶舱'!$B$3,F319&lt;&gt;"已完成"),"确认延期和后续安排","按计划跟踪"))</f>
        <v/>
      </c>
      <c r="L319" s="127" t="n"/>
    </row>
    <row r="320">
      <c r="A320" s="22" t="n"/>
      <c r="B320" s="22" t="n"/>
      <c r="C320" s="124" t="inlineStr">
        <is>
          <t>T066</t>
        </is>
      </c>
      <c r="D320" s="124" t="inlineStr">
        <is>
          <t>装船作业货权跟踪</t>
        </is>
      </c>
      <c r="E320" s="124" t="inlineStr">
        <is>
          <t>第一批次</t>
        </is>
      </c>
      <c r="F320" s="124">
        <f>IF(OR(M69="挂起",M69="暂停",Q69="挂起",Q69="暂停",U69="挂起",U69="暂停",Y69="挂起",Y69="暂停"),"暂停","已完成")</f>
        <v/>
      </c>
      <c r="G320" s="125" t="n">
        <v>46216</v>
      </c>
      <c r="H320" s="125" t="n">
        <v>46234</v>
      </c>
      <c r="I320" s="127" t="n">
        <v>40</v>
      </c>
      <c r="J320" s="124">
        <f>IF(I320="","待估算",IF(F320="已完成","已结束",IF(AND(ISNUMBER(G320),ISNUMBER(H320),G320&lt;='项目驾驶舱'!$B$3,H320&gt;='项目驾驶舱'!$B$3),"进行中","计划中")))</f>
        <v/>
      </c>
      <c r="K320" s="124">
        <f>IF(J320="待估算","补充投入工时",IF(AND(H320&lt;'项目驾驶舱'!$B$3,F320&lt;&gt;"已完成"),"确认延期和后续安排","按计划跟踪"))</f>
        <v/>
      </c>
      <c r="L320" s="127" t="n"/>
    </row>
    <row r="321">
      <c r="A321" s="133" t="inlineStr">
        <is>
          <t>袁丽荣</t>
        </is>
      </c>
      <c r="B321" s="133" t="inlineStr">
        <is>
          <t>测试</t>
        </is>
      </c>
      <c r="C321" s="124" t="inlineStr">
        <is>
          <t>T067</t>
        </is>
      </c>
      <c r="D321" s="124" t="inlineStr">
        <is>
          <t>装船作业货权跟踪</t>
        </is>
      </c>
      <c r="E321" s="124" t="inlineStr">
        <is>
          <t>第一批次</t>
        </is>
      </c>
      <c r="F321" s="124">
        <f>IF(OR(M70="挂起",M70="暂停",Q70="挂起",Q70="暂停",U70="挂起",U70="暂停",Y70="挂起",Y70="暂停"),"暂停","已完成")</f>
        <v/>
      </c>
      <c r="G321" s="125" t="n">
        <v>46216</v>
      </c>
      <c r="H321" s="125" t="n">
        <v>46234</v>
      </c>
      <c r="I321" s="127" t="n">
        <v>40</v>
      </c>
      <c r="J321" s="124">
        <f>IF(I321="","待估算",IF(F321="已完成","已结束",IF(AND(ISNUMBER(G321),ISNUMBER(H321),G321&lt;='项目驾驶舱'!$B$3,H321&gt;='项目驾驶舱'!$B$3),"进行中","计划中")))</f>
        <v/>
      </c>
      <c r="K321" s="124">
        <f>IF(J321="待估算","补充投入工时",IF(AND(H321&lt;'项目驾驶舱'!$B$3,F321&lt;&gt;"已完成"),"确认延期和后续安排","按计划跟踪"))</f>
        <v/>
      </c>
      <c r="L321" s="127" t="n"/>
    </row>
    <row r="322">
      <c r="C322" s="124" t="inlineStr">
        <is>
          <t>T068</t>
        </is>
      </c>
      <c r="D322" s="124" t="inlineStr">
        <is>
          <t>装船作业货权跟踪</t>
        </is>
      </c>
      <c r="E322" s="124" t="inlineStr">
        <is>
          <t>第一批次</t>
        </is>
      </c>
      <c r="F322" s="124">
        <f>IF(OR(M71="挂起",M71="暂停",Q71="挂起",Q71="暂停",U71="挂起",U71="暂停",Y71="挂起",Y71="暂停"),"暂停","已完成")</f>
        <v/>
      </c>
      <c r="G322" s="125" t="n">
        <v>46216</v>
      </c>
      <c r="H322" s="125" t="n">
        <v>46234</v>
      </c>
      <c r="I322" s="127" t="n">
        <v>40</v>
      </c>
      <c r="J322" s="124">
        <f>IF(I322="","待估算",IF(F322="已完成","已结束",IF(AND(ISNUMBER(G322),ISNUMBER(H322),G322&lt;='项目驾驶舱'!$B$3,H322&gt;='项目驾驶舱'!$B$3),"进行中","计划中")))</f>
        <v/>
      </c>
      <c r="K322" s="124">
        <f>IF(J322="待估算","补充投入工时",IF(AND(H322&lt;'项目驾驶舱'!$B$3,F322&lt;&gt;"已完成"),"确认延期和后续安排","按计划跟踪"))</f>
        <v/>
      </c>
      <c r="L322" s="127" t="n"/>
    </row>
    <row r="323">
      <c r="C323" s="124" t="inlineStr">
        <is>
          <t>T069</t>
        </is>
      </c>
      <c r="D323" s="124" t="inlineStr">
        <is>
          <t>新增、详情、修改页内容调整</t>
        </is>
      </c>
      <c r="E323" s="124" t="inlineStr">
        <is>
          <t>第一批次</t>
        </is>
      </c>
      <c r="F323" s="124">
        <f>IF(OR(M72="挂起",M72="暂停",Q72="挂起",Q72="暂停",U72="挂起",U72="暂停",Y72="挂起",Y72="暂停"),"暂停","已完成")</f>
        <v/>
      </c>
      <c r="G323" s="125" t="n">
        <v>46216</v>
      </c>
      <c r="H323" s="125" t="n">
        <v>46234</v>
      </c>
      <c r="I323" s="127" t="n">
        <v>40</v>
      </c>
      <c r="J323" s="124">
        <f>IF(I323="","待估算",IF(F323="已完成","已结束",IF(AND(ISNUMBER(G323),ISNUMBER(H323),G323&lt;='项目驾驶舱'!$B$3,H323&gt;='项目驾驶舱'!$B$3),"进行中","计划中")))</f>
        <v/>
      </c>
      <c r="K323" s="124">
        <f>IF(J323="待估算","补充投入工时",IF(AND(H323&lt;'项目驾驶舱'!$B$3,F323&lt;&gt;"已完成"),"确认延期和后续安排","按计划跟踪"))</f>
        <v/>
      </c>
      <c r="L323" s="127" t="n"/>
    </row>
    <row r="324">
      <c r="C324" s="124" t="inlineStr">
        <is>
          <t>T072</t>
        </is>
      </c>
      <c r="D324" s="124" t="inlineStr">
        <is>
          <t>OCR识别</t>
        </is>
      </c>
      <c r="E324" s="124" t="inlineStr">
        <is>
          <t>第一批次</t>
        </is>
      </c>
      <c r="F324" s="124">
        <f>IF(OR(M75="挂起",M75="暂停",Q75="挂起",Q75="暂停",U75="挂起",U75="暂停",Y75="挂起",Y75="暂停"),"暂停","已完成")</f>
        <v/>
      </c>
      <c r="G324" s="125" t="n">
        <v>46216</v>
      </c>
      <c r="H324" s="125" t="n">
        <v>46234</v>
      </c>
      <c r="I324" s="127" t="n">
        <v>40</v>
      </c>
      <c r="J324" s="124">
        <f>IF(I324="","待估算",IF(F324="已完成","已结束",IF(AND(ISNUMBER(G324),ISNUMBER(H324),G324&lt;='项目驾驶舱'!$B$3,H324&gt;='项目驾驶舱'!$B$3),"进行中","计划中")))</f>
        <v/>
      </c>
      <c r="K324" s="124">
        <f>IF(J324="待估算","补充投入工时",IF(AND(H324&lt;'项目驾驶舱'!$B$3,F324&lt;&gt;"已完成"),"确认延期和后续安排","按计划跟踪"))</f>
        <v/>
      </c>
      <c r="L324" s="127" t="n"/>
    </row>
    <row r="325">
      <c r="C325" s="124" t="inlineStr">
        <is>
          <t>T073</t>
        </is>
      </c>
      <c r="D325" s="124" t="inlineStr">
        <is>
          <t>采样作业信息录入新增</t>
        </is>
      </c>
      <c r="E325" s="124" t="inlineStr">
        <is>
          <t>第一批次</t>
        </is>
      </c>
      <c r="F325" s="124">
        <f>IF(OR(M76="挂起",M76="暂停",Q76="挂起",Q76="暂停",U76="挂起",U76="暂停",Y76="挂起",Y76="暂停"),"暂停","已完成")</f>
        <v/>
      </c>
      <c r="G325" s="125" t="n">
        <v>46216</v>
      </c>
      <c r="H325" s="125" t="n">
        <v>46234</v>
      </c>
      <c r="I325" s="127" t="n">
        <v>40</v>
      </c>
      <c r="J325" s="124">
        <f>IF(I325="","待估算",IF(F325="已完成","已结束",IF(AND(ISNUMBER(G325),ISNUMBER(H325),G325&lt;='项目驾驶舱'!$B$3,H325&gt;='项目驾驶舱'!$B$3),"进行中","计划中")))</f>
        <v/>
      </c>
      <c r="K325" s="124">
        <f>IF(J325="待估算","补充投入工时",IF(AND(H325&lt;'项目驾驶舱'!$B$3,F325&lt;&gt;"已完成"),"确认延期和后续安排","按计划跟踪"))</f>
        <v/>
      </c>
      <c r="L325" s="127" t="n"/>
    </row>
    <row r="326">
      <c r="C326" s="124" t="inlineStr">
        <is>
          <t>T074</t>
        </is>
      </c>
      <c r="D326" s="124" t="inlineStr">
        <is>
          <t>采样作业信息录入编辑</t>
        </is>
      </c>
      <c r="E326" s="124" t="inlineStr">
        <is>
          <t>第一批次</t>
        </is>
      </c>
      <c r="F326" s="124">
        <f>IF(OR(M77="挂起",M77="暂停",Q77="挂起",Q77="暂停",U77="挂起",U77="暂停",Y77="挂起",Y77="暂停"),"暂停","已完成")</f>
        <v/>
      </c>
      <c r="G326" s="125" t="n">
        <v>46216</v>
      </c>
      <c r="H326" s="125" t="n">
        <v>46234</v>
      </c>
      <c r="I326" s="127" t="n">
        <v>40</v>
      </c>
      <c r="J326" s="124">
        <f>IF(I326="","待估算",IF(F326="已完成","已结束",IF(AND(ISNUMBER(G326),ISNUMBER(H326),G326&lt;='项目驾驶舱'!$B$3,H326&gt;='项目驾驶舱'!$B$3),"进行中","计划中")))</f>
        <v/>
      </c>
      <c r="K326" s="124">
        <f>IF(J326="待估算","补充投入工时",IF(AND(H326&lt;'项目驾驶舱'!$B$3,F326&lt;&gt;"已完成"),"确认延期和后续安排","按计划跟踪"))</f>
        <v/>
      </c>
      <c r="L326" s="127" t="n"/>
    </row>
    <row r="327">
      <c r="C327" s="124" t="inlineStr">
        <is>
          <t>T075</t>
        </is>
      </c>
      <c r="D327" s="124" t="inlineStr">
        <is>
          <t>采样作业信息录入详情</t>
        </is>
      </c>
      <c r="E327" s="124" t="inlineStr">
        <is>
          <t>第一批次</t>
        </is>
      </c>
      <c r="F327" s="124">
        <f>IF(OR(M78="挂起",M78="暂停",Q78="挂起",Q78="暂停",U78="挂起",U78="暂停",Y78="挂起",Y78="暂停"),"暂停","已完成")</f>
        <v/>
      </c>
      <c r="G327" s="125" t="n">
        <v>46216</v>
      </c>
      <c r="H327" s="125" t="n">
        <v>46234</v>
      </c>
      <c r="I327" s="127" t="n">
        <v>40</v>
      </c>
      <c r="J327" s="124">
        <f>IF(I327="","待估算",IF(F327="已完成","已结束",IF(AND(ISNUMBER(G327),ISNUMBER(H327),G327&lt;='项目驾驶舱'!$B$3,H327&gt;='项目驾驶舱'!$B$3),"进行中","计划中")))</f>
        <v/>
      </c>
      <c r="K327" s="124">
        <f>IF(J327="待估算","补充投入工时",IF(AND(H327&lt;'项目驾驶舱'!$B$3,F327&lt;&gt;"已完成"),"确认延期和后续安排","按计划跟踪"))</f>
        <v/>
      </c>
      <c r="L327" s="127" t="n"/>
    </row>
    <row r="328">
      <c r="C328" s="124" t="inlineStr">
        <is>
          <t>T076</t>
        </is>
      </c>
      <c r="D328" s="124" t="inlineStr">
        <is>
          <t>采样作业信息录入删除</t>
        </is>
      </c>
      <c r="E328" s="124" t="inlineStr">
        <is>
          <t>第一批次</t>
        </is>
      </c>
      <c r="F328" s="124">
        <f>IF(OR(M79="挂起",M79="暂停",Q79="挂起",Q79="暂停",U79="挂起",U79="暂停",Y79="挂起",Y79="暂停"),"暂停","已完成")</f>
        <v/>
      </c>
      <c r="G328" s="125" t="n">
        <v>46216</v>
      </c>
      <c r="H328" s="125" t="n">
        <v>46234</v>
      </c>
      <c r="I328" s="127" t="n">
        <v>40</v>
      </c>
      <c r="J328" s="124">
        <f>IF(I328="","待估算",IF(F328="已完成","已结束",IF(AND(ISNUMBER(G328),ISNUMBER(H328),G328&lt;='项目驾驶舱'!$B$3,H328&gt;='项目驾驶舱'!$B$3),"进行中","计划中")))</f>
        <v/>
      </c>
      <c r="K328" s="124">
        <f>IF(J328="待估算","补充投入工时",IF(AND(H328&lt;'项目驾驶舱'!$B$3,F328&lt;&gt;"已完成"),"确认延期和后续安排","按计划跟踪"))</f>
        <v/>
      </c>
      <c r="L328" s="127" t="n"/>
    </row>
    <row r="329">
      <c r="C329" s="124" t="inlineStr">
        <is>
          <t>T077</t>
        </is>
      </c>
      <c r="D329" s="124" t="inlineStr">
        <is>
          <t>采样作业信息录入列表</t>
        </is>
      </c>
      <c r="E329" s="124" t="inlineStr">
        <is>
          <t>第一批次</t>
        </is>
      </c>
      <c r="F329" s="124">
        <f>IF(OR(M80="挂起",M80="暂停",Q80="挂起",Q80="暂停",U80="挂起",U80="暂停",Y80="挂起",Y80="暂停"),"暂停","已完成")</f>
        <v/>
      </c>
      <c r="G329" s="125" t="n">
        <v>46216</v>
      </c>
      <c r="H329" s="125" t="n">
        <v>46234</v>
      </c>
      <c r="I329" s="127" t="n">
        <v>40</v>
      </c>
      <c r="J329" s="124">
        <f>IF(I329="","待估算",IF(F329="已完成","已结束",IF(AND(ISNUMBER(G329),ISNUMBER(H329),G329&lt;='项目驾驶舱'!$B$3,H329&gt;='项目驾驶舱'!$B$3),"进行中","计划中")))</f>
        <v/>
      </c>
      <c r="K329" s="124">
        <f>IF(J329="待估算","补充投入工时",IF(AND(H329&lt;'项目驾驶舱'!$B$3,F329&lt;&gt;"已完成"),"确认延期和后续安排","按计划跟踪"))</f>
        <v/>
      </c>
      <c r="L329" s="127" t="n"/>
    </row>
    <row r="330">
      <c r="C330" s="124" t="inlineStr">
        <is>
          <t>T095</t>
        </is>
      </c>
      <c r="D330" s="124" t="inlineStr">
        <is>
          <t>自动生成堆存费</t>
        </is>
      </c>
      <c r="E330" s="124" t="inlineStr">
        <is>
          <t>第一批次</t>
        </is>
      </c>
      <c r="F330" s="124">
        <f>IF(OR(M98="挂起",M98="暂停",Q98="挂起",Q98="暂停",U98="挂起",U98="暂停",Y98="挂起",Y98="暂停"),"暂停","进行中")</f>
        <v/>
      </c>
      <c r="G330" s="125" t="n">
        <v>46216</v>
      </c>
      <c r="H330" s="125" t="n">
        <v>46234</v>
      </c>
      <c r="I330" s="127" t="n">
        <v>40</v>
      </c>
      <c r="J330" s="124">
        <f>IF(I330="","待估算",IF(F330="已完成","已结束",IF(AND(ISNUMBER(G330),ISNUMBER(H330),G330&lt;='项目驾驶舱'!$B$3,H330&gt;='项目驾驶舱'!$B$3),"进行中","计划中")))</f>
        <v/>
      </c>
      <c r="K330" s="124">
        <f>IF(J330="待估算","补充投入工时",IF(AND(H330&lt;'项目驾驶舱'!$B$3,F330&lt;&gt;"已完成"),"确认延期和后续安排","按计划跟踪"))</f>
        <v/>
      </c>
      <c r="L330" s="127" t="n"/>
    </row>
    <row r="331">
      <c r="C331" s="124" t="inlineStr">
        <is>
          <t>T096</t>
        </is>
      </c>
      <c r="D331" s="124" t="inlineStr">
        <is>
          <t>自动生成装船港杂费</t>
        </is>
      </c>
      <c r="E331" s="124" t="inlineStr">
        <is>
          <t>第一批次</t>
        </is>
      </c>
      <c r="F331" s="124">
        <f>IF(OR(M99="挂起",M99="暂停",Q99="挂起",Q99="暂停",U99="挂起",U99="暂停",Y99="挂起",Y99="暂停"),"暂停","已完成")</f>
        <v/>
      </c>
      <c r="G331" s="125" t="n">
        <v>46216</v>
      </c>
      <c r="H331" s="125" t="n">
        <v>46234</v>
      </c>
      <c r="I331" s="127" t="n">
        <v>40</v>
      </c>
      <c r="J331" s="124">
        <f>IF(I331="","待估算",IF(F331="已完成","已结束",IF(AND(ISNUMBER(G331),ISNUMBER(H331),G331&lt;='项目驾驶舱'!$B$3,H331&gt;='项目驾驶舱'!$B$3),"进行中","计划中")))</f>
        <v/>
      </c>
      <c r="K331" s="124">
        <f>IF(J331="待估算","补充投入工时",IF(AND(H331&lt;'项目驾驶舱'!$B$3,F331&lt;&gt;"已完成"),"确认延期和后续安排","按计划跟踪"))</f>
        <v/>
      </c>
      <c r="L331" s="127" t="n"/>
    </row>
    <row r="332">
      <c r="A332" s="22" t="n"/>
      <c r="B332" s="22" t="n"/>
      <c r="C332" s="124" t="inlineStr">
        <is>
          <t>T097</t>
        </is>
      </c>
      <c r="D332" s="124" t="inlineStr">
        <is>
          <t>自动生成租赁费</t>
        </is>
      </c>
      <c r="E332" s="124" t="inlineStr">
        <is>
          <t>第一批次</t>
        </is>
      </c>
      <c r="F332" s="124">
        <f>IF(OR(M100="挂起",M100="暂停",Q100="挂起",Q100="暂停",U100="挂起",U100="暂停",Y100="挂起",Y100="暂停"),"暂停","已完成")</f>
        <v/>
      </c>
      <c r="G332" s="125" t="n">
        <v>46216</v>
      </c>
      <c r="H332" s="125" t="n">
        <v>46234</v>
      </c>
      <c r="I332" s="127" t="n">
        <v>40</v>
      </c>
      <c r="J332" s="124">
        <f>IF(I332="","待估算",IF(F332="已完成","已结束",IF(AND(ISNUMBER(G332),ISNUMBER(H332),G332&lt;='项目驾驶舱'!$B$3,H332&gt;='项目驾驶舱'!$B$3),"进行中","计划中")))</f>
        <v/>
      </c>
      <c r="K332" s="124">
        <f>IF(J332="待估算","补充投入工时",IF(AND(H332&lt;'项目驾驶舱'!$B$3,F332&lt;&gt;"已完成"),"确认延期和后续安排","按计划跟踪"))</f>
        <v/>
      </c>
      <c r="L332" s="127" t="n"/>
    </row>
    <row r="333">
      <c r="A333" s="133" t="inlineStr">
        <is>
          <t>袁丽荣</t>
        </is>
      </c>
      <c r="B333" s="133" t="inlineStr">
        <is>
          <t>测试</t>
        </is>
      </c>
      <c r="C333" s="124" t="inlineStr">
        <is>
          <t>T098</t>
        </is>
      </c>
      <c r="D333" s="124" t="inlineStr">
        <is>
          <t>优化装卸费新增</t>
        </is>
      </c>
      <c r="E333" s="124" t="inlineStr">
        <is>
          <t>第一批次</t>
        </is>
      </c>
      <c r="F333" s="124">
        <f>IF(OR(M101="挂起",M101="暂停",Q101="挂起",Q101="暂停",U101="挂起",U101="暂停",Y101="挂起",Y101="暂停"),"暂停","已完成")</f>
        <v/>
      </c>
      <c r="G333" s="125" t="n">
        <v>46216</v>
      </c>
      <c r="H333" s="125" t="n">
        <v>46234</v>
      </c>
      <c r="I333" s="127" t="n">
        <v>40</v>
      </c>
      <c r="J333" s="124">
        <f>IF(I333="","待估算",IF(F333="已完成","已结束",IF(AND(ISNUMBER(G333),ISNUMBER(H333),G333&lt;='项目驾驶舱'!$B$3,H333&gt;='项目驾驶舱'!$B$3),"进行中","计划中")))</f>
        <v/>
      </c>
      <c r="K333" s="124">
        <f>IF(J333="待估算","补充投入工时",IF(AND(H333&lt;'项目驾驶舱'!$B$3,F333&lt;&gt;"已完成"),"确认延期和后续安排","按计划跟踪"))</f>
        <v/>
      </c>
      <c r="L333" s="127" t="n"/>
    </row>
    <row r="334">
      <c r="C334" s="124" t="inlineStr">
        <is>
          <t>T099</t>
        </is>
      </c>
      <c r="D334" s="124" t="inlineStr">
        <is>
          <t>优化装卸费编辑</t>
        </is>
      </c>
      <c r="E334" s="124" t="inlineStr">
        <is>
          <t>第一批次</t>
        </is>
      </c>
      <c r="F334" s="124">
        <f>IF(OR(M102="挂起",M102="暂停",Q102="挂起",Q102="暂停",U102="挂起",U102="暂停",Y102="挂起",Y102="暂停"),"暂停","已完成")</f>
        <v/>
      </c>
      <c r="G334" s="125" t="n">
        <v>46216</v>
      </c>
      <c r="H334" s="125" t="n">
        <v>46234</v>
      </c>
      <c r="I334" s="127" t="n">
        <v>40</v>
      </c>
      <c r="J334" s="124">
        <f>IF(I334="","待估算",IF(F334="已完成","已结束",IF(AND(ISNUMBER(G334),ISNUMBER(H334),G334&lt;='项目驾驶舱'!$B$3,H334&gt;='项目驾驶舱'!$B$3),"进行中","计划中")))</f>
        <v/>
      </c>
      <c r="K334" s="124">
        <f>IF(J334="待估算","补充投入工时",IF(AND(H334&lt;'项目驾驶舱'!$B$3,F334&lt;&gt;"已完成"),"确认延期和后续安排","按计划跟踪"))</f>
        <v/>
      </c>
      <c r="L334" s="127" t="n"/>
    </row>
    <row r="335">
      <c r="C335" s="124" t="inlineStr">
        <is>
          <t>T143</t>
        </is>
      </c>
      <c r="D335" s="124" t="inlineStr">
        <is>
          <t>图片上传</t>
        </is>
      </c>
      <c r="E335" s="124" t="inlineStr">
        <is>
          <t>第一批次</t>
        </is>
      </c>
      <c r="F335" s="124">
        <f>IF(OR(M146="挂起",M146="暂停",Q146="挂起",Q146="暂停",U146="挂起",U146="暂停",Y146="挂起",Y146="暂停"),"暂停","已完成")</f>
        <v/>
      </c>
      <c r="G335" s="125" t="n">
        <v>46251</v>
      </c>
      <c r="H335" s="125" t="n">
        <v>46269</v>
      </c>
      <c r="I335" s="127" t="n">
        <v>40</v>
      </c>
      <c r="J335" s="124">
        <f>IF(I335="","待估算",IF(F335="已完成","已结束",IF(AND(ISNUMBER(G335),ISNUMBER(H335),G335&lt;='项目驾驶舱'!$B$3,H335&gt;='项目驾驶舱'!$B$3),"进行中","计划中")))</f>
        <v/>
      </c>
      <c r="K335" s="124">
        <f>IF(J335="待估算","补充投入工时",IF(AND(H335&lt;'项目驾驶舱'!$B$3,F335&lt;&gt;"已完成"),"确认延期和后续安排","按计划跟踪"))</f>
        <v/>
      </c>
      <c r="L335" s="127" t="n"/>
    </row>
    <row r="336">
      <c r="C336" s="124" t="inlineStr">
        <is>
          <t>T144</t>
        </is>
      </c>
      <c r="D336" s="124" t="inlineStr">
        <is>
          <t>图片上传</t>
        </is>
      </c>
      <c r="E336" s="124" t="inlineStr">
        <is>
          <t>第一批次</t>
        </is>
      </c>
      <c r="F336" s="124">
        <f>IF(OR(M147="挂起",M147="暂停",Q147="挂起",Q147="暂停",U147="挂起",U147="暂停",Y147="挂起",Y147="暂停"),"暂停","已完成")</f>
        <v/>
      </c>
      <c r="G336" s="125" t="n">
        <v>46251</v>
      </c>
      <c r="H336" s="125" t="n">
        <v>46269</v>
      </c>
      <c r="I336" s="127" t="n">
        <v>40</v>
      </c>
      <c r="J336" s="124">
        <f>IF(I336="","待估算",IF(F336="已完成","已结束",IF(AND(ISNUMBER(G336),ISNUMBER(H336),G336&lt;='项目驾驶舱'!$B$3,H336&gt;='项目驾驶舱'!$B$3),"进行中","计划中")))</f>
        <v/>
      </c>
      <c r="K336" s="124">
        <f>IF(J336="待估算","补充投入工时",IF(AND(H336&lt;'项目驾驶舱'!$B$3,F336&lt;&gt;"已完成"),"确认延期和后续安排","按计划跟踪"))</f>
        <v/>
      </c>
      <c r="L336" s="127" t="n"/>
    </row>
    <row r="337">
      <c r="C337" s="124" t="inlineStr">
        <is>
          <t>T145</t>
        </is>
      </c>
      <c r="D337" s="124" t="inlineStr">
        <is>
          <t>图片上传</t>
        </is>
      </c>
      <c r="E337" s="124" t="inlineStr">
        <is>
          <t>第二批次</t>
        </is>
      </c>
      <c r="F337" s="124">
        <f>IF(OR(M148="挂起",M148="暂停",Q148="挂起",Q148="暂停",U148="挂起",U148="暂停",Y148="挂起",Y148="暂停"),"暂停","已完成")</f>
        <v/>
      </c>
      <c r="G337" s="125" t="n">
        <v>46251</v>
      </c>
      <c r="H337" s="125" t="n">
        <v>46269</v>
      </c>
      <c r="I337" s="127" t="n">
        <v>40</v>
      </c>
      <c r="J337" s="124">
        <f>IF(I337="","待估算",IF(F337="已完成","已结束",IF(AND(ISNUMBER(G337),ISNUMBER(H337),G337&lt;='项目驾驶舱'!$B$3,H337&gt;='项目驾驶舱'!$B$3),"进行中","计划中")))</f>
        <v/>
      </c>
      <c r="K337" s="124">
        <f>IF(J337="待估算","补充投入工时",IF(AND(H337&lt;'项目驾驶舱'!$B$3,F337&lt;&gt;"已完成"),"确认延期和后续安排","按计划跟踪"))</f>
        <v/>
      </c>
      <c r="L337" s="127" t="n"/>
    </row>
    <row r="338">
      <c r="C338" s="124" t="inlineStr">
        <is>
          <t>T037</t>
        </is>
      </c>
      <c r="D338" s="124" t="inlineStr">
        <is>
          <t>创建卸车流程</t>
        </is>
      </c>
      <c r="E338" s="124" t="inlineStr">
        <is>
          <t>第一批次</t>
        </is>
      </c>
      <c r="F338" s="124">
        <f>IF(OR(M40="挂起",M40="暂停",Q40="挂起",Q40="暂停",U40="挂起",U40="暂停",Y40="挂起",Y40="暂停"),"暂停","已完成")</f>
        <v/>
      </c>
      <c r="G338" s="125" t="n">
        <v>46253</v>
      </c>
      <c r="H338" s="125" t="n">
        <v>46269</v>
      </c>
      <c r="I338" s="127" t="n">
        <v>40</v>
      </c>
      <c r="J338" s="124">
        <f>IF(I338="","待估算",IF(F338="已完成","已结束",IF(AND(ISNUMBER(G338),ISNUMBER(H338),G338&lt;='项目驾驶舱'!$B$3,H338&gt;='项目驾驶舱'!$B$3),"进行中","计划中")))</f>
        <v/>
      </c>
      <c r="K338" s="124">
        <f>IF(J338="待估算","补充投入工时",IF(AND(H338&lt;'项目驾驶舱'!$B$3,F338&lt;&gt;"已完成"),"确认延期和后续安排","按计划跟踪"))</f>
        <v/>
      </c>
      <c r="L338" s="127" t="n"/>
    </row>
    <row r="339">
      <c r="C339" s="124" t="inlineStr">
        <is>
          <t>T038</t>
        </is>
      </c>
      <c r="D339" s="124" t="inlineStr">
        <is>
          <t>查询卸车流程</t>
        </is>
      </c>
      <c r="E339" s="124" t="inlineStr">
        <is>
          <t>第一批次</t>
        </is>
      </c>
      <c r="F339" s="124">
        <f>IF(OR(M41="挂起",M41="暂停",Q41="挂起",Q41="暂停",U41="挂起",U41="暂停",Y41="挂起",Y41="暂停"),"暂停","已完成")</f>
        <v/>
      </c>
      <c r="G339" s="125" t="n">
        <v>46253</v>
      </c>
      <c r="H339" s="125" t="n">
        <v>46269</v>
      </c>
      <c r="I339" s="127" t="n">
        <v>40</v>
      </c>
      <c r="J339" s="124">
        <f>IF(I339="","待估算",IF(F339="已完成","已结束",IF(AND(ISNUMBER(G339),ISNUMBER(H339),G339&lt;='项目驾驶舱'!$B$3,H339&gt;='项目驾驶舱'!$B$3),"进行中","计划中")))</f>
        <v/>
      </c>
      <c r="K339" s="124">
        <f>IF(J339="待估算","补充投入工时",IF(AND(H339&lt;'项目驾驶舱'!$B$3,F339&lt;&gt;"已完成"),"确认延期和后续安排","按计划跟踪"))</f>
        <v/>
      </c>
      <c r="L339" s="127" t="n"/>
    </row>
    <row r="340">
      <c r="C340" s="124" t="inlineStr">
        <is>
          <t>T039</t>
        </is>
      </c>
      <c r="D340" s="124" t="inlineStr">
        <is>
          <t>修改卸车流程</t>
        </is>
      </c>
      <c r="E340" s="124" t="inlineStr">
        <is>
          <t>第一批次</t>
        </is>
      </c>
      <c r="F340" s="124">
        <f>IF(OR(M42="挂起",M42="暂停",Q42="挂起",Q42="暂停",U42="挂起",U42="暂停",Y42="挂起",Y42="暂停"),"暂停","已完成")</f>
        <v/>
      </c>
      <c r="G340" s="125" t="n">
        <v>46253</v>
      </c>
      <c r="H340" s="125" t="n">
        <v>46269</v>
      </c>
      <c r="I340" s="127" t="n">
        <v>40</v>
      </c>
      <c r="J340" s="124">
        <f>IF(I340="","待估算",IF(F340="已完成","已结束",IF(AND(ISNUMBER(G340),ISNUMBER(H340),G340&lt;='项目驾驶舱'!$B$3,H340&gt;='项目驾驶舱'!$B$3),"进行中","计划中")))</f>
        <v/>
      </c>
      <c r="K340" s="124">
        <f>IF(J340="待估算","补充投入工时",IF(AND(H340&lt;'项目驾驶舱'!$B$3,F340&lt;&gt;"已完成"),"确认延期和后续安排","按计划跟踪"))</f>
        <v/>
      </c>
      <c r="L340" s="127" t="n"/>
    </row>
    <row r="341">
      <c r="C341" s="124" t="inlineStr">
        <is>
          <t>T040</t>
        </is>
      </c>
      <c r="D341" s="124" t="inlineStr">
        <is>
          <t>创建装船流程</t>
        </is>
      </c>
      <c r="E341" s="124" t="inlineStr">
        <is>
          <t>第一批次</t>
        </is>
      </c>
      <c r="F341" s="124">
        <f>IF(OR(M43="挂起",M43="暂停",Q43="挂起",Q43="暂停",U43="挂起",U43="暂停",Y43="挂起",Y43="暂停"),"暂停","已完成")</f>
        <v/>
      </c>
      <c r="G341" s="125" t="n">
        <v>46253</v>
      </c>
      <c r="H341" s="125" t="n">
        <v>46269</v>
      </c>
      <c r="I341" s="127" t="n">
        <v>40</v>
      </c>
      <c r="J341" s="124">
        <f>IF(I341="","待估算",IF(F341="已完成","已结束",IF(AND(ISNUMBER(G341),ISNUMBER(H341),G341&lt;='项目驾驶舱'!$B$3,H341&gt;='项目驾驶舱'!$B$3),"进行中","计划中")))</f>
        <v/>
      </c>
      <c r="K341" s="124">
        <f>IF(J341="待估算","补充投入工时",IF(AND(H341&lt;'项目驾驶舱'!$B$3,F341&lt;&gt;"已完成"),"确认延期和后续安排","按计划跟踪"))</f>
        <v/>
      </c>
      <c r="L341" s="127" t="n"/>
    </row>
    <row r="342">
      <c r="C342" s="124" t="inlineStr">
        <is>
          <t>T041</t>
        </is>
      </c>
      <c r="D342" s="124" t="inlineStr">
        <is>
          <t>查询装船流程</t>
        </is>
      </c>
      <c r="E342" s="124" t="inlineStr">
        <is>
          <t>第一批次</t>
        </is>
      </c>
      <c r="F342" s="124">
        <f>IF(OR(M44="挂起",M44="暂停",Q44="挂起",Q44="暂停",U44="挂起",U44="暂停",Y44="挂起",Y44="暂停"),"暂停","已完成")</f>
        <v/>
      </c>
      <c r="G342" s="125" t="n">
        <v>46253</v>
      </c>
      <c r="H342" s="125" t="n">
        <v>46269</v>
      </c>
      <c r="I342" s="127" t="n">
        <v>40</v>
      </c>
      <c r="J342" s="124">
        <f>IF(I342="","待估算",IF(F342="已完成","已结束",IF(AND(ISNUMBER(G342),ISNUMBER(H342),G342&lt;='项目驾驶舱'!$B$3,H342&gt;='项目驾驶舱'!$B$3),"进行中","计划中")))</f>
        <v/>
      </c>
      <c r="K342" s="124">
        <f>IF(J342="待估算","补充投入工时",IF(AND(H342&lt;'项目驾驶舱'!$B$3,F342&lt;&gt;"已完成"),"确认延期和后续安排","按计划跟踪"))</f>
        <v/>
      </c>
      <c r="L342" s="127" t="n"/>
    </row>
    <row r="343">
      <c r="C343" s="124" t="inlineStr">
        <is>
          <t>T042</t>
        </is>
      </c>
      <c r="D343" s="124" t="inlineStr">
        <is>
          <t>修改装船流程</t>
        </is>
      </c>
      <c r="E343" s="124" t="inlineStr">
        <is>
          <t>第一批次</t>
        </is>
      </c>
      <c r="F343" s="124">
        <f>IF(OR(M45="挂起",M45="暂停",Q45="挂起",Q45="暂停",U45="挂起",U45="暂停",Y45="挂起",Y45="暂停"),"暂停","已完成")</f>
        <v/>
      </c>
      <c r="G343" s="125" t="n">
        <v>46253</v>
      </c>
      <c r="H343" s="125" t="n">
        <v>46269</v>
      </c>
      <c r="I343" s="127" t="n">
        <v>40</v>
      </c>
      <c r="J343" s="124">
        <f>IF(I343="","待估算",IF(F343="已完成","已结束",IF(AND(ISNUMBER(G343),ISNUMBER(H343),G343&lt;='项目驾驶舱'!$B$3,H343&gt;='项目驾驶舱'!$B$3),"进行中","计划中")))</f>
        <v/>
      </c>
      <c r="K343" s="124">
        <f>IF(J343="待估算","补充投入工时",IF(AND(H343&lt;'项目驾驶舱'!$B$3,F343&lt;&gt;"已完成"),"确认延期和后续安排","按计划跟踪"))</f>
        <v/>
      </c>
      <c r="L343" s="127" t="n"/>
    </row>
    <row r="344">
      <c r="A344" s="22" t="n"/>
      <c r="B344" s="22" t="n"/>
      <c r="C344" s="124" t="inlineStr">
        <is>
          <t>T043</t>
        </is>
      </c>
      <c r="D344" s="124" t="inlineStr">
        <is>
          <t>创建卸船流程</t>
        </is>
      </c>
      <c r="E344" s="124" t="inlineStr">
        <is>
          <t>第二批次</t>
        </is>
      </c>
      <c r="F344" s="124">
        <f>IF(OR(M46="挂起",M46="暂停",Q46="挂起",Q46="暂停",U46="挂起",U46="暂停",Y46="挂起",Y46="暂停"),"暂停","已完成")</f>
        <v/>
      </c>
      <c r="G344" s="125" t="n">
        <v>46253</v>
      </c>
      <c r="H344" s="125" t="n">
        <v>46269</v>
      </c>
      <c r="I344" s="127" t="n">
        <v>40</v>
      </c>
      <c r="J344" s="124">
        <f>IF(I344="","待估算",IF(F344="已完成","已结束",IF(AND(ISNUMBER(G344),ISNUMBER(H344),G344&lt;='项目驾驶舱'!$B$3,H344&gt;='项目驾驶舱'!$B$3),"进行中","计划中")))</f>
        <v/>
      </c>
      <c r="K344" s="124">
        <f>IF(J344="待估算","补充投入工时",IF(AND(H344&lt;'项目驾驶舱'!$B$3,F344&lt;&gt;"已完成"),"确认延期和后续安排","按计划跟踪"))</f>
        <v/>
      </c>
      <c r="L344" s="127" t="n"/>
    </row>
    <row r="345">
      <c r="A345" s="133" t="inlineStr">
        <is>
          <t>袁丽荣</t>
        </is>
      </c>
      <c r="B345" s="133" t="inlineStr">
        <is>
          <t>测试</t>
        </is>
      </c>
      <c r="C345" s="124" t="inlineStr">
        <is>
          <t>T044</t>
        </is>
      </c>
      <c r="D345" s="124" t="inlineStr">
        <is>
          <t>查询卸船流程</t>
        </is>
      </c>
      <c r="E345" s="124" t="inlineStr">
        <is>
          <t>第二批次</t>
        </is>
      </c>
      <c r="F345" s="124">
        <f>IF(OR(M47="挂起",M47="暂停",Q47="挂起",Q47="暂停",U47="挂起",U47="暂停",Y47="挂起",Y47="暂停"),"暂停","已完成")</f>
        <v/>
      </c>
      <c r="G345" s="125" t="n">
        <v>46253</v>
      </c>
      <c r="H345" s="125" t="n">
        <v>46269</v>
      </c>
      <c r="I345" s="127" t="n">
        <v>40</v>
      </c>
      <c r="J345" s="124">
        <f>IF(I345="","待估算",IF(F345="已完成","已结束",IF(AND(ISNUMBER(G345),ISNUMBER(H345),G345&lt;='项目驾驶舱'!$B$3,H345&gt;='项目驾驶舱'!$B$3),"进行中","计划中")))</f>
        <v/>
      </c>
      <c r="K345" s="124">
        <f>IF(J345="待估算","补充投入工时",IF(AND(H345&lt;'项目驾驶舱'!$B$3,F345&lt;&gt;"已完成"),"确认延期和后续安排","按计划跟踪"))</f>
        <v/>
      </c>
      <c r="L345" s="127" t="n"/>
    </row>
    <row r="346">
      <c r="C346" s="124" t="inlineStr">
        <is>
          <t>T045</t>
        </is>
      </c>
      <c r="D346" s="124" t="inlineStr">
        <is>
          <t>修改卸船流程</t>
        </is>
      </c>
      <c r="E346" s="124" t="inlineStr">
        <is>
          <t>第二批次</t>
        </is>
      </c>
      <c r="F346" s="124">
        <f>IF(OR(M48="挂起",M48="暂停",Q48="挂起",Q48="暂停",U48="挂起",U48="暂停",Y48="挂起",Y48="暂停"),"暂停","已完成")</f>
        <v/>
      </c>
      <c r="G346" s="125" t="n">
        <v>46253</v>
      </c>
      <c r="H346" s="125" t="n">
        <v>46269</v>
      </c>
      <c r="I346" s="127" t="n">
        <v>40</v>
      </c>
      <c r="J346" s="124">
        <f>IF(I346="","待估算",IF(F346="已完成","已结束",IF(AND(ISNUMBER(G346),ISNUMBER(H346),G346&lt;='项目驾驶舱'!$B$3,H346&gt;='项目驾驶舱'!$B$3),"进行中","计划中")))</f>
        <v/>
      </c>
      <c r="K346" s="124">
        <f>IF(J346="待估算","补充投入工时",IF(AND(H346&lt;'项目驾驶舱'!$B$3,F346&lt;&gt;"已完成"),"确认延期和后续安排","按计划跟踪"))</f>
        <v/>
      </c>
      <c r="L346" s="127" t="n"/>
    </row>
    <row r="347">
      <c r="C347" s="124" t="inlineStr">
        <is>
          <t>T100</t>
        </is>
      </c>
      <c r="D347" s="124" t="inlineStr">
        <is>
          <t>创建行业资讯数据</t>
        </is>
      </c>
      <c r="E347" s="124" t="inlineStr">
        <is>
          <t>第一批次</t>
        </is>
      </c>
      <c r="F347" s="124">
        <f>IF(OR(M103="挂起",M103="暂停",Q103="挂起",Q103="暂停",U103="挂起",U103="暂停",Y103="挂起",Y103="暂停"),"暂停","已完成")</f>
        <v/>
      </c>
      <c r="G347" s="125" t="n">
        <v>46253</v>
      </c>
      <c r="H347" s="125" t="n">
        <v>46269</v>
      </c>
      <c r="I347" s="127" t="n">
        <v>40</v>
      </c>
      <c r="J347" s="124">
        <f>IF(I347="","待估算",IF(F347="已完成","已结束",IF(AND(ISNUMBER(G347),ISNUMBER(H347),G347&lt;='项目驾驶舱'!$B$3,H347&gt;='项目驾驶舱'!$B$3),"进行中","计划中")))</f>
        <v/>
      </c>
      <c r="K347" s="124">
        <f>IF(J347="待估算","补充投入工时",IF(AND(H347&lt;'项目驾驶舱'!$B$3,F347&lt;&gt;"已完成"),"确认延期和后续安排","按计划跟踪"))</f>
        <v/>
      </c>
      <c r="L347" s="127" t="n"/>
    </row>
    <row r="348">
      <c r="C348" s="124" t="inlineStr">
        <is>
          <t>T101</t>
        </is>
      </c>
      <c r="D348" s="124" t="inlineStr">
        <is>
          <t>修改行业资讯数据</t>
        </is>
      </c>
      <c r="E348" s="124" t="inlineStr">
        <is>
          <t>第一批次</t>
        </is>
      </c>
      <c r="F348" s="124">
        <f>IF(OR(M104="挂起",M104="暂停",Q104="挂起",Q104="暂停",U104="挂起",U104="暂停",Y104="挂起",Y104="暂停"),"暂停","已完成")</f>
        <v/>
      </c>
      <c r="G348" s="125" t="n">
        <v>46253</v>
      </c>
      <c r="H348" s="125" t="n">
        <v>46269</v>
      </c>
      <c r="I348" s="127" t="n">
        <v>40</v>
      </c>
      <c r="J348" s="124">
        <f>IF(I348="","待估算",IF(F348="已完成","已结束",IF(AND(ISNUMBER(G348),ISNUMBER(H348),G348&lt;='项目驾驶舱'!$B$3,H348&gt;='项目驾驶舱'!$B$3),"进行中","计划中")))</f>
        <v/>
      </c>
      <c r="K348" s="124">
        <f>IF(J348="待估算","补充投入工时",IF(AND(H348&lt;'项目驾驶舱'!$B$3,F348&lt;&gt;"已完成"),"确认延期和后续安排","按计划跟踪"))</f>
        <v/>
      </c>
      <c r="L348" s="127" t="n"/>
    </row>
    <row r="349">
      <c r="C349" s="124" t="inlineStr">
        <is>
          <t>T102</t>
        </is>
      </c>
      <c r="D349" s="124" t="inlineStr">
        <is>
          <t>删除行业资讯数据</t>
        </is>
      </c>
      <c r="E349" s="124" t="inlineStr">
        <is>
          <t>第一批次</t>
        </is>
      </c>
      <c r="F349" s="124">
        <f>IF(OR(M105="挂起",M105="暂停",Q105="挂起",Q105="暂停",U105="挂起",U105="暂停",Y105="挂起",Y105="暂停"),"暂停","已完成")</f>
        <v/>
      </c>
      <c r="G349" s="125" t="n">
        <v>46253</v>
      </c>
      <c r="H349" s="125" t="n">
        <v>46269</v>
      </c>
      <c r="I349" s="127" t="n">
        <v>40</v>
      </c>
      <c r="J349" s="124">
        <f>IF(I349="","待估算",IF(F349="已完成","已结束",IF(AND(ISNUMBER(G349),ISNUMBER(H349),G349&lt;='项目驾驶舱'!$B$3,H349&gt;='项目驾驶舱'!$B$3),"进行中","计划中")))</f>
        <v/>
      </c>
      <c r="K349" s="124">
        <f>IF(J349="待估算","补充投入工时",IF(AND(H349&lt;'项目驾驶舱'!$B$3,F349&lt;&gt;"已完成"),"确认延期和后续安排","按计划跟踪"))</f>
        <v/>
      </c>
      <c r="L349" s="127" t="n"/>
    </row>
    <row r="350">
      <c r="C350" s="124" t="inlineStr">
        <is>
          <t>T103</t>
        </is>
      </c>
      <c r="D350" s="124" t="inlineStr">
        <is>
          <t>展示行业资讯数据</t>
        </is>
      </c>
      <c r="E350" s="124" t="inlineStr">
        <is>
          <t>第一批次</t>
        </is>
      </c>
      <c r="F350" s="124">
        <f>IF(OR(M106="挂起",M106="暂停",Q106="挂起",Q106="暂停",U106="挂起",U106="暂停",Y106="挂起",Y106="暂停"),"暂停","已完成")</f>
        <v/>
      </c>
      <c r="G350" s="125" t="n">
        <v>46253</v>
      </c>
      <c r="H350" s="125" t="n">
        <v>46269</v>
      </c>
      <c r="I350" s="127" t="n">
        <v>40</v>
      </c>
      <c r="J350" s="124">
        <f>IF(I350="","待估算",IF(F350="已完成","已结束",IF(AND(ISNUMBER(G350),ISNUMBER(H350),G350&lt;='项目驾驶舱'!$B$3,H350&gt;='项目驾驶舱'!$B$3),"进行中","计划中")))</f>
        <v/>
      </c>
      <c r="K350" s="124">
        <f>IF(J350="待估算","补充投入工时",IF(AND(H350&lt;'项目驾驶舱'!$B$3,F350&lt;&gt;"已完成"),"确认延期和后续安排","按计划跟踪"))</f>
        <v/>
      </c>
      <c r="L350" s="127" t="n"/>
    </row>
    <row r="351">
      <c r="C351" s="124" t="inlineStr">
        <is>
          <t>T104</t>
        </is>
      </c>
      <c r="D351" s="124" t="inlineStr">
        <is>
          <t>吞吐量统计（曹妃甸）</t>
        </is>
      </c>
      <c r="E351" s="124" t="inlineStr">
        <is>
          <t>第一批次</t>
        </is>
      </c>
      <c r="F351" s="124">
        <f>IF(OR(M107="挂起",M107="暂停",Q107="挂起",Q107="暂停",U107="挂起",U107="暂停",Y107="挂起",Y107="暂停"),"暂停","已完成")</f>
        <v/>
      </c>
      <c r="G351" s="125" t="n">
        <v>46253</v>
      </c>
      <c r="H351" s="125" t="n">
        <v>46269</v>
      </c>
      <c r="I351" s="127" t="n">
        <v>40</v>
      </c>
      <c r="J351" s="124">
        <f>IF(I351="","待估算",IF(F351="已完成","已结束",IF(AND(ISNUMBER(G351),ISNUMBER(H351),G351&lt;='项目驾驶舱'!$B$3,H351&gt;='项目驾驶舱'!$B$3),"进行中","计划中")))</f>
        <v/>
      </c>
      <c r="K351" s="124">
        <f>IF(J351="待估算","补充投入工时",IF(AND(H351&lt;'项目驾驶舱'!$B$3,F351&lt;&gt;"已完成"),"确认延期和后续安排","按计划跟踪"))</f>
        <v/>
      </c>
      <c r="L351" s="127" t="n"/>
    </row>
    <row r="352">
      <c r="C352" s="124" t="inlineStr">
        <is>
          <t>T105</t>
        </is>
      </c>
      <c r="D352" s="124" t="inlineStr">
        <is>
          <t>泊位占用率分析（曹妃甸）</t>
        </is>
      </c>
      <c r="E352" s="124" t="inlineStr">
        <is>
          <t>第一批次</t>
        </is>
      </c>
      <c r="F352" s="124">
        <f>IF(OR(M108="挂起",M108="暂停",Q108="挂起",Q108="暂停",U108="挂起",U108="暂停",Y108="挂起",Y108="暂停"),"暂停","已完成")</f>
        <v/>
      </c>
      <c r="G352" s="125" t="n">
        <v>46253</v>
      </c>
      <c r="H352" s="125" t="n">
        <v>46269</v>
      </c>
      <c r="I352" s="127" t="n">
        <v>40</v>
      </c>
      <c r="J352" s="124">
        <f>IF(I352="","待估算",IF(F352="已完成","已结束",IF(AND(ISNUMBER(G352),ISNUMBER(H352),G352&lt;='项目驾驶舱'!$B$3,H352&gt;='项目驾驶舱'!$B$3),"进行中","计划中")))</f>
        <v/>
      </c>
      <c r="K352" s="124">
        <f>IF(J352="待估算","补充投入工时",IF(AND(H352&lt;'项目驾驶舱'!$B$3,F352&lt;&gt;"已完成"),"确认延期和后续安排","按计划跟踪"))</f>
        <v/>
      </c>
      <c r="L352" s="127" t="n"/>
    </row>
    <row r="353">
      <c r="C353" s="124" t="inlineStr">
        <is>
          <t>T106</t>
        </is>
      </c>
      <c r="D353" s="124" t="inlineStr">
        <is>
          <t>堆存库存统计（曹妃甸）</t>
        </is>
      </c>
      <c r="E353" s="124" t="inlineStr">
        <is>
          <t>第一批次</t>
        </is>
      </c>
      <c r="F353" s="124">
        <f>IF(OR(M109="挂起",M109="暂停",Q109="挂起",Q109="暂停",U109="挂起",U109="暂停",Y109="挂起",Y109="暂停"),"暂停","已完成")</f>
        <v/>
      </c>
      <c r="G353" s="125" t="n">
        <v>46253</v>
      </c>
      <c r="H353" s="125" t="n">
        <v>46269</v>
      </c>
      <c r="I353" s="127" t="n">
        <v>40</v>
      </c>
      <c r="J353" s="124">
        <f>IF(I353="","待估算",IF(F353="已完成","已结束",IF(AND(ISNUMBER(G353),ISNUMBER(H353),G353&lt;='项目驾驶舱'!$B$3,H353&gt;='项目驾驶舱'!$B$3),"进行中","计划中")))</f>
        <v/>
      </c>
      <c r="K353" s="124">
        <f>IF(J353="待估算","补充投入工时",IF(AND(H353&lt;'项目驾驶舱'!$B$3,F353&lt;&gt;"已完成"),"确认延期和后续安排","按计划跟踪"))</f>
        <v/>
      </c>
      <c r="L353" s="127" t="n"/>
    </row>
    <row r="354">
      <c r="C354" s="124" t="inlineStr">
        <is>
          <t>T107</t>
        </is>
      </c>
      <c r="D354" s="124" t="inlineStr">
        <is>
          <t>分货主实时统计表（曹妃甸）</t>
        </is>
      </c>
      <c r="E354" s="124" t="inlineStr">
        <is>
          <t>第一批次</t>
        </is>
      </c>
      <c r="F354" s="124">
        <f>IF(OR(M110="挂起",M110="暂停",Q110="挂起",Q110="暂停",U110="挂起",U110="暂停",Y110="挂起",Y110="暂停"),"暂停","已完成")</f>
        <v/>
      </c>
      <c r="G354" s="125" t="n">
        <v>46253</v>
      </c>
      <c r="H354" s="125" t="n">
        <v>46269</v>
      </c>
      <c r="I354" s="127" t="n">
        <v>40</v>
      </c>
      <c r="J354" s="124">
        <f>IF(I354="","待估算",IF(F354="已完成","已结束",IF(AND(ISNUMBER(G354),ISNUMBER(H354),G354&lt;='项目驾驶舱'!$B$3,H354&gt;='项目驾驶舱'!$B$3),"进行中","计划中")))</f>
        <v/>
      </c>
      <c r="K354" s="124">
        <f>IF(J354="待估算","补充投入工时",IF(AND(H354&lt;'项目驾驶舱'!$B$3,F354&lt;&gt;"已完成"),"确认延期和后续安排","按计划跟踪"))</f>
        <v/>
      </c>
      <c r="L354" s="127" t="n"/>
    </row>
    <row r="355">
      <c r="C355" s="124" t="inlineStr">
        <is>
          <t>T108</t>
        </is>
      </c>
      <c r="D355" s="124" t="inlineStr">
        <is>
          <t>综合装船效率分析（曹妃甸）</t>
        </is>
      </c>
      <c r="E355" s="124" t="inlineStr">
        <is>
          <t>第一批次</t>
        </is>
      </c>
      <c r="F355" s="124">
        <f>IF(OR(M111="挂起",M111="暂停",Q111="挂起",Q111="暂停",U111="挂起",U111="暂停",Y111="挂起",Y111="暂停"),"暂停","已完成")</f>
        <v/>
      </c>
      <c r="G355" s="125" t="n">
        <v>46253</v>
      </c>
      <c r="H355" s="125" t="n">
        <v>46269</v>
      </c>
      <c r="I355" s="127" t="n">
        <v>40</v>
      </c>
      <c r="J355" s="124">
        <f>IF(I355="","待估算",IF(F355="已完成","已结束",IF(AND(ISNUMBER(G355),ISNUMBER(H355),G355&lt;='项目驾驶舱'!$B$3,H355&gt;='项目驾驶舱'!$B$3),"进行中","计划中")))</f>
        <v/>
      </c>
      <c r="K355" s="124">
        <f>IF(J355="待估算","补充投入工时",IF(AND(H355&lt;'项目驾驶舱'!$B$3,F355&lt;&gt;"已完成"),"确认延期和后续安排","按计划跟踪"))</f>
        <v/>
      </c>
      <c r="L355" s="127" t="n"/>
    </row>
    <row r="356">
      <c r="A356" s="22" t="n"/>
      <c r="B356" s="22" t="n"/>
      <c r="C356" s="124" t="inlineStr">
        <is>
          <t>T109</t>
        </is>
      </c>
      <c r="D356" s="124" t="inlineStr">
        <is>
          <t>综合卸车效率分析（曹妃甸）</t>
        </is>
      </c>
      <c r="E356" s="124" t="inlineStr">
        <is>
          <t>第一批次</t>
        </is>
      </c>
      <c r="F356" s="124">
        <f>IF(OR(M112="挂起",M112="暂停",Q112="挂起",Q112="暂停",U112="挂起",U112="暂停",Y112="挂起",Y112="暂停"),"暂停","已完成")</f>
        <v/>
      </c>
      <c r="G356" s="125" t="n">
        <v>46253</v>
      </c>
      <c r="H356" s="125" t="n">
        <v>46269</v>
      </c>
      <c r="I356" s="127" t="n">
        <v>40</v>
      </c>
      <c r="J356" s="124">
        <f>IF(I356="","待估算",IF(F356="已完成","已结束",IF(AND(ISNUMBER(G356),ISNUMBER(H356),G356&lt;='项目驾驶舱'!$B$3,H356&gt;='项目驾驶舱'!$B$3),"进行中","计划中")))</f>
        <v/>
      </c>
      <c r="K356" s="124">
        <f>IF(J356="待估算","补充投入工时",IF(AND(H356&lt;'项目驾驶舱'!$B$3,F356&lt;&gt;"已完成"),"确认延期和后续安排","按计划跟踪"))</f>
        <v/>
      </c>
      <c r="L356" s="127" t="n"/>
    </row>
    <row r="357">
      <c r="A357" s="133" t="inlineStr">
        <is>
          <t>袁丽荣</t>
        </is>
      </c>
      <c r="B357" s="133" t="inlineStr">
        <is>
          <t>测试</t>
        </is>
      </c>
      <c r="C357" s="124" t="inlineStr">
        <is>
          <t>T110</t>
        </is>
      </c>
      <c r="D357" s="124" t="inlineStr">
        <is>
          <t>综合卸船效率分析（曹妃甸）</t>
        </is>
      </c>
      <c r="E357" s="124" t="inlineStr">
        <is>
          <t>第二批次</t>
        </is>
      </c>
      <c r="F357" s="124">
        <f>IF(OR(M113="挂起",M113="暂停",Q113="挂起",Q113="暂停",U113="挂起",U113="暂停",Y113="挂起",Y113="暂停"),"暂停","已完成")</f>
        <v/>
      </c>
      <c r="G357" s="125" t="n">
        <v>46253</v>
      </c>
      <c r="H357" s="125" t="n">
        <v>46269</v>
      </c>
      <c r="I357" s="127" t="n">
        <v>40</v>
      </c>
      <c r="J357" s="124">
        <f>IF(I357="","待估算",IF(F357="已完成","已结束",IF(AND(ISNUMBER(G357),ISNUMBER(H357),G357&lt;='项目驾驶舱'!$B$3,H357&gt;='项目驾驶舱'!$B$3),"进行中","计划中")))</f>
        <v/>
      </c>
      <c r="K357" s="124">
        <f>IF(J357="待估算","补充投入工时",IF(AND(H357&lt;'项目驾驶舱'!$B$3,F357&lt;&gt;"已完成"),"确认延期和后续安排","按计划跟踪"))</f>
        <v/>
      </c>
      <c r="L357" s="127" t="n"/>
    </row>
    <row r="358">
      <c r="C358" s="124" t="inlineStr">
        <is>
          <t>T117</t>
        </is>
      </c>
      <c r="D358" s="124" t="inlineStr">
        <is>
          <t>经营任务情况分析报告</t>
        </is>
      </c>
      <c r="E358" s="124" t="inlineStr">
        <is>
          <t>第一批次</t>
        </is>
      </c>
      <c r="F358" s="124">
        <f>IF(OR(M120="挂起",M120="暂停",Q120="挂起",Q120="暂停",U120="挂起",U120="暂停",Y120="挂起",Y120="暂停"),"暂停","已完成")</f>
        <v/>
      </c>
      <c r="G358" s="125" t="n">
        <v>46253</v>
      </c>
      <c r="H358" s="125" t="n">
        <v>46269</v>
      </c>
      <c r="I358" s="127" t="n">
        <v>40</v>
      </c>
      <c r="J358" s="124">
        <f>IF(I358="","待估算",IF(F358="已完成","已结束",IF(AND(ISNUMBER(G358),ISNUMBER(H358),G358&lt;='项目驾驶舱'!$B$3,H358&gt;='项目驾驶舱'!$B$3),"进行中","计划中")))</f>
        <v/>
      </c>
      <c r="K358" s="124">
        <f>IF(J358="待估算","补充投入工时",IF(AND(H358&lt;'项目驾驶舱'!$B$3,F358&lt;&gt;"已完成"),"确认延期和后续安排","按计划跟踪"))</f>
        <v/>
      </c>
      <c r="L358" s="127" t="n"/>
    </row>
    <row r="359">
      <c r="C359" s="124" t="inlineStr">
        <is>
          <t>T118</t>
        </is>
      </c>
      <c r="D359" s="124" t="inlineStr">
        <is>
          <t>客户月报报告</t>
        </is>
      </c>
      <c r="E359" s="124" t="inlineStr">
        <is>
          <t>第一批次</t>
        </is>
      </c>
      <c r="F359" s="124">
        <f>IF(OR(M121="挂起",M121="暂停",Q121="挂起",Q121="暂停",U121="挂起",U121="暂停",Y121="挂起",Y121="暂停"),"暂停","已完成")</f>
        <v/>
      </c>
      <c r="G359" s="125" t="n">
        <v>46253</v>
      </c>
      <c r="H359" s="125" t="n">
        <v>46269</v>
      </c>
      <c r="I359" s="127" t="n">
        <v>40</v>
      </c>
      <c r="J359" s="124">
        <f>IF(I359="","待估算",IF(F359="已完成","已结束",IF(AND(ISNUMBER(G359),ISNUMBER(H359),G359&lt;='项目驾驶舱'!$B$3,H359&gt;='项目驾驶舱'!$B$3),"进行中","计划中")))</f>
        <v/>
      </c>
      <c r="K359" s="124">
        <f>IF(J359="待估算","补充投入工时",IF(AND(H359&lt;'项目驾驶舱'!$B$3,F359&lt;&gt;"已完成"),"确认延期和后续安排","按计划跟踪"))</f>
        <v/>
      </c>
      <c r="L359" s="127" t="n"/>
    </row>
    <row r="360">
      <c r="C360" s="124" t="inlineStr">
        <is>
          <t>T119</t>
        </is>
      </c>
      <c r="D360" s="124" t="inlineStr">
        <is>
          <t>月度客户情况报告</t>
        </is>
      </c>
      <c r="E360" s="124" t="inlineStr">
        <is>
          <t>第一批次</t>
        </is>
      </c>
      <c r="F360" s="124">
        <f>IF(OR(M122="挂起",M122="暂停",Q122="挂起",Q122="暂停",U122="挂起",U122="暂停",Y122="挂起",Y122="暂停"),"暂停","已完成")</f>
        <v/>
      </c>
      <c r="G360" s="125" t="n">
        <v>46253</v>
      </c>
      <c r="H360" s="125" t="n">
        <v>46269</v>
      </c>
      <c r="I360" s="127" t="n">
        <v>40</v>
      </c>
      <c r="J360" s="124">
        <f>IF(I360="","待估算",IF(F360="已完成","已结束",IF(AND(ISNUMBER(G360),ISNUMBER(H360),G360&lt;='项目驾驶舱'!$B$3,H360&gt;='项目驾驶舱'!$B$3),"进行中","计划中")))</f>
        <v/>
      </c>
      <c r="K360" s="124">
        <f>IF(J360="待估算","补充投入工时",IF(AND(H360&lt;'项目驾驶舱'!$B$3,F360&lt;&gt;"已完成"),"确认延期和后续安排","按计划跟踪"))</f>
        <v/>
      </c>
      <c r="L360" s="127" t="n"/>
    </row>
    <row r="361">
      <c r="C361" s="124" t="inlineStr">
        <is>
          <t>T120</t>
        </is>
      </c>
      <c r="D361" s="124" t="inlineStr">
        <is>
          <t>商务计划周报</t>
        </is>
      </c>
      <c r="E361" s="124" t="inlineStr">
        <is>
          <t>第一批次</t>
        </is>
      </c>
      <c r="F361" s="124">
        <f>IF(OR(M123="挂起",M123="暂停",Q123="挂起",Q123="暂停",U123="挂起",U123="暂停",Y123="挂起",Y123="暂停"),"暂停","已完成")</f>
        <v/>
      </c>
      <c r="G361" s="125" t="n">
        <v>46253</v>
      </c>
      <c r="H361" s="125" t="n">
        <v>46269</v>
      </c>
      <c r="I361" s="127" t="n">
        <v>40</v>
      </c>
      <c r="J361" s="124">
        <f>IF(I361="","待估算",IF(F361="已完成","已结束",IF(AND(ISNUMBER(G361),ISNUMBER(H361),G361&lt;='项目驾驶舱'!$B$3,H361&gt;='项目驾驶舱'!$B$3),"进行中","计划中")))</f>
        <v/>
      </c>
      <c r="K361" s="124">
        <f>IF(J361="待估算","补充投入工时",IF(AND(H361&lt;'项目驾驶舱'!$B$3,F361&lt;&gt;"已完成"),"确认延期和后续安排","按计划跟踪"))</f>
        <v/>
      </c>
      <c r="L361" s="127" t="n"/>
    </row>
    <row r="362">
      <c r="C362" s="124" t="inlineStr">
        <is>
          <t>T121</t>
        </is>
      </c>
      <c r="D362" s="124" t="inlineStr">
        <is>
          <t>船舶供应服务查询</t>
        </is>
      </c>
      <c r="E362" s="124" t="inlineStr">
        <is>
          <t>第二批次</t>
        </is>
      </c>
      <c r="F362" s="124">
        <f>IF(OR(M124="挂起",M124="暂停",Q124="挂起",Q124="暂停",U124="挂起",U124="暂停",Y124="挂起",Y124="暂停"),"暂停","已完成")</f>
        <v/>
      </c>
      <c r="G362" s="125" t="n">
        <v>46272</v>
      </c>
      <c r="H362" s="125" t="n">
        <v>46276</v>
      </c>
      <c r="I362" s="127" t="n">
        <v>40</v>
      </c>
      <c r="J362" s="124">
        <f>IF(I362="","待估算",IF(F362="已完成","已结束",IF(AND(ISNUMBER(G362),ISNUMBER(H362),G362&lt;='项目驾驶舱'!$B$3,H362&gt;='项目驾驶舱'!$B$3),"进行中","计划中")))</f>
        <v/>
      </c>
      <c r="K362" s="124">
        <f>IF(J362="待估算","补充投入工时",IF(AND(H362&lt;'项目驾驶舱'!$B$3,F362&lt;&gt;"已完成"),"确认延期和后续安排","按计划跟踪"))</f>
        <v/>
      </c>
      <c r="L362" s="127" t="n"/>
    </row>
    <row r="363">
      <c r="C363" s="124" t="inlineStr">
        <is>
          <t>T122</t>
        </is>
      </c>
      <c r="D363" s="124" t="inlineStr">
        <is>
          <t>船舶预到（内贸）查询</t>
        </is>
      </c>
      <c r="E363" s="124" t="inlineStr">
        <is>
          <t>第二批次</t>
        </is>
      </c>
      <c r="F363" s="124">
        <f>IF(OR(M125="挂起",M125="暂停",Q125="挂起",Q125="暂停",U125="挂起",U125="暂停",Y125="挂起",Y125="暂停"),"暂停","已完成")</f>
        <v/>
      </c>
      <c r="G363" s="125" t="n">
        <v>46272</v>
      </c>
      <c r="H363" s="125" t="n">
        <v>46276</v>
      </c>
      <c r="I363" s="127" t="n">
        <v>40</v>
      </c>
      <c r="J363" s="124">
        <f>IF(I363="","待估算",IF(F363="已完成","已结束",IF(AND(ISNUMBER(G363),ISNUMBER(H363),G363&lt;='项目驾驶舱'!$B$3,H363&gt;='项目驾驶舱'!$B$3),"进行中","计划中")))</f>
        <v/>
      </c>
      <c r="K363" s="124">
        <f>IF(J363="待估算","补充投入工时",IF(AND(H363&lt;'项目驾驶舱'!$B$3,F363&lt;&gt;"已完成"),"确认延期和后续安排","按计划跟踪"))</f>
        <v/>
      </c>
      <c r="L363" s="127" t="n"/>
    </row>
    <row r="364">
      <c r="C364" s="124" t="inlineStr">
        <is>
          <t>T123</t>
        </is>
      </c>
      <c r="D364" s="124" t="inlineStr">
        <is>
          <t>台账查询</t>
        </is>
      </c>
      <c r="E364" s="124" t="inlineStr">
        <is>
          <t>第二批次</t>
        </is>
      </c>
      <c r="F364" s="124">
        <f>IF(OR(M126="挂起",M126="暂停",Q126="挂起",Q126="暂停",U126="挂起",U126="暂停",Y126="挂起",Y126="暂停"),"暂停","已完成")</f>
        <v/>
      </c>
      <c r="G364" s="125" t="n">
        <v>46272</v>
      </c>
      <c r="H364" s="125" t="n">
        <v>46276</v>
      </c>
      <c r="I364" s="127" t="n">
        <v>40</v>
      </c>
      <c r="J364" s="124">
        <f>IF(I364="","待估算",IF(F364="已完成","已结束",IF(AND(ISNUMBER(G364),ISNUMBER(H364),G364&lt;='项目驾驶舱'!$B$3,H364&gt;='项目驾驶舱'!$B$3),"进行中","计划中")))</f>
        <v/>
      </c>
      <c r="K364" s="124">
        <f>IF(J364="待估算","补充投入工时",IF(AND(H364&lt;'项目驾驶舱'!$B$3,F364&lt;&gt;"已完成"),"确认延期和后续安排","按计划跟踪"))</f>
        <v/>
      </c>
      <c r="L364" s="127" t="n"/>
    </row>
    <row r="365">
      <c r="C365" s="124" t="inlineStr">
        <is>
          <t>T124</t>
        </is>
      </c>
      <c r="D365" s="124" t="inlineStr">
        <is>
          <t>停泊费（内贸）查询</t>
        </is>
      </c>
      <c r="E365" s="124" t="inlineStr">
        <is>
          <t>第二批次</t>
        </is>
      </c>
      <c r="F365" s="124">
        <f>IF(OR(M127="挂起",M127="暂停",Q127="挂起",Q127="暂停",U127="挂起",U127="暂停",Y127="挂起",Y127="暂停"),"暂停","已完成")</f>
        <v/>
      </c>
      <c r="G365" s="125" t="n">
        <v>46272</v>
      </c>
      <c r="H365" s="125" t="n">
        <v>46276</v>
      </c>
      <c r="I365" s="127" t="n">
        <v>40</v>
      </c>
      <c r="J365" s="124">
        <f>IF(I365="","待估算",IF(F365="已完成","已结束",IF(AND(ISNUMBER(G365),ISNUMBER(H365),G365&lt;='项目驾驶舱'!$B$3,H365&gt;='项目驾驶舱'!$B$3),"进行中","计划中")))</f>
        <v/>
      </c>
      <c r="K365" s="124">
        <f>IF(J365="待估算","补充投入工时",IF(AND(H365&lt;'项目驾驶舱'!$B$3,F365&lt;&gt;"已完成"),"确认延期和后续安排","按计划跟踪"))</f>
        <v/>
      </c>
      <c r="L365" s="127" t="n"/>
    </row>
    <row r="366">
      <c r="C366" s="124" t="inlineStr">
        <is>
          <t>T125</t>
        </is>
      </c>
      <c r="D366" s="124" t="inlineStr">
        <is>
          <t>船舶供应服务费（内贸）查询</t>
        </is>
      </c>
      <c r="E366" s="124" t="inlineStr">
        <is>
          <t>第二批次</t>
        </is>
      </c>
      <c r="F366" s="124">
        <f>IF(OR(M128="挂起",M128="暂停",Q128="挂起",Q128="暂停",U128="挂起",U128="暂停",Y128="挂起",Y128="暂停"),"暂停","已完成")</f>
        <v/>
      </c>
      <c r="G366" s="125" t="n">
        <v>46272</v>
      </c>
      <c r="H366" s="125" t="n">
        <v>46276</v>
      </c>
      <c r="I366" s="127" t="n">
        <v>40</v>
      </c>
      <c r="J366" s="124">
        <f>IF(I366="","待估算",IF(F366="已完成","已结束",IF(AND(ISNUMBER(G366),ISNUMBER(H366),G366&lt;='项目驾驶舱'!$B$3,H366&gt;='项目驾驶舱'!$B$3),"进行中","计划中")))</f>
        <v/>
      </c>
      <c r="K366" s="124">
        <f>IF(J366="待估算","补充投入工时",IF(AND(H366&lt;'项目驾驶舱'!$B$3,F366&lt;&gt;"已完成"),"确认延期和后续安排","按计划跟踪"))</f>
        <v/>
      </c>
      <c r="L366" s="127" t="n"/>
    </row>
    <row r="367">
      <c r="C367" s="124" t="inlineStr">
        <is>
          <t>T013</t>
        </is>
      </c>
      <c r="D367" s="124" t="inlineStr">
        <is>
          <t>新增结算条款</t>
        </is>
      </c>
      <c r="E367" s="124" t="inlineStr">
        <is>
          <t>第二批次</t>
        </is>
      </c>
      <c r="F367" s="124">
        <f>IF(OR(M16="挂起",M16="暂停",Q16="挂起",Q16="暂停",U16="挂起",U16="暂停",Y16="挂起",Y16="暂停"),"暂停","未开始")</f>
        <v/>
      </c>
      <c r="G367" s="125" t="n">
        <v>46307</v>
      </c>
      <c r="H367" s="125" t="n">
        <v>46318</v>
      </c>
      <c r="I367" s="127" t="n">
        <v>40</v>
      </c>
      <c r="J367" s="124">
        <f>IF(I367="","待估算",IF(F367="已完成","已结束",IF(AND(ISNUMBER(G367),ISNUMBER(H367),G367&lt;='项目驾驶舱'!$B$3,H367&gt;='项目驾驶舱'!$B$3),"进行中","计划中")))</f>
        <v/>
      </c>
      <c r="K367" s="124">
        <f>IF(J367="待估算","补充投入工时",IF(AND(H367&lt;'项目驾驶舱'!$B$3,F367&lt;&gt;"已完成"),"确认延期和后续安排","按计划跟踪"))</f>
        <v/>
      </c>
      <c r="L367" s="127" t="n"/>
    </row>
    <row r="368">
      <c r="A368" s="22" t="n"/>
      <c r="B368" s="22" t="n"/>
      <c r="C368" s="124" t="inlineStr">
        <is>
          <t>T014</t>
        </is>
      </c>
      <c r="D368" s="124" t="inlineStr">
        <is>
          <t>结算条款审批</t>
        </is>
      </c>
      <c r="E368" s="124" t="inlineStr">
        <is>
          <t>第二批次</t>
        </is>
      </c>
      <c r="F368" s="124">
        <f>IF(OR(M17="挂起",M17="暂停",Q17="挂起",Q17="暂停",U17="挂起",U17="暂停",Y17="挂起",Y17="暂停"),"暂停","未开始")</f>
        <v/>
      </c>
      <c r="G368" s="125" t="n">
        <v>46307</v>
      </c>
      <c r="H368" s="125" t="n">
        <v>46318</v>
      </c>
      <c r="I368" s="127" t="n">
        <v>40</v>
      </c>
      <c r="J368" s="124">
        <f>IF(I368="","待估算",IF(F368="已完成","已结束",IF(AND(ISNUMBER(G368),ISNUMBER(H368),G368&lt;='项目驾驶舱'!$B$3,H368&gt;='项目驾驶舱'!$B$3),"进行中","计划中")))</f>
        <v/>
      </c>
      <c r="K368" s="124">
        <f>IF(J368="待估算","补充投入工时",IF(AND(H368&lt;'项目驾驶舱'!$B$3,F368&lt;&gt;"已完成"),"确认延期和后续安排","按计划跟踪"))</f>
        <v/>
      </c>
      <c r="L368" s="127" t="n"/>
    </row>
    <row r="369">
      <c r="A369" s="133" t="inlineStr">
        <is>
          <t>袁丽荣</t>
        </is>
      </c>
      <c r="B369" s="133" t="inlineStr">
        <is>
          <t>测试</t>
        </is>
      </c>
      <c r="C369" s="124" t="inlineStr">
        <is>
          <t>T015</t>
        </is>
      </c>
      <c r="D369" s="124" t="inlineStr">
        <is>
          <t>修改结算条款</t>
        </is>
      </c>
      <c r="E369" s="124" t="inlineStr">
        <is>
          <t>第二批次</t>
        </is>
      </c>
      <c r="F369" s="124">
        <f>IF(OR(M18="挂起",M18="暂停",Q18="挂起",Q18="暂停",U18="挂起",U18="暂停",Y18="挂起",Y18="暂停"),"暂停","未开始")</f>
        <v/>
      </c>
      <c r="G369" s="125" t="n">
        <v>46307</v>
      </c>
      <c r="H369" s="125" t="n">
        <v>46318</v>
      </c>
      <c r="I369" s="127" t="n">
        <v>40</v>
      </c>
      <c r="J369" s="124">
        <f>IF(I369="","待估算",IF(F369="已完成","已结束",IF(AND(ISNUMBER(G369),ISNUMBER(H369),G369&lt;='项目驾驶舱'!$B$3,H369&gt;='项目驾驶舱'!$B$3),"进行中","计划中")))</f>
        <v/>
      </c>
      <c r="K369" s="124">
        <f>IF(J369="待估算","补充投入工时",IF(AND(H369&lt;'项目驾驶舱'!$B$3,F369&lt;&gt;"已完成"),"确认延期和后续安排","按计划跟踪"))</f>
        <v/>
      </c>
      <c r="L369" s="127" t="n"/>
    </row>
    <row r="370">
      <c r="C370" s="124" t="inlineStr">
        <is>
          <t>T016</t>
        </is>
      </c>
      <c r="D370" s="124" t="inlineStr">
        <is>
          <t>删除结算条款</t>
        </is>
      </c>
      <c r="E370" s="124" t="inlineStr">
        <is>
          <t>第二批次</t>
        </is>
      </c>
      <c r="F370" s="124">
        <f>IF(OR(M19="挂起",M19="暂停",Q19="挂起",Q19="暂停",U19="挂起",U19="暂停",Y19="挂起",Y19="暂停"),"暂停","未开始")</f>
        <v/>
      </c>
      <c r="G370" s="125" t="n">
        <v>46307</v>
      </c>
      <c r="H370" s="125" t="n">
        <v>46318</v>
      </c>
      <c r="I370" s="127" t="n">
        <v>40</v>
      </c>
      <c r="J370" s="124">
        <f>IF(I370="","待估算",IF(F370="已完成","已结束",IF(AND(ISNUMBER(G370),ISNUMBER(H370),G370&lt;='项目驾驶舱'!$B$3,H370&gt;='项目驾驶舱'!$B$3),"进行中","计划中")))</f>
        <v/>
      </c>
      <c r="K370" s="124">
        <f>IF(J370="待估算","补充投入工时",IF(AND(H370&lt;'项目驾驶舱'!$B$3,F370&lt;&gt;"已完成"),"确认延期和后续安排","按计划跟踪"))</f>
        <v/>
      </c>
      <c r="L370" s="127" t="n"/>
    </row>
    <row r="371">
      <c r="C371" s="124" t="inlineStr">
        <is>
          <t>T017</t>
        </is>
      </c>
      <c r="D371" s="124" t="inlineStr">
        <is>
          <t>查询展示结算条款</t>
        </is>
      </c>
      <c r="E371" s="124" t="inlineStr">
        <is>
          <t>第二批次</t>
        </is>
      </c>
      <c r="F371" s="124">
        <f>IF(OR(M20="挂起",M20="暂停",Q20="挂起",Q20="暂停",U20="挂起",U20="暂停",Y20="挂起",Y20="暂停"),"暂停","未开始")</f>
        <v/>
      </c>
      <c r="G371" s="125" t="n">
        <v>46307</v>
      </c>
      <c r="H371" s="125" t="n">
        <v>46318</v>
      </c>
      <c r="I371" s="127" t="n">
        <v>40</v>
      </c>
      <c r="J371" s="124">
        <f>IF(I371="","待估算",IF(F371="已完成","已结束",IF(AND(ISNUMBER(G371),ISNUMBER(H371),G371&lt;='项目驾驶舱'!$B$3,H371&gt;='项目驾驶舱'!$B$3),"进行中","计划中")))</f>
        <v/>
      </c>
      <c r="K371" s="124">
        <f>IF(J371="待估算","补充投入工时",IF(AND(H371&lt;'项目驾驶舱'!$B$3,F371&lt;&gt;"已完成"),"确认延期和后续安排","按计划跟踪"))</f>
        <v/>
      </c>
      <c r="L371" s="127" t="n"/>
    </row>
    <row r="372">
      <c r="C372" s="124" t="inlineStr">
        <is>
          <t>T018</t>
        </is>
      </c>
      <c r="D372" s="124" t="inlineStr">
        <is>
          <t>结算条款推送法务系统</t>
        </is>
      </c>
      <c r="E372" s="124" t="inlineStr">
        <is>
          <t>第二批次</t>
        </is>
      </c>
      <c r="F372" s="124">
        <f>IF(OR(M21="挂起",M21="暂停",Q21="挂起",Q21="暂停",U21="挂起",U21="暂停",Y21="挂起",Y21="暂停"),"暂停","未开始")</f>
        <v/>
      </c>
      <c r="G372" s="125" t="n">
        <v>46307</v>
      </c>
      <c r="H372" s="125" t="n">
        <v>46318</v>
      </c>
      <c r="I372" s="127" t="n">
        <v>40</v>
      </c>
      <c r="J372" s="124">
        <f>IF(I372="","待估算",IF(F372="已完成","已结束",IF(AND(ISNUMBER(G372),ISNUMBER(H372),G372&lt;='项目驾驶舱'!$B$3,H372&gt;='项目驾驶舱'!$B$3),"进行中","计划中")))</f>
        <v/>
      </c>
      <c r="K372" s="124">
        <f>IF(J372="待估算","补充投入工时",IF(AND(H372&lt;'项目驾驶舱'!$B$3,F372&lt;&gt;"已完成"),"确认延期和后续安排","按计划跟踪"))</f>
        <v/>
      </c>
      <c r="L372" s="127" t="n"/>
    </row>
    <row r="373">
      <c r="C373" s="124" t="inlineStr">
        <is>
          <t>T053</t>
        </is>
      </c>
      <c r="D373" s="124" t="inlineStr">
        <is>
          <t>接入港口侧视频监控</t>
        </is>
      </c>
      <c r="E373" s="124" t="inlineStr">
        <is>
          <t>第二批次</t>
        </is>
      </c>
      <c r="F373" s="124">
        <f>IF(OR(M56="挂起",M56="暂停",Q56="挂起",Q56="暂停",U56="挂起",U56="暂停",Y56="挂起",Y56="暂停"),"暂停","未开始")</f>
        <v/>
      </c>
      <c r="G373" s="125" t="n">
        <v>46307</v>
      </c>
      <c r="H373" s="125" t="n">
        <v>46318</v>
      </c>
      <c r="I373" s="127" t="n">
        <v>40</v>
      </c>
      <c r="J373" s="124">
        <f>IF(I373="","待估算",IF(F373="已完成","已结束",IF(AND(ISNUMBER(G373),ISNUMBER(H373),G373&lt;='项目驾驶舱'!$B$3,H373&gt;='项目驾驶舱'!$B$3),"进行中","计划中")))</f>
        <v/>
      </c>
      <c r="K373" s="124">
        <f>IF(J373="待估算","补充投入工时",IF(AND(H373&lt;'项目驾驶舱'!$B$3,F373&lt;&gt;"已完成"),"确认延期和后续安排","按计划跟踪"))</f>
        <v/>
      </c>
      <c r="L373" s="127" t="n"/>
    </row>
    <row r="374">
      <c r="C374" s="124" t="inlineStr">
        <is>
          <t>T054</t>
        </is>
      </c>
      <c r="D374" s="124" t="inlineStr">
        <is>
          <t>视频查看权限申请</t>
        </is>
      </c>
      <c r="E374" s="124" t="inlineStr">
        <is>
          <t>第二批次</t>
        </is>
      </c>
      <c r="F374" s="124">
        <f>IF(OR(M57="挂起",M57="暂停",Q57="挂起",Q57="暂停",U57="挂起",U57="暂停",Y57="挂起",Y57="暂停"),"暂停","未开始")</f>
        <v/>
      </c>
      <c r="G374" s="125" t="n">
        <v>46307</v>
      </c>
      <c r="H374" s="125" t="n">
        <v>46318</v>
      </c>
      <c r="I374" s="127" t="n">
        <v>40</v>
      </c>
      <c r="J374" s="124">
        <f>IF(I374="","待估算",IF(F374="已完成","已结束",IF(AND(ISNUMBER(G374),ISNUMBER(H374),G374&lt;='项目驾驶舱'!$B$3,H374&gt;='项目驾驶舱'!$B$3),"进行中","计划中")))</f>
        <v/>
      </c>
      <c r="K374" s="124">
        <f>IF(J374="待估算","补充投入工时",IF(AND(H374&lt;'项目驾驶舱'!$B$3,F374&lt;&gt;"已完成"),"确认延期和后续安排","按计划跟踪"))</f>
        <v/>
      </c>
      <c r="L374" s="127" t="n"/>
    </row>
    <row r="375">
      <c r="C375" s="124" t="inlineStr">
        <is>
          <t>T055</t>
        </is>
      </c>
      <c r="D375" s="124" t="inlineStr">
        <is>
          <t>视频查看权限审批</t>
        </is>
      </c>
      <c r="E375" s="124" t="inlineStr">
        <is>
          <t>第二批次</t>
        </is>
      </c>
      <c r="F375" s="124">
        <f>IF(OR(M58="挂起",M58="暂停",Q58="挂起",Q58="暂停",U58="挂起",U58="暂停",Y58="挂起",Y58="暂停"),"暂停","未开始")</f>
        <v/>
      </c>
      <c r="G375" s="125" t="n">
        <v>46307</v>
      </c>
      <c r="H375" s="125" t="n">
        <v>46318</v>
      </c>
      <c r="I375" s="127" t="n">
        <v>40</v>
      </c>
      <c r="J375" s="124">
        <f>IF(I375="","待估算",IF(F375="已完成","已结束",IF(AND(ISNUMBER(G375),ISNUMBER(H375),G375&lt;='项目驾驶舱'!$B$3,H375&gt;='项目驾驶舱'!$B$3),"进行中","计划中")))</f>
        <v/>
      </c>
      <c r="K375" s="124">
        <f>IF(J375="待估算","补充投入工时",IF(AND(H375&lt;'项目驾驶舱'!$B$3,F375&lt;&gt;"已完成"),"确认延期和后续安排","按计划跟踪"))</f>
        <v/>
      </c>
      <c r="L375" s="127" t="n"/>
    </row>
    <row r="376">
      <c r="C376" s="124" t="inlineStr">
        <is>
          <t>T056</t>
        </is>
      </c>
      <c r="D376" s="124" t="inlineStr">
        <is>
          <t>视频查看权限有效期控制</t>
        </is>
      </c>
      <c r="E376" s="124" t="inlineStr">
        <is>
          <t>第二批次</t>
        </is>
      </c>
      <c r="F376" s="124">
        <f>IF(OR(M59="挂起",M59="暂停",Q59="挂起",Q59="暂停",U59="挂起",U59="暂停",Y59="挂起",Y59="暂停"),"暂停","未开始")</f>
        <v/>
      </c>
      <c r="G376" s="125" t="n">
        <v>46307</v>
      </c>
      <c r="H376" s="125" t="n">
        <v>46318</v>
      </c>
      <c r="I376" s="127" t="n">
        <v>40</v>
      </c>
      <c r="J376" s="124">
        <f>IF(I376="","待估算",IF(F376="已完成","已结束",IF(AND(ISNUMBER(G376),ISNUMBER(H376),G376&lt;='项目驾驶舱'!$B$3,H376&gt;='项目驾驶舱'!$B$3),"进行中","计划中")))</f>
        <v/>
      </c>
      <c r="K376" s="124">
        <f>IF(J376="待估算","补充投入工时",IF(AND(H376&lt;'项目驾驶舱'!$B$3,F376&lt;&gt;"已完成"),"确认延期和后续安排","按计划跟踪"))</f>
        <v/>
      </c>
      <c r="L376" s="127" t="n"/>
    </row>
    <row r="377">
      <c r="C377" s="124" t="inlineStr">
        <is>
          <t>T057</t>
        </is>
      </c>
      <c r="D377" s="124" t="inlineStr">
        <is>
          <t>外网PC端视频监控查询</t>
        </is>
      </c>
      <c r="E377" s="124" t="inlineStr">
        <is>
          <t>第二批次</t>
        </is>
      </c>
      <c r="F377" s="124">
        <f>IF(OR(M60="挂起",M60="暂停",Q60="挂起",Q60="暂停",U60="挂起",U60="暂停",Y60="挂起",Y60="暂停"),"暂停","未开始")</f>
        <v/>
      </c>
      <c r="G377" s="125" t="n">
        <v>46307</v>
      </c>
      <c r="H377" s="125" t="n">
        <v>46318</v>
      </c>
      <c r="I377" s="127" t="n">
        <v>40</v>
      </c>
      <c r="J377" s="124">
        <f>IF(I377="","待估算",IF(F377="已完成","已结束",IF(AND(ISNUMBER(G377),ISNUMBER(H377),G377&lt;='项目驾驶舱'!$B$3,H377&gt;='项目驾驶舱'!$B$3),"进行中","计划中")))</f>
        <v/>
      </c>
      <c r="K377" s="124">
        <f>IF(J377="待估算","补充投入工时",IF(AND(H377&lt;'项目驾驶舱'!$B$3,F377&lt;&gt;"已完成"),"确认延期和后续安排","按计划跟踪"))</f>
        <v/>
      </c>
      <c r="L377" s="127" t="n"/>
    </row>
    <row r="378">
      <c r="C378" s="124" t="inlineStr">
        <is>
          <t>T059</t>
        </is>
      </c>
      <c r="D378" s="124" t="inlineStr">
        <is>
          <t>优化新增装车作业信息</t>
        </is>
      </c>
      <c r="E378" s="124" t="inlineStr">
        <is>
          <t>第一批次</t>
        </is>
      </c>
      <c r="F378" s="124">
        <f>IF(OR(M62="挂起",M62="暂停",Q62="挂起",Q62="暂停",U62="挂起",U62="暂停",Y62="挂起",Y62="暂停"),"暂停","已完成")</f>
        <v/>
      </c>
      <c r="G378" s="125" t="n">
        <v>46307</v>
      </c>
      <c r="H378" s="125" t="n">
        <v>46318</v>
      </c>
      <c r="I378" s="127" t="n">
        <v>40</v>
      </c>
      <c r="J378" s="124">
        <f>IF(I378="","待估算",IF(F378="已完成","已结束",IF(AND(ISNUMBER(G378),ISNUMBER(H378),G378&lt;='项目驾驶舱'!$B$3,H378&gt;='项目驾驶舱'!$B$3),"进行中","计划中")))</f>
        <v/>
      </c>
      <c r="K378" s="124">
        <f>IF(J378="待估算","补充投入工时",IF(AND(H378&lt;'项目驾驶舱'!$B$3,F378&lt;&gt;"已完成"),"确认延期和后续安排","按计划跟踪"))</f>
        <v/>
      </c>
      <c r="L378" s="127" t="n"/>
    </row>
    <row r="379">
      <c r="C379" s="124" t="inlineStr">
        <is>
          <t>T078</t>
        </is>
      </c>
      <c r="D379" s="124" t="inlineStr">
        <is>
          <t>业务数据合同签订校验</t>
        </is>
      </c>
      <c r="E379" s="124" t="inlineStr">
        <is>
          <t>第二批次</t>
        </is>
      </c>
      <c r="F379" s="124">
        <f>IF(OR(M81="挂起",M81="暂停",Q81="挂起",Q81="暂停",U81="挂起",U81="暂停",Y81="挂起",Y81="暂停"),"暂停","未开始")</f>
        <v/>
      </c>
      <c r="G379" s="125" t="n">
        <v>46307</v>
      </c>
      <c r="H379" s="125" t="n">
        <v>46318</v>
      </c>
      <c r="I379" s="127" t="n">
        <v>40</v>
      </c>
      <c r="J379" s="124">
        <f>IF(I379="","待估算",IF(F379="已完成","已结束",IF(AND(ISNUMBER(G379),ISNUMBER(H379),G379&lt;='项目驾驶舱'!$B$3,H379&gt;='项目驾驶舱'!$B$3),"进行中","计划中")))</f>
        <v/>
      </c>
      <c r="K379" s="124">
        <f>IF(J379="待估算","补充投入工时",IF(AND(H379&lt;'项目驾驶舱'!$B$3,F379&lt;&gt;"已完成"),"确认延期和后续安排","按计划跟踪"))</f>
        <v/>
      </c>
      <c r="L379" s="127" t="n"/>
    </row>
    <row r="380">
      <c r="A380" s="22" t="n"/>
      <c r="B380" s="22" t="n"/>
      <c r="C380" s="124" t="inlineStr">
        <is>
          <t>T079</t>
        </is>
      </c>
      <c r="D380" s="124" t="inlineStr">
        <is>
          <t>结算数据合同签订校验</t>
        </is>
      </c>
      <c r="E380" s="124" t="inlineStr">
        <is>
          <t>第二批次</t>
        </is>
      </c>
      <c r="F380" s="124">
        <f>IF(OR(M82="挂起",M82="暂停",Q82="挂起",Q82="暂停",U82="挂起",U82="暂停",Y82="挂起",Y82="暂停"),"暂停","未开始")</f>
        <v/>
      </c>
      <c r="G380" s="125" t="n">
        <v>46307</v>
      </c>
      <c r="H380" s="125" t="n">
        <v>46318</v>
      </c>
      <c r="I380" s="127" t="n">
        <v>40</v>
      </c>
      <c r="J380" s="124">
        <f>IF(I380="","待估算",IF(F380="已完成","已结束",IF(AND(ISNUMBER(G380),ISNUMBER(H380),G380&lt;='项目驾驶舱'!$B$3,H380&gt;='项目驾驶舱'!$B$3),"进行中","计划中")))</f>
        <v/>
      </c>
      <c r="K380" s="124">
        <f>IF(J380="待估算","补充投入工时",IF(AND(H380&lt;'项目驾驶舱'!$B$3,F380&lt;&gt;"已完成"),"确认延期和后续安排","按计划跟踪"))</f>
        <v/>
      </c>
      <c r="L380" s="127" t="n"/>
    </row>
    <row r="381">
      <c r="A381" s="133" t="inlineStr">
        <is>
          <t>袁丽荣</t>
        </is>
      </c>
      <c r="B381" s="133" t="inlineStr">
        <is>
          <t>测试</t>
        </is>
      </c>
      <c r="C381" s="124" t="inlineStr">
        <is>
          <t>T080</t>
        </is>
      </c>
      <c r="D381" s="124" t="inlineStr">
        <is>
          <t>合同校验结果查询</t>
        </is>
      </c>
      <c r="E381" s="124" t="inlineStr">
        <is>
          <t>第二批次</t>
        </is>
      </c>
      <c r="F381" s="124">
        <f>IF(OR(M83="挂起",M83="暂停",Q83="挂起",Q83="暂停",U83="挂起",U83="暂停",Y83="挂起",Y83="暂停"),"暂停","未开始")</f>
        <v/>
      </c>
      <c r="G381" s="125" t="n">
        <v>46307</v>
      </c>
      <c r="H381" s="125" t="n">
        <v>46318</v>
      </c>
      <c r="I381" s="127" t="n">
        <v>40</v>
      </c>
      <c r="J381" s="124">
        <f>IF(I381="","待估算",IF(F381="已完成","已结束",IF(AND(ISNUMBER(G381),ISNUMBER(H381),G381&lt;='项目驾驶舱'!$B$3,H381&gt;='项目驾驶舱'!$B$3),"进行中","计划中")))</f>
        <v/>
      </c>
      <c r="K381" s="124">
        <f>IF(J381="待估算","补充投入工时",IF(AND(H381&lt;'项目驾驶舱'!$B$3,F381&lt;&gt;"已完成"),"确认延期和后续安排","按计划跟踪"))</f>
        <v/>
      </c>
      <c r="L381" s="127" t="n"/>
    </row>
    <row r="382">
      <c r="C382" s="124" t="inlineStr">
        <is>
          <t>T141</t>
        </is>
      </c>
      <c r="D382" s="124" t="inlineStr">
        <is>
          <t>视频监控查询</t>
        </is>
      </c>
      <c r="E382" s="124" t="inlineStr">
        <is>
          <t>第二批次</t>
        </is>
      </c>
      <c r="F382" s="124">
        <f>IF(OR(M144="挂起",M144="暂停",Q144="挂起",Q144="暂停",U144="挂起",U144="暂停",Y144="挂起",Y144="暂停"),"暂停","未开始")</f>
        <v/>
      </c>
      <c r="G382" s="125" t="n">
        <v>46307</v>
      </c>
      <c r="H382" s="125" t="n">
        <v>46318</v>
      </c>
      <c r="I382" s="127" t="n">
        <v>40</v>
      </c>
      <c r="J382" s="124">
        <f>IF(I382="","待估算",IF(F382="已完成","已结束",IF(AND(ISNUMBER(G382),ISNUMBER(H382),G382&lt;='项目驾驶舱'!$B$3,H382&gt;='项目驾驶舱'!$B$3),"进行中","计划中")))</f>
        <v/>
      </c>
      <c r="K382" s="124">
        <f>IF(J382="待估算","补充投入工时",IF(AND(H382&lt;'项目驾驶舱'!$B$3,F382&lt;&gt;"已完成"),"确认延期和后续安排","按计划跟踪"))</f>
        <v/>
      </c>
      <c r="L382" s="127" t="n"/>
    </row>
    <row r="383">
      <c r="C383" s="124" t="inlineStr">
        <is>
          <t>T005</t>
        </is>
      </c>
      <c r="D383" s="124" t="inlineStr">
        <is>
          <t>船舶唯一性校验</t>
        </is>
      </c>
      <c r="E383" s="124" t="inlineStr">
        <is>
          <t>第二批次</t>
        </is>
      </c>
      <c r="F383" s="124">
        <f>IF(OR(M8="挂起",M8="暂停",Q8="挂起",Q8="暂停",U8="挂起",U8="暂停",Y8="挂起",Y8="暂停"),"暂停","已完成")</f>
        <v/>
      </c>
      <c r="G383" s="125" t="n">
        <v>46342</v>
      </c>
      <c r="H383" s="125" t="n">
        <v>46353</v>
      </c>
      <c r="I383" s="127" t="n">
        <v>40</v>
      </c>
      <c r="J383" s="124">
        <f>IF(I383="","待估算",IF(F383="已完成","已结束",IF(AND(ISNUMBER(G383),ISNUMBER(H383),G383&lt;='项目驾驶舱'!$B$3,H383&gt;='项目驾驶舱'!$B$3),"进行中","计划中")))</f>
        <v/>
      </c>
      <c r="K383" s="124">
        <f>IF(J383="待估算","补充投入工时",IF(AND(H383&lt;'项目驾驶舱'!$B$3,F383&lt;&gt;"已完成"),"确认延期和后续安排","按计划跟踪"))</f>
        <v/>
      </c>
      <c r="L383" s="127" t="n"/>
    </row>
    <row r="384">
      <c r="C384" s="124" t="inlineStr">
        <is>
          <t>T019</t>
        </is>
      </c>
      <c r="D384" s="124" t="inlineStr">
        <is>
          <t>对接卸船计划</t>
        </is>
      </c>
      <c r="E384" s="124" t="inlineStr">
        <is>
          <t>第二批次</t>
        </is>
      </c>
      <c r="F384" s="124">
        <f>IF(OR(M22="挂起",M22="暂停",Q22="挂起",Q22="暂停",U22="挂起",U22="暂停",Y22="挂起",Y22="暂停"),"暂停","进行中")</f>
        <v/>
      </c>
      <c r="G384" s="125" t="n">
        <v>46342</v>
      </c>
      <c r="H384" s="125" t="n">
        <v>46353</v>
      </c>
      <c r="I384" s="127" t="n">
        <v>40</v>
      </c>
      <c r="J384" s="124">
        <f>IF(I384="","待估算",IF(F384="已完成","已结束",IF(AND(ISNUMBER(G384),ISNUMBER(H384),G384&lt;='项目驾驶舱'!$B$3,H384&gt;='项目驾驶舱'!$B$3),"进行中","计划中")))</f>
        <v/>
      </c>
      <c r="K384" s="124">
        <f>IF(J384="待估算","补充投入工时",IF(AND(H384&lt;'项目驾驶舱'!$B$3,F384&lt;&gt;"已完成"),"确认延期和后续安排","按计划跟踪"))</f>
        <v/>
      </c>
      <c r="L384" s="127" t="n"/>
    </row>
    <row r="385">
      <c r="C385" s="124" t="inlineStr">
        <is>
          <t>T020</t>
        </is>
      </c>
      <c r="D385" s="124" t="inlineStr">
        <is>
          <t>查询卸车计划</t>
        </is>
      </c>
      <c r="E385" s="124" t="inlineStr">
        <is>
          <t>第二批次</t>
        </is>
      </c>
      <c r="F385" s="124">
        <f>IF(OR(M23="挂起",M23="暂停",Q23="挂起",Q23="暂停",U23="挂起",U23="暂停",Y23="挂起",Y23="暂停"),"暂停","进行中")</f>
        <v/>
      </c>
      <c r="G385" s="125" t="n">
        <v>46342</v>
      </c>
      <c r="H385" s="125" t="n">
        <v>46353</v>
      </c>
      <c r="I385" s="127" t="n">
        <v>40</v>
      </c>
      <c r="J385" s="124">
        <f>IF(I385="","待估算",IF(F385="已完成","已结束",IF(AND(ISNUMBER(G385),ISNUMBER(H385),G385&lt;='项目驾驶舱'!$B$3,H385&gt;='项目驾驶舱'!$B$3),"进行中","计划中")))</f>
        <v/>
      </c>
      <c r="K385" s="124">
        <f>IF(J385="待估算","补充投入工时",IF(AND(H385&lt;'项目驾驶舱'!$B$3,F385&lt;&gt;"已完成"),"确认延期和后续安排","按计划跟踪"))</f>
        <v/>
      </c>
      <c r="L385" s="127" t="n"/>
    </row>
    <row r="386">
      <c r="C386" s="124" t="inlineStr">
        <is>
          <t>T021</t>
        </is>
      </c>
      <c r="D386" s="124" t="inlineStr">
        <is>
          <t>外部客户确认</t>
        </is>
      </c>
      <c r="E386" s="124" t="inlineStr">
        <is>
          <t>第二批次</t>
        </is>
      </c>
      <c r="F386" s="124">
        <f>IF(OR(M24="挂起",M24="暂停",Q24="挂起",Q24="暂停",U24="挂起",U24="暂停",Y24="挂起",Y24="暂停"),"暂停","进行中")</f>
        <v/>
      </c>
      <c r="G386" s="125" t="n">
        <v>46342</v>
      </c>
      <c r="H386" s="125" t="n">
        <v>46353</v>
      </c>
      <c r="I386" s="127" t="n">
        <v>40</v>
      </c>
      <c r="J386" s="124">
        <f>IF(I386="","待估算",IF(F386="已完成","已结束",IF(AND(ISNUMBER(G386),ISNUMBER(H386),G386&lt;='项目驾驶舱'!$B$3,H386&gt;='项目驾驶舱'!$B$3),"进行中","计划中")))</f>
        <v/>
      </c>
      <c r="K386" s="124">
        <f>IF(J386="待估算","补充投入工时",IF(AND(H386&lt;'项目驾驶舱'!$B$3,F386&lt;&gt;"已完成"),"确认延期和后续安排","按计划跟踪"))</f>
        <v/>
      </c>
      <c r="L386" s="127" t="n"/>
    </row>
    <row r="387">
      <c r="C387" s="124" t="inlineStr">
        <is>
          <t>T022</t>
        </is>
      </c>
      <c r="D387" s="124" t="inlineStr">
        <is>
          <t>对接卸船作业信息</t>
        </is>
      </c>
      <c r="E387" s="124" t="inlineStr">
        <is>
          <t>第二批次</t>
        </is>
      </c>
      <c r="F387" s="124">
        <f>IF(OR(M25="挂起",M25="暂停",Q25="挂起",Q25="暂停",U25="挂起",U25="暂停",Y25="挂起",Y25="暂停"),"暂停","未开始")</f>
        <v/>
      </c>
      <c r="G387" s="125" t="n">
        <v>46342</v>
      </c>
      <c r="H387" s="125" t="n">
        <v>46353</v>
      </c>
      <c r="I387" s="127" t="n">
        <v>40</v>
      </c>
      <c r="J387" s="124">
        <f>IF(I387="","待估算",IF(F387="已完成","已结束",IF(AND(ISNUMBER(G387),ISNUMBER(H387),G387&lt;='项目驾驶舱'!$B$3,H387&gt;='项目驾驶舱'!$B$3),"进行中","计划中")))</f>
        <v/>
      </c>
      <c r="K387" s="124">
        <f>IF(J387="待估算","补充投入工时",IF(AND(H387&lt;'项目驾驶舱'!$B$3,F387&lt;&gt;"已完成"),"确认延期和后续安排","按计划跟踪"))</f>
        <v/>
      </c>
      <c r="L387" s="127" t="n"/>
    </row>
    <row r="388">
      <c r="C388" s="124" t="inlineStr">
        <is>
          <t>T023</t>
        </is>
      </c>
      <c r="D388" s="124" t="inlineStr">
        <is>
          <t>查询卸船作业信息</t>
        </is>
      </c>
      <c r="E388" s="124" t="inlineStr">
        <is>
          <t>第二批次</t>
        </is>
      </c>
      <c r="F388" s="124">
        <f>IF(OR(M26="挂起",M26="暂停",Q26="挂起",Q26="暂停",U26="挂起",U26="暂停",Y26="挂起",Y26="暂停"),"暂停","未开始")</f>
        <v/>
      </c>
      <c r="G388" s="125" t="n">
        <v>46342</v>
      </c>
      <c r="H388" s="125" t="n">
        <v>46353</v>
      </c>
      <c r="I388" s="127" t="n">
        <v>40</v>
      </c>
      <c r="J388" s="124">
        <f>IF(I388="","待估算",IF(F388="已完成","已结束",IF(AND(ISNUMBER(G388),ISNUMBER(H388),G388&lt;='项目驾驶舱'!$B$3,H388&gt;='项目驾驶舱'!$B$3),"进行中","计划中")))</f>
        <v/>
      </c>
      <c r="K388" s="124">
        <f>IF(J388="待估算","补充投入工时",IF(AND(H388&lt;'项目驾驶舱'!$B$3,F388&lt;&gt;"已完成"),"确认延期和后续安排","按计划跟踪"))</f>
        <v/>
      </c>
      <c r="L388" s="127" t="n"/>
    </row>
    <row r="389">
      <c r="C389" s="124" t="inlineStr">
        <is>
          <t>T024</t>
        </is>
      </c>
      <c r="D389" s="124" t="inlineStr">
        <is>
          <t>卸船查询列表</t>
        </is>
      </c>
      <c r="E389" s="124" t="inlineStr">
        <is>
          <t>第二批次</t>
        </is>
      </c>
      <c r="F389" s="124">
        <f>IF(OR(M27="挂起",M27="暂停",Q27="挂起",Q27="暂停",U27="挂起",U27="暂停",Y27="挂起",Y27="暂停"),"暂停","未开始")</f>
        <v/>
      </c>
      <c r="G389" s="125" t="n">
        <v>46342</v>
      </c>
      <c r="H389" s="125" t="n">
        <v>46353</v>
      </c>
      <c r="I389" s="127" t="n">
        <v>40</v>
      </c>
      <c r="J389" s="124">
        <f>IF(I389="","待估算",IF(F389="已完成","已结束",IF(AND(ISNUMBER(G389),ISNUMBER(H389),G389&lt;='项目驾驶舱'!$B$3,H389&gt;='项目驾驶舱'!$B$3),"进行中","计划中")))</f>
        <v/>
      </c>
      <c r="K389" s="124">
        <f>IF(J389="待估算","补充投入工时",IF(AND(H389&lt;'项目驾驶舱'!$B$3,F389&lt;&gt;"已完成"),"确认延期和后续安排","按计划跟踪"))</f>
        <v/>
      </c>
      <c r="L389" s="127" t="n"/>
    </row>
    <row r="390">
      <c r="C390" s="124" t="inlineStr">
        <is>
          <t>T025</t>
        </is>
      </c>
      <c r="D390" s="124" t="inlineStr">
        <is>
          <t>卸船查询详情</t>
        </is>
      </c>
      <c r="E390" s="124" t="inlineStr">
        <is>
          <t>第二批次</t>
        </is>
      </c>
      <c r="F390" s="124">
        <f>IF(OR(M28="挂起",M28="暂停",Q28="挂起",Q28="暂停",U28="挂起",U28="暂停",Y28="挂起",Y28="暂停"),"暂停","未开始")</f>
        <v/>
      </c>
      <c r="G390" s="125" t="n">
        <v>46342</v>
      </c>
      <c r="H390" s="125" t="n">
        <v>46353</v>
      </c>
      <c r="I390" s="127" t="n">
        <v>40</v>
      </c>
      <c r="J390" s="124">
        <f>IF(I390="","待估算",IF(F390="已完成","已结束",IF(AND(ISNUMBER(G390),ISNUMBER(H390),G390&lt;='项目驾驶舱'!$B$3,H390&gt;='项目驾驶舱'!$B$3),"进行中","计划中")))</f>
        <v/>
      </c>
      <c r="K390" s="124">
        <f>IF(J390="待估算","补充投入工时",IF(AND(H390&lt;'项目驾驶舱'!$B$3,F390&lt;&gt;"已完成"),"确认延期和后续安排","按计划跟踪"))</f>
        <v/>
      </c>
      <c r="L390" s="127" t="n"/>
    </row>
    <row r="391">
      <c r="C391" s="124" t="inlineStr">
        <is>
          <t>T026</t>
        </is>
      </c>
      <c r="D391" s="124" t="inlineStr">
        <is>
          <t>创建卸船作业委托信息</t>
        </is>
      </c>
      <c r="E391" s="124" t="inlineStr">
        <is>
          <t>第二批次</t>
        </is>
      </c>
      <c r="F391" s="124">
        <f>IF(OR(M29="挂起",M29="暂停",Q29="挂起",Q29="暂停",U29="挂起",U29="暂停",Y29="挂起",Y29="暂停"),"暂停","进行中")</f>
        <v/>
      </c>
      <c r="G391" s="125" t="n">
        <v>46342</v>
      </c>
      <c r="H391" s="125" t="n">
        <v>46353</v>
      </c>
      <c r="I391" s="127" t="n">
        <v>40</v>
      </c>
      <c r="J391" s="124">
        <f>IF(I391="","待估算",IF(F391="已完成","已结束",IF(AND(ISNUMBER(G391),ISNUMBER(H391),G391&lt;='项目驾驶舱'!$B$3,H391&gt;='项目驾驶舱'!$B$3),"进行中","计划中")))</f>
        <v/>
      </c>
      <c r="K391" s="124">
        <f>IF(J391="待估算","补充投入工时",IF(AND(H391&lt;'项目驾驶舱'!$B$3,F391&lt;&gt;"已完成"),"确认延期和后续安排","按计划跟踪"))</f>
        <v/>
      </c>
      <c r="L391" s="127" t="n"/>
    </row>
    <row r="392">
      <c r="A392" s="22" t="n"/>
      <c r="B392" s="22" t="n"/>
      <c r="C392" s="124" t="inlineStr">
        <is>
          <t>T027</t>
        </is>
      </c>
      <c r="D392" s="124" t="inlineStr">
        <is>
          <t>修改卸船作业委托信息</t>
        </is>
      </c>
      <c r="E392" s="124" t="inlineStr">
        <is>
          <t>第二批次</t>
        </is>
      </c>
      <c r="F392" s="124">
        <f>IF(OR(M30="挂起",M30="暂停",Q30="挂起",Q30="暂停",U30="挂起",U30="暂停",Y30="挂起",Y30="暂停"),"暂停","进行中")</f>
        <v/>
      </c>
      <c r="G392" s="125" t="n">
        <v>46342</v>
      </c>
      <c r="H392" s="125" t="n">
        <v>46353</v>
      </c>
      <c r="I392" s="127" t="n">
        <v>40</v>
      </c>
      <c r="J392" s="124">
        <f>IF(I392="","待估算",IF(F392="已完成","已结束",IF(AND(ISNUMBER(G392),ISNUMBER(H392),G392&lt;='项目驾驶舱'!$B$3,H392&gt;='项目驾驶舱'!$B$3),"进行中","计划中")))</f>
        <v/>
      </c>
      <c r="K392" s="124">
        <f>IF(J392="待估算","补充投入工时",IF(AND(H392&lt;'项目驾驶舱'!$B$3,F392&lt;&gt;"已完成"),"确认延期和后续安排","按计划跟踪"))</f>
        <v/>
      </c>
      <c r="L392" s="127" t="n"/>
    </row>
    <row r="393">
      <c r="A393" s="133" t="inlineStr">
        <is>
          <t>袁丽荣</t>
        </is>
      </c>
      <c r="B393" s="133" t="inlineStr">
        <is>
          <t>测试</t>
        </is>
      </c>
      <c r="C393" s="124" t="inlineStr">
        <is>
          <t>T028</t>
        </is>
      </c>
      <c r="D393" s="124" t="inlineStr">
        <is>
          <t>作废卸船作业委托信息</t>
        </is>
      </c>
      <c r="E393" s="124" t="inlineStr">
        <is>
          <t>第二批次</t>
        </is>
      </c>
      <c r="F393" s="124">
        <f>IF(OR(M31="挂起",M31="暂停",Q31="挂起",Q31="暂停",U31="挂起",U31="暂停",Y31="挂起",Y31="暂停"),"暂停","进行中")</f>
        <v/>
      </c>
      <c r="G393" s="125" t="n">
        <v>46342</v>
      </c>
      <c r="H393" s="125" t="n">
        <v>46353</v>
      </c>
      <c r="I393" s="127" t="n">
        <v>40</v>
      </c>
      <c r="J393" s="124">
        <f>IF(I393="","待估算",IF(F393="已完成","已结束",IF(AND(ISNUMBER(G393),ISNUMBER(H393),G393&lt;='项目驾驶舱'!$B$3,H393&gt;='项目驾驶舱'!$B$3),"进行中","计划中")))</f>
        <v/>
      </c>
      <c r="K393" s="124">
        <f>IF(J393="待估算","补充投入工时",IF(AND(H393&lt;'项目驾驶舱'!$B$3,F393&lt;&gt;"已完成"),"确认延期和后续安排","按计划跟踪"))</f>
        <v/>
      </c>
      <c r="L393" s="127" t="n"/>
    </row>
    <row r="394">
      <c r="C394" s="124" t="inlineStr">
        <is>
          <t>T029</t>
        </is>
      </c>
      <c r="D394" s="124" t="inlineStr">
        <is>
          <t>推送卸船作业委托信息</t>
        </is>
      </c>
      <c r="E394" s="124" t="inlineStr">
        <is>
          <t>第二批次</t>
        </is>
      </c>
      <c r="F394" s="124">
        <f>IF(OR(M32="挂起",M32="暂停",Q32="挂起",Q32="暂停",U32="挂起",U32="暂停",Y32="挂起",Y32="暂停"),"暂停","进行中")</f>
        <v/>
      </c>
      <c r="G394" s="125" t="n">
        <v>46342</v>
      </c>
      <c r="H394" s="125" t="n">
        <v>46353</v>
      </c>
      <c r="I394" s="127" t="n">
        <v>40</v>
      </c>
      <c r="J394" s="124">
        <f>IF(I394="","待估算",IF(F394="已完成","已结束",IF(AND(ISNUMBER(G394),ISNUMBER(H394),G394&lt;='项目驾驶舱'!$B$3,H394&gt;='项目驾驶舱'!$B$3),"进行中","计划中")))</f>
        <v/>
      </c>
      <c r="K394" s="124">
        <f>IF(J394="待估算","补充投入工时",IF(AND(H394&lt;'项目驾驶舱'!$B$3,F394&lt;&gt;"已完成"),"确认延期和后续安排","按计划跟踪"))</f>
        <v/>
      </c>
      <c r="L394" s="127" t="n"/>
    </row>
    <row r="395">
      <c r="C395" s="124" t="inlineStr">
        <is>
          <t>T030</t>
        </is>
      </c>
      <c r="D395" s="124" t="inlineStr">
        <is>
          <t>查询卸船作业委托信息</t>
        </is>
      </c>
      <c r="E395" s="124" t="inlineStr">
        <is>
          <t>第二批次</t>
        </is>
      </c>
      <c r="F395" s="124">
        <f>IF(OR(M33="挂起",M33="暂停",Q33="挂起",Q33="暂停",U33="挂起",U33="暂停",Y33="挂起",Y33="暂停"),"暂停","进行中")</f>
        <v/>
      </c>
      <c r="G395" s="125" t="n">
        <v>46342</v>
      </c>
      <c r="H395" s="125" t="n">
        <v>46353</v>
      </c>
      <c r="I395" s="127" t="n">
        <v>40</v>
      </c>
      <c r="J395" s="124">
        <f>IF(I395="","待估算",IF(F395="已完成","已结束",IF(AND(ISNUMBER(G395),ISNUMBER(H395),G395&lt;='项目驾驶舱'!$B$3,H395&gt;='项目驾驶舱'!$B$3),"进行中","计划中")))</f>
        <v/>
      </c>
      <c r="K395" s="124">
        <f>IF(J395="待估算","补充投入工时",IF(AND(H395&lt;'项目驾驶舱'!$B$3,F395&lt;&gt;"已完成"),"确认延期和后续安排","按计划跟踪"))</f>
        <v/>
      </c>
      <c r="L395" s="127" t="n"/>
    </row>
    <row r="396">
      <c r="C396" s="124" t="inlineStr">
        <is>
          <t>T031</t>
        </is>
      </c>
      <c r="D396" s="124" t="inlineStr">
        <is>
          <t>创建外轮转内贸业务信息</t>
        </is>
      </c>
      <c r="E396" s="124" t="inlineStr">
        <is>
          <t>第二批次</t>
        </is>
      </c>
      <c r="F396" s="124">
        <f>IF(OR(M34="挂起",M34="暂停",Q34="挂起",Q34="暂停",U34="挂起",U34="暂停",Y34="挂起",Y34="暂停"),"暂停","未开始")</f>
        <v/>
      </c>
      <c r="G396" s="125" t="n">
        <v>46342</v>
      </c>
      <c r="H396" s="125" t="n">
        <v>46353</v>
      </c>
      <c r="I396" s="127" t="n">
        <v>40</v>
      </c>
      <c r="J396" s="124">
        <f>IF(I396="","待估算",IF(F396="已完成","已结束",IF(AND(ISNUMBER(G396),ISNUMBER(H396),G396&lt;='项目驾驶舱'!$B$3,H396&gt;='项目驾驶舱'!$B$3),"进行中","计划中")))</f>
        <v/>
      </c>
      <c r="K396" s="124">
        <f>IF(J396="待估算","补充投入工时",IF(AND(H396&lt;'项目驾驶舱'!$B$3,F396&lt;&gt;"已完成"),"确认延期和后续安排","按计划跟踪"))</f>
        <v/>
      </c>
      <c r="L396" s="127" t="n"/>
    </row>
    <row r="397">
      <c r="C397" s="124" t="inlineStr">
        <is>
          <t>T032</t>
        </is>
      </c>
      <c r="D397" s="124" t="inlineStr">
        <is>
          <t>作废外轮转内贸业务信息</t>
        </is>
      </c>
      <c r="E397" s="124" t="inlineStr">
        <is>
          <t>第二批次</t>
        </is>
      </c>
      <c r="F397" s="124">
        <f>IF(OR(M35="挂起",M35="暂停",Q35="挂起",Q35="暂停",U35="挂起",U35="暂停",Y35="挂起",Y35="暂停"),"暂停","未开始")</f>
        <v/>
      </c>
      <c r="G397" s="125" t="n">
        <v>46342</v>
      </c>
      <c r="H397" s="125" t="n">
        <v>46353</v>
      </c>
      <c r="I397" s="127" t="n">
        <v>40</v>
      </c>
      <c r="J397" s="124">
        <f>IF(I397="","待估算",IF(F397="已完成","已结束",IF(AND(ISNUMBER(G397),ISNUMBER(H397),G397&lt;='项目驾驶舱'!$B$3,H397&gt;='项目驾驶舱'!$B$3),"进行中","计划中")))</f>
        <v/>
      </c>
      <c r="K397" s="124">
        <f>IF(J397="待估算","补充投入工时",IF(AND(H397&lt;'项目驾驶舱'!$B$3,F397&lt;&gt;"已完成"),"确认延期和后续安排","按计划跟踪"))</f>
        <v/>
      </c>
      <c r="L397" s="127" t="n"/>
    </row>
    <row r="398">
      <c r="C398" s="124" t="inlineStr">
        <is>
          <t>T033</t>
        </is>
      </c>
      <c r="D398" s="124" t="inlineStr">
        <is>
          <t>查询外轮转内贸业务信息</t>
        </is>
      </c>
      <c r="E398" s="124" t="inlineStr">
        <is>
          <t>第二批次</t>
        </is>
      </c>
      <c r="F398" s="124">
        <f>IF(OR(M36="挂起",M36="暂停",Q36="挂起",Q36="暂停",U36="挂起",U36="暂停",Y36="挂起",Y36="暂停"),"暂停","未开始")</f>
        <v/>
      </c>
      <c r="G398" s="125" t="n">
        <v>46342</v>
      </c>
      <c r="H398" s="125" t="n">
        <v>46353</v>
      </c>
      <c r="I398" s="127" t="n">
        <v>40</v>
      </c>
      <c r="J398" s="124">
        <f>IF(I398="","待估算",IF(F398="已完成","已结束",IF(AND(ISNUMBER(G398),ISNUMBER(H398),G398&lt;='项目驾驶舱'!$B$3,H398&gt;='项目驾驶舱'!$B$3),"进行中","计划中")))</f>
        <v/>
      </c>
      <c r="K398" s="124">
        <f>IF(J398="待估算","补充投入工时",IF(AND(H398&lt;'项目驾驶舱'!$B$3,F398&lt;&gt;"已完成"),"确认延期和后续安排","按计划跟踪"))</f>
        <v/>
      </c>
      <c r="L398" s="127" t="n"/>
    </row>
    <row r="399">
      <c r="C399" s="124" t="inlineStr">
        <is>
          <t>T034</t>
        </is>
      </c>
      <c r="D399" s="124" t="inlineStr">
        <is>
          <t>新增船舶靠泊通知单</t>
        </is>
      </c>
      <c r="E399" s="124" t="inlineStr">
        <is>
          <t>第二批次</t>
        </is>
      </c>
      <c r="F399" s="124">
        <f>IF(OR(M37="挂起",M37="暂停",Q37="挂起",Q37="暂停",U37="挂起",U37="暂停",Y37="挂起",Y37="暂停"),"暂停","进行中")</f>
        <v/>
      </c>
      <c r="G399" s="125" t="n">
        <v>46342</v>
      </c>
      <c r="H399" s="125" t="n">
        <v>46353</v>
      </c>
      <c r="I399" s="127" t="n">
        <v>40</v>
      </c>
      <c r="J399" s="124">
        <f>IF(I399="","待估算",IF(F399="已完成","已结束",IF(AND(ISNUMBER(G399),ISNUMBER(H399),G399&lt;='项目驾驶舱'!$B$3,H399&gt;='项目驾驶舱'!$B$3),"进行中","计划中")))</f>
        <v/>
      </c>
      <c r="K399" s="124">
        <f>IF(J399="待估算","补充投入工时",IF(AND(H399&lt;'项目驾驶舱'!$B$3,F399&lt;&gt;"已完成"),"确认延期和后续安排","按计划跟踪"))</f>
        <v/>
      </c>
      <c r="L399" s="127" t="n"/>
    </row>
    <row r="400">
      <c r="C400" s="124" t="inlineStr">
        <is>
          <t>T035</t>
        </is>
      </c>
      <c r="D400" s="124" t="inlineStr">
        <is>
          <t>审批船舶靠泊通知单</t>
        </is>
      </c>
      <c r="E400" s="124" t="inlineStr">
        <is>
          <t>第二批次</t>
        </is>
      </c>
      <c r="F400" s="124">
        <f>IF(OR(M38="挂起",M38="暂停",Q38="挂起",Q38="暂停",U38="挂起",U38="暂停",Y38="挂起",Y38="暂停"),"暂停","进行中")</f>
        <v/>
      </c>
      <c r="G400" s="125" t="n">
        <v>46342</v>
      </c>
      <c r="H400" s="125" t="n">
        <v>46353</v>
      </c>
      <c r="I400" s="127" t="n">
        <v>40</v>
      </c>
      <c r="J400" s="124">
        <f>IF(I400="","待估算",IF(F400="已完成","已结束",IF(AND(ISNUMBER(G400),ISNUMBER(H400),G400&lt;='项目驾驶舱'!$B$3,H400&gt;='项目驾驶舱'!$B$3),"进行中","计划中")))</f>
        <v/>
      </c>
      <c r="K400" s="124">
        <f>IF(J400="待估算","补充投入工时",IF(AND(H400&lt;'项目驾驶舱'!$B$3,F400&lt;&gt;"已完成"),"确认延期和后续安排","按计划跟踪"))</f>
        <v/>
      </c>
      <c r="L400" s="127" t="n"/>
    </row>
    <row r="401">
      <c r="C401" s="124" t="inlineStr">
        <is>
          <t>T036</t>
        </is>
      </c>
      <c r="D401" s="124" t="inlineStr">
        <is>
          <t>查询船舶靠泊通知单</t>
        </is>
      </c>
      <c r="E401" s="124" t="inlineStr">
        <is>
          <t>第二批次</t>
        </is>
      </c>
      <c r="F401" s="124">
        <f>IF(OR(M39="挂起",M39="暂停",Q39="挂起",Q39="暂停",U39="挂起",U39="暂停",Y39="挂起",Y39="暂停"),"暂停","进行中")</f>
        <v/>
      </c>
      <c r="G401" s="125" t="n">
        <v>46342</v>
      </c>
      <c r="H401" s="125" t="n">
        <v>46353</v>
      </c>
      <c r="I401" s="127" t="n">
        <v>40</v>
      </c>
      <c r="J401" s="124">
        <f>IF(I401="","待估算",IF(F401="已完成","已结束",IF(AND(ISNUMBER(G401),ISNUMBER(H401),G401&lt;='项目驾驶舱'!$B$3,H401&gt;='项目驾驶舱'!$B$3),"进行中","计划中")))</f>
        <v/>
      </c>
      <c r="K401" s="124">
        <f>IF(J401="待估算","补充投入工时",IF(AND(H401&lt;'项目驾驶舱'!$B$3,F401&lt;&gt;"已完成"),"确认延期和后续安排","按计划跟踪"))</f>
        <v/>
      </c>
      <c r="L401" s="127" t="n"/>
    </row>
    <row r="402">
      <c r="C402" s="124" t="inlineStr">
        <is>
          <t>T046</t>
        </is>
      </c>
      <c r="D402" s="124" t="inlineStr">
        <is>
          <t>新增船舶预到（外贸）</t>
        </is>
      </c>
      <c r="E402" s="124" t="inlineStr">
        <is>
          <t>第二批次</t>
        </is>
      </c>
      <c r="F402" s="124">
        <f>IF(OR(M49="挂起",M49="暂停",Q49="挂起",Q49="暂停",U49="挂起",U49="暂停",Y49="挂起",Y49="暂停"),"暂停","已完成")</f>
        <v/>
      </c>
      <c r="G402" s="125" t="n">
        <v>46342</v>
      </c>
      <c r="H402" s="125" t="n">
        <v>46353</v>
      </c>
      <c r="I402" s="127" t="n">
        <v>40</v>
      </c>
      <c r="J402" s="124">
        <f>IF(I402="","待估算",IF(F402="已完成","已结束",IF(AND(ISNUMBER(G402),ISNUMBER(H402),G402&lt;='项目驾驶舱'!$B$3,H402&gt;='项目驾驶舱'!$B$3),"进行中","计划中")))</f>
        <v/>
      </c>
      <c r="K402" s="124">
        <f>IF(J402="待估算","补充投入工时",IF(AND(H402&lt;'项目驾驶舱'!$B$3,F402&lt;&gt;"已完成"),"确认延期和后续安排","按计划跟踪"))</f>
        <v/>
      </c>
      <c r="L402" s="127" t="n"/>
    </row>
    <row r="403">
      <c r="C403" s="124" t="inlineStr">
        <is>
          <t>T047</t>
        </is>
      </c>
      <c r="D403" s="124" t="inlineStr">
        <is>
          <t>退回船舶预到（外贸）</t>
        </is>
      </c>
      <c r="E403" s="124" t="inlineStr">
        <is>
          <t>第二批次</t>
        </is>
      </c>
      <c r="F403" s="124">
        <f>IF(OR(M50="挂起",M50="暂停",Q50="挂起",Q50="暂停",U50="挂起",U50="暂停",Y50="挂起",Y50="暂停"),"暂停","未开始")</f>
        <v/>
      </c>
      <c r="G403" s="125" t="n">
        <v>46342</v>
      </c>
      <c r="H403" s="125" t="n">
        <v>46353</v>
      </c>
      <c r="I403" s="127" t="n">
        <v>40</v>
      </c>
      <c r="J403" s="124">
        <f>IF(I403="","待估算",IF(F403="已完成","已结束",IF(AND(ISNUMBER(G403),ISNUMBER(H403),G403&lt;='项目驾驶舱'!$B$3,H403&gt;='项目驾驶舱'!$B$3),"进行中","计划中")))</f>
        <v/>
      </c>
      <c r="K403" s="124">
        <f>IF(J403="待估算","补充投入工时",IF(AND(H403&lt;'项目驾驶舱'!$B$3,F403&lt;&gt;"已完成"),"确认延期和后续安排","按计划跟踪"))</f>
        <v/>
      </c>
      <c r="L403" s="127" t="n"/>
    </row>
    <row r="404">
      <c r="A404" s="22" t="n"/>
      <c r="B404" s="22" t="n"/>
      <c r="C404" s="124" t="inlineStr">
        <is>
          <t>T048</t>
        </is>
      </c>
      <c r="D404" s="124" t="inlineStr">
        <is>
          <t>退回船舶预到（外贸）</t>
        </is>
      </c>
      <c r="E404" s="124" t="inlineStr">
        <is>
          <t>第二批次</t>
        </is>
      </c>
      <c r="F404" s="124">
        <f>IF(OR(M51="挂起",M51="暂停",Q51="挂起",Q51="暂停",U51="挂起",U51="暂停",Y51="挂起",Y51="暂停"),"暂停","未开始")</f>
        <v/>
      </c>
      <c r="G404" s="125" t="n">
        <v>46342</v>
      </c>
      <c r="H404" s="125" t="n">
        <v>46353</v>
      </c>
      <c r="I404" s="127" t="n">
        <v>40</v>
      </c>
      <c r="J404" s="124">
        <f>IF(I404="","待估算",IF(F404="已完成","已结束",IF(AND(ISNUMBER(G404),ISNUMBER(H404),G404&lt;='项目驾驶舱'!$B$3,H404&gt;='项目驾驶舱'!$B$3),"进行中","计划中")))</f>
        <v/>
      </c>
      <c r="K404" s="124">
        <f>IF(J404="待估算","补充投入工时",IF(AND(H404&lt;'项目驾驶舱'!$B$3,F404&lt;&gt;"已完成"),"确认延期和后续安排","按计划跟踪"))</f>
        <v/>
      </c>
      <c r="L404" s="127" t="n"/>
    </row>
    <row r="405">
      <c r="A405" s="133" t="inlineStr">
        <is>
          <t>袁丽荣</t>
        </is>
      </c>
      <c r="B405" s="133" t="inlineStr">
        <is>
          <t>测试</t>
        </is>
      </c>
      <c r="C405" s="124" t="inlineStr">
        <is>
          <t>T049</t>
        </is>
      </c>
      <c r="D405" s="124" t="inlineStr">
        <is>
          <t>申请采样申请（外贸）</t>
        </is>
      </c>
      <c r="E405" s="124" t="inlineStr">
        <is>
          <t>第二批次</t>
        </is>
      </c>
      <c r="F405" s="124">
        <f>IF(OR(M52="挂起",M52="暂停",Q52="挂起",Q52="暂停",U52="挂起",U52="暂停",Y52="挂起",Y52="暂停"),"暂停","已完成")</f>
        <v/>
      </c>
      <c r="G405" s="125" t="n">
        <v>46342</v>
      </c>
      <c r="H405" s="125" t="n">
        <v>46353</v>
      </c>
      <c r="I405" s="127" t="n">
        <v>40</v>
      </c>
      <c r="J405" s="124">
        <f>IF(I405="","待估算",IF(F405="已完成","已结束",IF(AND(ISNUMBER(G405),ISNUMBER(H405),G405&lt;='项目驾驶舱'!$B$3,H405&gt;='项目驾驶舱'!$B$3),"进行中","计划中")))</f>
        <v/>
      </c>
      <c r="K405" s="124">
        <f>IF(J405="待估算","补充投入工时",IF(AND(H405&lt;'项目驾驶舱'!$B$3,F405&lt;&gt;"已完成"),"确认延期和后续安排","按计划跟踪"))</f>
        <v/>
      </c>
      <c r="L405" s="127" t="n"/>
    </row>
    <row r="406">
      <c r="C406" s="124" t="inlineStr">
        <is>
          <t>T081</t>
        </is>
      </c>
      <c r="D406" s="124" t="inlineStr">
        <is>
          <t>数据对接</t>
        </is>
      </c>
      <c r="E406" s="124" t="inlineStr">
        <is>
          <t>第二批次</t>
        </is>
      </c>
      <c r="F406" s="124">
        <f>IF(OR(M84="挂起",M84="暂停",Q84="挂起",Q84="暂停",U84="挂起",U84="暂停",Y84="挂起",Y84="暂停"),"暂停","未开始")</f>
        <v/>
      </c>
      <c r="G406" s="125" t="n">
        <v>46342</v>
      </c>
      <c r="H406" s="125" t="n">
        <v>46353</v>
      </c>
      <c r="I406" s="127" t="n">
        <v>40</v>
      </c>
      <c r="J406" s="124">
        <f>IF(I406="","待估算",IF(F406="已完成","已结束",IF(AND(ISNUMBER(G406),ISNUMBER(H406),G406&lt;='项目驾驶舱'!$B$3,H406&gt;='项目驾驶舱'!$B$3),"进行中","计划中")))</f>
        <v/>
      </c>
      <c r="K406" s="124">
        <f>IF(J406="待估算","补充投入工时",IF(AND(H406&lt;'项目驾驶舱'!$B$3,F406&lt;&gt;"已完成"),"确认延期和后续安排","按计划跟踪"))</f>
        <v/>
      </c>
      <c r="L406" s="127" t="n"/>
    </row>
    <row r="407">
      <c r="C407" s="124" t="inlineStr">
        <is>
          <t>T082</t>
        </is>
      </c>
      <c r="D407" s="124" t="inlineStr">
        <is>
          <t>数据展示</t>
        </is>
      </c>
      <c r="E407" s="124" t="inlineStr">
        <is>
          <t>第二批次</t>
        </is>
      </c>
      <c r="F407" s="124">
        <f>IF(OR(M85="挂起",M85="暂停",Q85="挂起",Q85="暂停",U85="挂起",U85="暂停",Y85="挂起",Y85="暂停"),"暂停","未开始")</f>
        <v/>
      </c>
      <c r="G407" s="125" t="n">
        <v>46342</v>
      </c>
      <c r="H407" s="125" t="n">
        <v>46353</v>
      </c>
      <c r="I407" s="127" t="n">
        <v>40</v>
      </c>
      <c r="J407" s="124">
        <f>IF(I407="","待估算",IF(F407="已完成","已结束",IF(AND(ISNUMBER(G407),ISNUMBER(H407),G407&lt;='项目驾驶舱'!$B$3,H407&gt;='项目驾驶舱'!$B$3),"进行中","计划中")))</f>
        <v/>
      </c>
      <c r="K407" s="124">
        <f>IF(J407="待估算","补充投入工时",IF(AND(H407&lt;'项目驾驶舱'!$B$3,F407&lt;&gt;"已完成"),"确认延期和后续安排","按计划跟踪"))</f>
        <v/>
      </c>
      <c r="L407" s="127" t="n"/>
    </row>
    <row r="408">
      <c r="C408" s="124" t="inlineStr">
        <is>
          <t>T083</t>
        </is>
      </c>
      <c r="D408" s="124" t="inlineStr">
        <is>
          <t>数据对接</t>
        </is>
      </c>
      <c r="E408" s="124" t="inlineStr">
        <is>
          <t>第二批次</t>
        </is>
      </c>
      <c r="F408" s="124">
        <f>IF(OR(M86="挂起",M86="暂停",Q86="挂起",Q86="暂停",U86="挂起",U86="暂停",Y86="挂起",Y86="暂停"),"暂停","未开始")</f>
        <v/>
      </c>
      <c r="G408" s="125" t="n">
        <v>46342</v>
      </c>
      <c r="H408" s="125" t="n">
        <v>46353</v>
      </c>
      <c r="I408" s="127" t="n">
        <v>40</v>
      </c>
      <c r="J408" s="124">
        <f>IF(I408="","待估算",IF(F408="已完成","已结束",IF(AND(ISNUMBER(G408),ISNUMBER(H408),G408&lt;='项目驾驶舱'!$B$3,H408&gt;='项目驾驶舱'!$B$3),"进行中","计划中")))</f>
        <v/>
      </c>
      <c r="K408" s="124">
        <f>IF(J408="待估算","补充投入工时",IF(AND(H408&lt;'项目驾驶舱'!$B$3,F408&lt;&gt;"已完成"),"确认延期和后续安排","按计划跟踪"))</f>
        <v/>
      </c>
      <c r="L408" s="127" t="n"/>
    </row>
    <row r="409">
      <c r="C409" s="124" t="inlineStr">
        <is>
          <t>T084</t>
        </is>
      </c>
      <c r="D409" s="124" t="inlineStr">
        <is>
          <t>数据产生</t>
        </is>
      </c>
      <c r="E409" s="124" t="inlineStr">
        <is>
          <t>第二批次</t>
        </is>
      </c>
      <c r="F409" s="124">
        <f>IF(OR(M87="挂起",M87="暂停",Q87="挂起",Q87="暂停",U87="挂起",U87="暂停",Y87="挂起",Y87="暂停"),"暂停","未开始")</f>
        <v/>
      </c>
      <c r="G409" s="125" t="n">
        <v>46342</v>
      </c>
      <c r="H409" s="125" t="n">
        <v>46353</v>
      </c>
      <c r="I409" s="127" t="n">
        <v>40</v>
      </c>
      <c r="J409" s="124">
        <f>IF(I409="","待估算",IF(F409="已完成","已结束",IF(AND(ISNUMBER(G409),ISNUMBER(H409),G409&lt;='项目驾驶舱'!$B$3,H409&gt;='项目驾驶舱'!$B$3),"进行中","计划中")))</f>
        <v/>
      </c>
      <c r="K409" s="124">
        <f>IF(J409="待估算","补充投入工时",IF(AND(H409&lt;'项目驾驶舱'!$B$3,F409&lt;&gt;"已完成"),"确认延期和后续安排","按计划跟踪"))</f>
        <v/>
      </c>
      <c r="L409" s="127" t="n"/>
    </row>
    <row r="410">
      <c r="C410" s="124" t="inlineStr">
        <is>
          <t>T085</t>
        </is>
      </c>
      <c r="D410" s="124" t="inlineStr">
        <is>
          <t>数据对接</t>
        </is>
      </c>
      <c r="E410" s="124" t="inlineStr">
        <is>
          <t>第二批次</t>
        </is>
      </c>
      <c r="F410" s="124">
        <f>IF(OR(M88="挂起",M88="暂停",Q88="挂起",Q88="暂停",U88="挂起",U88="暂停",Y88="挂起",Y88="暂停"),"暂停","未开始")</f>
        <v/>
      </c>
      <c r="G410" s="125" t="n">
        <v>46342</v>
      </c>
      <c r="H410" s="125" t="n">
        <v>46353</v>
      </c>
      <c r="I410" s="127" t="n">
        <v>40</v>
      </c>
      <c r="J410" s="124">
        <f>IF(I410="","待估算",IF(F410="已完成","已结束",IF(AND(ISNUMBER(G410),ISNUMBER(H410),G410&lt;='项目驾驶舱'!$B$3,H410&gt;='项目驾驶舱'!$B$3),"进行中","计划中")))</f>
        <v/>
      </c>
      <c r="K410" s="124">
        <f>IF(J410="待估算","补充投入工时",IF(AND(H410&lt;'项目驾驶舱'!$B$3,F410&lt;&gt;"已完成"),"确认延期和后续安排","按计划跟踪"))</f>
        <v/>
      </c>
      <c r="L410" s="127" t="n"/>
    </row>
    <row r="411">
      <c r="C411" s="124" t="inlineStr">
        <is>
          <t>T086</t>
        </is>
      </c>
      <c r="D411" s="124" t="inlineStr">
        <is>
          <t>数据展示</t>
        </is>
      </c>
      <c r="E411" s="124" t="inlineStr">
        <is>
          <t>第二批次</t>
        </is>
      </c>
      <c r="F411" s="124">
        <f>IF(OR(M89="挂起",M89="暂停",Q89="挂起",Q89="暂停",U89="挂起",U89="暂停",Y89="挂起",Y89="暂停"),"暂停","未开始")</f>
        <v/>
      </c>
      <c r="G411" s="125" t="n">
        <v>46342</v>
      </c>
      <c r="H411" s="125" t="n">
        <v>46353</v>
      </c>
      <c r="I411" s="127" t="n">
        <v>40</v>
      </c>
      <c r="J411" s="124">
        <f>IF(I411="","待估算",IF(F411="已完成","已结束",IF(AND(ISNUMBER(G411),ISNUMBER(H411),G411&lt;='项目驾驶舱'!$B$3,H411&gt;='项目驾驶舱'!$B$3),"进行中","计划中")))</f>
        <v/>
      </c>
      <c r="K411" s="124">
        <f>IF(J411="待估算","补充投入工时",IF(AND(H411&lt;'项目驾驶舱'!$B$3,F411&lt;&gt;"已完成"),"确认延期和后续安排","按计划跟踪"))</f>
        <v/>
      </c>
      <c r="L411" s="127" t="n"/>
    </row>
    <row r="412">
      <c r="C412" s="124" t="inlineStr">
        <is>
          <t>T087</t>
        </is>
      </c>
      <c r="D412" s="124" t="inlineStr">
        <is>
          <t>数据对接</t>
        </is>
      </c>
      <c r="E412" s="124" t="inlineStr">
        <is>
          <t>第二批次</t>
        </is>
      </c>
      <c r="F412" s="124">
        <f>IF(OR(M90="挂起",M90="暂停",Q90="挂起",Q90="暂停",U90="挂起",U90="暂停",Y90="挂起",Y90="暂停"),"暂停","未开始")</f>
        <v/>
      </c>
      <c r="G412" s="125" t="n">
        <v>46342</v>
      </c>
      <c r="H412" s="125" t="n">
        <v>46353</v>
      </c>
      <c r="I412" s="127" t="n">
        <v>40</v>
      </c>
      <c r="J412" s="124">
        <f>IF(I412="","待估算",IF(F412="已完成","已结束",IF(AND(ISNUMBER(G412),ISNUMBER(H412),G412&lt;='项目驾驶舱'!$B$3,H412&gt;='项目驾驶舱'!$B$3),"进行中","计划中")))</f>
        <v/>
      </c>
      <c r="K412" s="124">
        <f>IF(J412="待估算","补充投入工时",IF(AND(H412&lt;'项目驾驶舱'!$B$3,F412&lt;&gt;"已完成"),"确认延期和后续安排","按计划跟踪"))</f>
        <v/>
      </c>
      <c r="L412" s="127" t="n"/>
    </row>
    <row r="413">
      <c r="C413" s="124" t="inlineStr">
        <is>
          <t>T088</t>
        </is>
      </c>
      <c r="D413" s="124" t="inlineStr">
        <is>
          <t>数据展示</t>
        </is>
      </c>
      <c r="E413" s="124" t="inlineStr">
        <is>
          <t>第二批次</t>
        </is>
      </c>
      <c r="F413" s="124">
        <f>IF(OR(M91="挂起",M91="暂停",Q91="挂起",Q91="暂停",U91="挂起",U91="暂停",Y91="挂起",Y91="暂停"),"暂停","未开始")</f>
        <v/>
      </c>
      <c r="G413" s="125" t="n">
        <v>46342</v>
      </c>
      <c r="H413" s="125" t="n">
        <v>46353</v>
      </c>
      <c r="I413" s="127" t="n">
        <v>40</v>
      </c>
      <c r="J413" s="124">
        <f>IF(I413="","待估算",IF(F413="已完成","已结束",IF(AND(ISNUMBER(G413),ISNUMBER(H413),G413&lt;='项目驾驶舱'!$B$3,H413&gt;='项目驾驶舱'!$B$3),"进行中","计划中")))</f>
        <v/>
      </c>
      <c r="K413" s="124">
        <f>IF(J413="待估算","补充投入工时",IF(AND(H413&lt;'项目驾驶舱'!$B$3,F413&lt;&gt;"已完成"),"确认延期和后续安排","按计划跟踪"))</f>
        <v/>
      </c>
      <c r="L413" s="127" t="n"/>
    </row>
    <row r="414">
      <c r="C414" s="124" t="inlineStr">
        <is>
          <t>T089</t>
        </is>
      </c>
      <c r="D414" s="124" t="inlineStr">
        <is>
          <t>新增采样服务费（外贸）</t>
        </is>
      </c>
      <c r="E414" s="124" t="inlineStr">
        <is>
          <t>第二批次</t>
        </is>
      </c>
      <c r="F414" s="124">
        <f>IF(OR(M92="挂起",M92="暂停",Q92="挂起",Q92="暂停",U92="挂起",U92="暂停",Y92="挂起",Y92="暂停"),"暂停","未开始")</f>
        <v/>
      </c>
      <c r="G414" s="125" t="n">
        <v>46342</v>
      </c>
      <c r="H414" s="125" t="n">
        <v>46353</v>
      </c>
      <c r="I414" s="127" t="n">
        <v>40</v>
      </c>
      <c r="J414" s="124">
        <f>IF(I414="","待估算",IF(F414="已完成","已结束",IF(AND(ISNUMBER(G414),ISNUMBER(H414),G414&lt;='项目驾驶舱'!$B$3,H414&gt;='项目驾驶舱'!$B$3),"进行中","计划中")))</f>
        <v/>
      </c>
      <c r="K414" s="124">
        <f>IF(J414="待估算","补充投入工时",IF(AND(H414&lt;'项目驾驶舱'!$B$3,F414&lt;&gt;"已完成"),"确认延期和后续安排","按计划跟踪"))</f>
        <v/>
      </c>
      <c r="L414" s="127" t="n"/>
    </row>
    <row r="415">
      <c r="C415" s="124" t="inlineStr">
        <is>
          <t>T090</t>
        </is>
      </c>
      <c r="D415" s="124" t="inlineStr">
        <is>
          <t>审批采样服务费（外贸）</t>
        </is>
      </c>
      <c r="E415" s="124" t="inlineStr">
        <is>
          <t>第二批次</t>
        </is>
      </c>
      <c r="F415" s="124">
        <f>IF(OR(M93="挂起",M93="暂停",Q93="挂起",Q93="暂停",U93="挂起",U93="暂停",Y93="挂起",Y93="暂停"),"暂停","未开始")</f>
        <v/>
      </c>
      <c r="G415" s="125" t="n">
        <v>46342</v>
      </c>
      <c r="H415" s="125" t="n">
        <v>46353</v>
      </c>
      <c r="I415" s="127" t="n">
        <v>40</v>
      </c>
      <c r="J415" s="124">
        <f>IF(I415="","待估算",IF(F415="已完成","已结束",IF(AND(ISNUMBER(G415),ISNUMBER(H415),G415&lt;='项目驾驶舱'!$B$3,H415&gt;='项目驾驶舱'!$B$3),"进行中","计划中")))</f>
        <v/>
      </c>
      <c r="K415" s="124">
        <f>IF(J415="待估算","补充投入工时",IF(AND(H415&lt;'项目驾驶舱'!$B$3,F415&lt;&gt;"已完成"),"确认延期和后续安排","按计划跟踪"))</f>
        <v/>
      </c>
      <c r="L415" s="127" t="n"/>
    </row>
    <row r="416">
      <c r="A416" s="22" t="n"/>
      <c r="B416" s="22" t="n"/>
      <c r="C416" s="124" t="inlineStr">
        <is>
          <t>T091</t>
        </is>
      </c>
      <c r="D416" s="124" t="inlineStr">
        <is>
          <t>单据签章</t>
        </is>
      </c>
      <c r="E416" s="124" t="inlineStr">
        <is>
          <t>第二批次</t>
        </is>
      </c>
      <c r="F416" s="124">
        <f>IF(OR(M94="挂起",M94="暂停",Q94="挂起",Q94="暂停",U94="挂起",U94="暂停",Y94="挂起",Y94="暂停"),"暂停","未开始")</f>
        <v/>
      </c>
      <c r="G416" s="125" t="n">
        <v>46342</v>
      </c>
      <c r="H416" s="125" t="n">
        <v>46353</v>
      </c>
      <c r="I416" s="127" t="n">
        <v>40</v>
      </c>
      <c r="J416" s="124">
        <f>IF(I416="","待估算",IF(F416="已完成","已结束",IF(AND(ISNUMBER(G416),ISNUMBER(H416),G416&lt;='项目驾驶舱'!$B$3,H416&gt;='项目驾驶舱'!$B$3),"进行中","计划中")))</f>
        <v/>
      </c>
      <c r="K416" s="124">
        <f>IF(J416="待估算","补充投入工时",IF(AND(H416&lt;'项目驾驶舱'!$B$3,F416&lt;&gt;"已完成"),"确认延期和后续安排","按计划跟踪"))</f>
        <v/>
      </c>
      <c r="L416" s="127" t="n"/>
    </row>
    <row r="417">
      <c r="A417" s="133" t="inlineStr">
        <is>
          <t>袁丽荣</t>
        </is>
      </c>
      <c r="B417" s="133" t="inlineStr">
        <is>
          <t>测试</t>
        </is>
      </c>
      <c r="C417" s="124" t="inlineStr">
        <is>
          <t>T092</t>
        </is>
      </c>
      <c r="D417" s="124" t="inlineStr">
        <is>
          <t>数据推送</t>
        </is>
      </c>
      <c r="E417" s="124" t="inlineStr">
        <is>
          <t>第二批次</t>
        </is>
      </c>
      <c r="F417" s="124">
        <f>IF(OR(M95="挂起",M95="暂停",Q95="挂起",Q95="暂停",U95="挂起",U95="暂停",Y95="挂起",Y95="暂停"),"暂停","未开始")</f>
        <v/>
      </c>
      <c r="G417" s="125" t="n">
        <v>46342</v>
      </c>
      <c r="H417" s="125" t="n">
        <v>46353</v>
      </c>
      <c r="I417" s="127" t="n">
        <v>40</v>
      </c>
      <c r="J417" s="124">
        <f>IF(I417="","待估算",IF(F417="已完成","已结束",IF(AND(ISNUMBER(G417),ISNUMBER(H417),G417&lt;='项目驾驶舱'!$B$3,H417&gt;='项目驾驶舱'!$B$3),"进行中","计划中")))</f>
        <v/>
      </c>
      <c r="K417" s="124">
        <f>IF(J417="待估算","补充投入工时",IF(AND(H417&lt;'项目驾驶舱'!$B$3,F417&lt;&gt;"已完成"),"确认延期和后续安排","按计划跟踪"))</f>
        <v/>
      </c>
      <c r="L417" s="127" t="n"/>
    </row>
    <row r="418">
      <c r="C418" s="124" t="inlineStr">
        <is>
          <t>T093</t>
        </is>
      </c>
      <c r="D418" s="124" t="inlineStr">
        <is>
          <t>数据对接</t>
        </is>
      </c>
      <c r="E418" s="124" t="inlineStr">
        <is>
          <t>第二批次</t>
        </is>
      </c>
      <c r="F418" s="124">
        <f>IF(OR(M96="挂起",M96="暂停",Q96="挂起",Q96="暂停",U96="挂起",U96="暂停",Y96="挂起",Y96="暂停"),"暂停","未开始")</f>
        <v/>
      </c>
      <c r="G418" s="125" t="n">
        <v>46342</v>
      </c>
      <c r="H418" s="125" t="n">
        <v>46353</v>
      </c>
      <c r="I418" s="127" t="n">
        <v>40</v>
      </c>
      <c r="J418" s="124">
        <f>IF(I418="","待估算",IF(F418="已完成","已结束",IF(AND(ISNUMBER(G418),ISNUMBER(H418),G418&lt;='项目驾驶舱'!$B$3,H418&gt;='项目驾驶舱'!$B$3),"进行中","计划中")))</f>
        <v/>
      </c>
      <c r="K418" s="124">
        <f>IF(J418="待估算","补充投入工时",IF(AND(H418&lt;'项目驾驶舱'!$B$3,F418&lt;&gt;"已完成"),"确认延期和后续安排","按计划跟踪"))</f>
        <v/>
      </c>
      <c r="L418" s="127" t="n"/>
    </row>
    <row r="419">
      <c r="C419" s="124" t="inlineStr">
        <is>
          <t>T094</t>
        </is>
      </c>
      <c r="D419" s="124" t="inlineStr">
        <is>
          <t>数据展示</t>
        </is>
      </c>
      <c r="E419" s="124" t="inlineStr">
        <is>
          <t>第二批次</t>
        </is>
      </c>
      <c r="F419" s="124">
        <f>IF(OR(M97="挂起",M97="暂停",Q97="挂起",Q97="暂停",U97="挂起",U97="暂停",Y97="挂起",Y97="暂停"),"暂停","未开始")</f>
        <v/>
      </c>
      <c r="G419" s="125" t="n">
        <v>46342</v>
      </c>
      <c r="H419" s="125" t="n">
        <v>46353</v>
      </c>
      <c r="I419" s="127" t="n">
        <v>40</v>
      </c>
      <c r="J419" s="124">
        <f>IF(I419="","待估算",IF(F419="已完成","已结束",IF(AND(ISNUMBER(G419),ISNUMBER(H419),G419&lt;='项目驾驶舱'!$B$3,H419&gt;='项目驾驶舱'!$B$3),"进行中","计划中")))</f>
        <v/>
      </c>
      <c r="K419" s="124">
        <f>IF(J419="待估算","补充投入工时",IF(AND(H419&lt;'项目驾驶舱'!$B$3,F419&lt;&gt;"已完成"),"确认延期和后续安排","按计划跟踪"))</f>
        <v/>
      </c>
      <c r="L419" s="127" t="n"/>
    </row>
    <row r="420">
      <c r="C420" s="124" t="inlineStr">
        <is>
          <t>T126</t>
        </is>
      </c>
      <c r="D420" s="124" t="inlineStr">
        <is>
          <t>停泊费（外贸）查询</t>
        </is>
      </c>
      <c r="E420" s="124" t="inlineStr">
        <is>
          <t>第二批次</t>
        </is>
      </c>
      <c r="F420" s="124">
        <f>IF(OR(M129="挂起",M129="暂停",Q129="挂起",Q129="暂停",U129="挂起",U129="暂停",Y129="挂起",Y129="暂停"),"暂停","未开始")</f>
        <v/>
      </c>
      <c r="G420" s="125" t="n">
        <v>46342</v>
      </c>
      <c r="H420" s="125" t="n">
        <v>46353</v>
      </c>
      <c r="I420" s="127" t="n">
        <v>40</v>
      </c>
      <c r="J420" s="124">
        <f>IF(I420="","待估算",IF(F420="已完成","已结束",IF(AND(ISNUMBER(G420),ISNUMBER(H420),G420&lt;='项目驾驶舱'!$B$3,H420&gt;='项目驾驶舱'!$B$3),"进行中","计划中")))</f>
        <v/>
      </c>
      <c r="K420" s="124">
        <f>IF(J420="待估算","补充投入工时",IF(AND(H420&lt;'项目驾驶舱'!$B$3,F420&lt;&gt;"已完成"),"确认延期和后续安排","按计划跟踪"))</f>
        <v/>
      </c>
      <c r="L420" s="127" t="n"/>
    </row>
    <row r="421">
      <c r="C421" s="124" t="inlineStr">
        <is>
          <t>T127</t>
        </is>
      </c>
      <c r="D421" s="124" t="inlineStr">
        <is>
          <t>锚泊费（外贸）查询</t>
        </is>
      </c>
      <c r="E421" s="124" t="inlineStr">
        <is>
          <t>第二批次</t>
        </is>
      </c>
      <c r="F421" s="124">
        <f>IF(OR(M130="挂起",M130="暂停",Q130="挂起",Q130="暂停",U130="挂起",U130="暂停",Y130="挂起",Y130="暂停"),"暂停","未开始")</f>
        <v/>
      </c>
      <c r="G421" s="125" t="n">
        <v>46342</v>
      </c>
      <c r="H421" s="125" t="n">
        <v>46353</v>
      </c>
      <c r="I421" s="127" t="n">
        <v>40</v>
      </c>
      <c r="J421" s="124">
        <f>IF(I421="","待估算",IF(F421="已完成","已结束",IF(AND(ISNUMBER(G421),ISNUMBER(H421),G421&lt;='项目驾驶舱'!$B$3,H421&gt;='项目驾驶舱'!$B$3),"进行中","计划中")))</f>
        <v/>
      </c>
      <c r="K421" s="124">
        <f>IF(J421="待估算","补充投入工时",IF(AND(H421&lt;'项目驾驶舱'!$B$3,F421&lt;&gt;"已完成"),"确认延期和后续安排","按计划跟踪"))</f>
        <v/>
      </c>
      <c r="L421" s="127" t="n"/>
    </row>
    <row r="422">
      <c r="C422" s="124" t="inlineStr">
        <is>
          <t>T128</t>
        </is>
      </c>
      <c r="D422" s="124" t="inlineStr">
        <is>
          <t>堆存费（外贸）查询</t>
        </is>
      </c>
      <c r="E422" s="124" t="inlineStr">
        <is>
          <t>第二批次</t>
        </is>
      </c>
      <c r="F422" s="124">
        <f>IF(OR(M131="挂起",M131="暂停",Q131="挂起",Q131="暂停",U131="挂起",U131="暂停",Y131="挂起",Y131="暂停"),"暂停","未开始")</f>
        <v/>
      </c>
      <c r="G422" s="125" t="n">
        <v>46342</v>
      </c>
      <c r="H422" s="125" t="n">
        <v>46353</v>
      </c>
      <c r="I422" s="127" t="n">
        <v>40</v>
      </c>
      <c r="J422" s="124">
        <f>IF(I422="","待估算",IF(F422="已完成","已结束",IF(AND(ISNUMBER(G422),ISNUMBER(H422),G422&lt;='项目驾驶舱'!$B$3,H422&gt;='项目驾驶舱'!$B$3),"进行中","计划中")))</f>
        <v/>
      </c>
      <c r="K422" s="124">
        <f>IF(J422="待估算","补充投入工时",IF(AND(H422&lt;'项目驾驶舱'!$B$3,F422&lt;&gt;"已完成"),"确认延期和后续安排","按计划跟踪"))</f>
        <v/>
      </c>
      <c r="L422" s="127" t="n"/>
    </row>
    <row r="423">
      <c r="C423" s="124" t="inlineStr">
        <is>
          <t>T129</t>
        </is>
      </c>
      <c r="D423" s="124" t="inlineStr">
        <is>
          <t>卸船费（外贸）查询</t>
        </is>
      </c>
      <c r="E423" s="124" t="inlineStr">
        <is>
          <t>第二批次</t>
        </is>
      </c>
      <c r="F423" s="124">
        <f>IF(OR(M132="挂起",M132="暂停",Q132="挂起",Q132="暂停",U132="挂起",U132="暂停",Y132="挂起",Y132="暂停"),"暂停","未开始")</f>
        <v/>
      </c>
      <c r="G423" s="125" t="n">
        <v>46342</v>
      </c>
      <c r="H423" s="125" t="n">
        <v>46353</v>
      </c>
      <c r="I423" s="127" t="n">
        <v>40</v>
      </c>
      <c r="J423" s="124">
        <f>IF(I423="","待估算",IF(F423="已完成","已结束",IF(AND(ISNUMBER(G423),ISNUMBER(H423),G423&lt;='项目驾驶舱'!$B$3,H423&gt;='项目驾驶舱'!$B$3),"进行中","计划中")))</f>
        <v/>
      </c>
      <c r="K423" s="124">
        <f>IF(J423="待估算","补充投入工时",IF(AND(H423&lt;'项目驾驶舱'!$B$3,F423&lt;&gt;"已完成"),"确认延期和后续安排","按计划跟踪"))</f>
        <v/>
      </c>
      <c r="L423" s="127" t="n"/>
    </row>
    <row r="424">
      <c r="C424" s="124" t="inlineStr">
        <is>
          <t>T130</t>
        </is>
      </c>
      <c r="D424" s="124" t="inlineStr">
        <is>
          <t>采样服务费（外贸）查询</t>
        </is>
      </c>
      <c r="E424" s="124" t="inlineStr">
        <is>
          <t>第二批次</t>
        </is>
      </c>
      <c r="F424" s="124">
        <f>IF(OR(M133="挂起",M133="暂停",Q133="挂起",Q133="暂停",U133="挂起",U133="暂停",Y133="挂起",Y133="暂停"),"暂停","未开始")</f>
        <v/>
      </c>
      <c r="G424" s="125" t="n">
        <v>46342</v>
      </c>
      <c r="H424" s="125" t="n">
        <v>46353</v>
      </c>
      <c r="I424" s="127" t="n">
        <v>40</v>
      </c>
      <c r="J424" s="124">
        <f>IF(I424="","待估算",IF(F424="已完成","已结束",IF(AND(ISNUMBER(G424),ISNUMBER(H424),G424&lt;='项目驾驶舱'!$B$3,H424&gt;='项目驾驶舱'!$B$3),"进行中","计划中")))</f>
        <v/>
      </c>
      <c r="K424" s="124">
        <f>IF(J424="待估算","补充投入工时",IF(AND(H424&lt;'项目驾驶舱'!$B$3,F424&lt;&gt;"已完成"),"确认延期和后续安排","按计划跟踪"))</f>
        <v/>
      </c>
      <c r="L424" s="127" t="n"/>
    </row>
    <row r="425">
      <c r="C425" s="124" t="inlineStr">
        <is>
          <t>T131</t>
        </is>
      </c>
      <c r="D425" s="124" t="inlineStr">
        <is>
          <t>船舶供应服务费（外贸）查询</t>
        </is>
      </c>
      <c r="E425" s="124" t="inlineStr">
        <is>
          <t>第二批次</t>
        </is>
      </c>
      <c r="F425" s="124">
        <f>IF(OR(M134="挂起",M134="暂停",Q134="挂起",Q134="暂停",U134="挂起",U134="暂停",Y134="挂起",Y134="暂停"),"暂停","未开始")</f>
        <v/>
      </c>
      <c r="G425" s="125" t="n">
        <v>46342</v>
      </c>
      <c r="H425" s="125" t="n">
        <v>46353</v>
      </c>
      <c r="I425" s="127" t="n">
        <v>40</v>
      </c>
      <c r="J425" s="124">
        <f>IF(I425="","待估算",IF(F425="已完成","已结束",IF(AND(ISNUMBER(G425),ISNUMBER(H425),G425&lt;='项目驾驶舱'!$B$3,H425&gt;='项目驾驶舱'!$B$3),"进行中","计划中")))</f>
        <v/>
      </c>
      <c r="K425" s="124">
        <f>IF(J425="待估算","补充投入工时",IF(AND(H425&lt;'项目驾驶舱'!$B$3,F425&lt;&gt;"已完成"),"确认延期和后续安排","按计划跟踪"))</f>
        <v/>
      </c>
      <c r="L425" s="127" t="n"/>
    </row>
    <row r="426">
      <c r="C426" s="124" t="inlineStr">
        <is>
          <t>T132</t>
        </is>
      </c>
      <c r="D426" s="124" t="inlineStr">
        <is>
          <t>新增船舶靠泊通知单</t>
        </is>
      </c>
      <c r="E426" s="124" t="inlineStr">
        <is>
          <t>第二批次</t>
        </is>
      </c>
      <c r="F426" s="124">
        <f>IF(OR(M135="挂起",M135="暂停",Q135="挂起",Q135="暂停",U135="挂起",U135="暂停",Y135="挂起",Y135="暂停"),"暂停","未开始")</f>
        <v/>
      </c>
      <c r="G426" s="125" t="n">
        <v>46342</v>
      </c>
      <c r="H426" s="125" t="n">
        <v>46353</v>
      </c>
      <c r="I426" s="127" t="n">
        <v>40</v>
      </c>
      <c r="J426" s="124">
        <f>IF(I426="","待估算",IF(F426="已完成","已结束",IF(AND(ISNUMBER(G426),ISNUMBER(H426),G426&lt;='项目驾驶舱'!$B$3,H426&gt;='项目驾驶舱'!$B$3),"进行中","计划中")))</f>
        <v/>
      </c>
      <c r="K426" s="124">
        <f>IF(J426="待估算","补充投入工时",IF(AND(H426&lt;'项目驾驶舱'!$B$3,F426&lt;&gt;"已完成"),"确认延期和后续安排","按计划跟踪"))</f>
        <v/>
      </c>
      <c r="L426" s="127" t="n"/>
    </row>
    <row r="427">
      <c r="C427" s="124" t="inlineStr">
        <is>
          <t>T133</t>
        </is>
      </c>
      <c r="D427" s="124" t="inlineStr">
        <is>
          <t>查询船舶靠泊通知单</t>
        </is>
      </c>
      <c r="E427" s="124" t="inlineStr">
        <is>
          <t>第二批次</t>
        </is>
      </c>
      <c r="F427" s="124">
        <f>IF(OR(M136="挂起",M136="暂停",Q136="挂起",Q136="暂停",U136="挂起",U136="暂停",Y136="挂起",Y136="暂停"),"暂停","未开始")</f>
        <v/>
      </c>
      <c r="G427" s="125" t="n">
        <v>46342</v>
      </c>
      <c r="H427" s="125" t="n">
        <v>46353</v>
      </c>
      <c r="I427" s="127" t="n">
        <v>40</v>
      </c>
      <c r="J427" s="124">
        <f>IF(I427="","待估算",IF(F427="已完成","已结束",IF(AND(ISNUMBER(G427),ISNUMBER(H427),G427&lt;='项目驾驶舱'!$B$3,H427&gt;='项目驾驶舱'!$B$3),"进行中","计划中")))</f>
        <v/>
      </c>
      <c r="K427" s="124">
        <f>IF(J427="待估算","补充投入工时",IF(AND(H427&lt;'项目驾驶舱'!$B$3,F427&lt;&gt;"已完成"),"确认延期和后续安排","按计划跟踪"))</f>
        <v/>
      </c>
      <c r="L427" s="127" t="n"/>
    </row>
    <row r="428">
      <c r="A428" s="22" t="n"/>
      <c r="B428" s="22" t="n"/>
      <c r="C428" s="124" t="inlineStr">
        <is>
          <t>T134</t>
        </is>
      </c>
      <c r="D428" s="124" t="inlineStr">
        <is>
          <t>卸船计划查询</t>
        </is>
      </c>
      <c r="E428" s="124" t="inlineStr">
        <is>
          <t>第二批次</t>
        </is>
      </c>
      <c r="F428" s="124">
        <f>IF(OR(M137="挂起",M137="暂停",Q137="挂起",Q137="暂停",U137="挂起",U137="暂停",Y137="挂起",Y137="暂停"),"暂停","未开始")</f>
        <v/>
      </c>
      <c r="G428" s="125" t="n">
        <v>46342</v>
      </c>
      <c r="H428" s="125" t="n">
        <v>46353</v>
      </c>
      <c r="I428" s="127" t="n">
        <v>40</v>
      </c>
      <c r="J428" s="124">
        <f>IF(I428="","待估算",IF(F428="已完成","已结束",IF(AND(ISNUMBER(G428),ISNUMBER(H428),G428&lt;='项目驾驶舱'!$B$3,H428&gt;='项目驾驶舱'!$B$3),"进行中","计划中")))</f>
        <v/>
      </c>
      <c r="K428" s="124">
        <f>IF(J428="待估算","补充投入工时",IF(AND(H428&lt;'项目驾驶舱'!$B$3,F428&lt;&gt;"已完成"),"确认延期和后续安排","按计划跟踪"))</f>
        <v/>
      </c>
      <c r="L428" s="127" t="n"/>
    </row>
    <row r="429">
      <c r="A429" s="133" t="inlineStr">
        <is>
          <t>袁丽荣</t>
        </is>
      </c>
      <c r="B429" s="133" t="inlineStr">
        <is>
          <t>测试</t>
        </is>
      </c>
      <c r="C429" s="124" t="inlineStr">
        <is>
          <t>T135</t>
        </is>
      </c>
      <c r="D429" s="124" t="inlineStr">
        <is>
          <t>卸船查询</t>
        </is>
      </c>
      <c r="E429" s="124" t="inlineStr">
        <is>
          <t>第二批次</t>
        </is>
      </c>
      <c r="F429" s="124">
        <f>IF(OR(M138="挂起",M138="暂停",Q138="挂起",Q138="暂停",U138="挂起",U138="暂停",Y138="挂起",Y138="暂停"),"暂停","未开始")</f>
        <v/>
      </c>
      <c r="G429" s="125" t="n">
        <v>46342</v>
      </c>
      <c r="H429" s="125" t="n">
        <v>46353</v>
      </c>
      <c r="I429" s="127" t="n">
        <v>40</v>
      </c>
      <c r="J429" s="124">
        <f>IF(I429="","待估算",IF(F429="已完成","已结束",IF(AND(ISNUMBER(G429),ISNUMBER(H429),G429&lt;='项目驾驶舱'!$B$3,H429&gt;='项目驾驶舱'!$B$3),"进行中","计划中")))</f>
        <v/>
      </c>
      <c r="K429" s="124">
        <f>IF(J429="待估算","补充投入工时",IF(AND(H429&lt;'项目驾驶舱'!$B$3,F429&lt;&gt;"已完成"),"确认延期和后续安排","按计划跟踪"))</f>
        <v/>
      </c>
      <c r="L429" s="127" t="n"/>
    </row>
    <row r="430">
      <c r="C430" s="124" t="inlineStr">
        <is>
          <t>T136</t>
        </is>
      </c>
      <c r="D430" s="124" t="inlineStr">
        <is>
          <t>卸船作业委托</t>
        </is>
      </c>
      <c r="E430" s="124" t="inlineStr">
        <is>
          <t>第二批次</t>
        </is>
      </c>
      <c r="F430" s="124">
        <f>IF(OR(M139="挂起",M139="暂停",Q139="挂起",Q139="暂停",U139="挂起",U139="暂停",Y139="挂起",Y139="暂停"),"暂停","未开始")</f>
        <v/>
      </c>
      <c r="G430" s="125" t="n">
        <v>46342</v>
      </c>
      <c r="H430" s="125" t="n">
        <v>46353</v>
      </c>
      <c r="I430" s="127" t="n">
        <v>40</v>
      </c>
      <c r="J430" s="124">
        <f>IF(I430="","待估算",IF(F430="已完成","已结束",IF(AND(ISNUMBER(G430),ISNUMBER(H430),G430&lt;='项目驾驶舱'!$B$3,H430&gt;='项目驾驶舱'!$B$3),"进行中","计划中")))</f>
        <v/>
      </c>
      <c r="K430" s="124">
        <f>IF(J430="待估算","补充投入工时",IF(AND(H430&lt;'项目驾驶舱'!$B$3,F430&lt;&gt;"已完成"),"确认延期和后续安排","按计划跟踪"))</f>
        <v/>
      </c>
      <c r="L430" s="127" t="n"/>
    </row>
    <row r="431">
      <c r="C431" s="124" t="inlineStr">
        <is>
          <t>T137</t>
        </is>
      </c>
      <c r="D431" s="124" t="inlineStr">
        <is>
          <t>外轮转内贸业务查询</t>
        </is>
      </c>
      <c r="E431" s="124" t="inlineStr">
        <is>
          <t>第二批次</t>
        </is>
      </c>
      <c r="F431" s="124">
        <f>IF(OR(M140="挂起",M140="暂停",Q140="挂起",Q140="暂停",U140="挂起",U140="暂停",Y140="挂起",Y140="暂停"),"暂停","未开始")</f>
        <v/>
      </c>
      <c r="G431" s="125" t="n">
        <v>46342</v>
      </c>
      <c r="H431" s="125" t="n">
        <v>46353</v>
      </c>
      <c r="I431" s="127" t="n">
        <v>40</v>
      </c>
      <c r="J431" s="124">
        <f>IF(I431="","待估算",IF(F431="已完成","已结束",IF(AND(ISNUMBER(G431),ISNUMBER(H431),G431&lt;='项目驾驶舱'!$B$3,H431&gt;='项目驾驶舱'!$B$3),"进行中","计划中")))</f>
        <v/>
      </c>
      <c r="K431" s="124">
        <f>IF(J431="待估算","补充投入工时",IF(AND(H431&lt;'项目驾驶舱'!$B$3,F431&lt;&gt;"已完成"),"确认延期和后续安排","按计划跟踪"))</f>
        <v/>
      </c>
      <c r="L431" s="127" t="n"/>
    </row>
    <row r="432">
      <c r="C432" s="124" t="inlineStr">
        <is>
          <t>T138</t>
        </is>
      </c>
      <c r="D432" s="124" t="inlineStr">
        <is>
          <t>查询卸车流程</t>
        </is>
      </c>
      <c r="E432" s="124" t="inlineStr">
        <is>
          <t>第二批次</t>
        </is>
      </c>
      <c r="F432" s="124">
        <f>IF(OR(M141="挂起",M141="暂停",Q141="挂起",Q141="暂停",U141="挂起",U141="暂停",Y141="挂起",Y141="暂停"),"暂停","已完成")</f>
        <v/>
      </c>
      <c r="G432" s="125" t="n">
        <v>46342</v>
      </c>
      <c r="H432" s="125" t="n">
        <v>46353</v>
      </c>
      <c r="I432" s="127" t="n">
        <v>40</v>
      </c>
      <c r="J432" s="124">
        <f>IF(I432="","待估算",IF(F432="已完成","已结束",IF(AND(ISNUMBER(G432),ISNUMBER(H432),G432&lt;='项目驾驶舱'!$B$3,H432&gt;='项目驾驶舱'!$B$3),"进行中","计划中")))</f>
        <v/>
      </c>
      <c r="K432" s="124">
        <f>IF(J432="待估算","补充投入工时",IF(AND(H432&lt;'项目驾驶舱'!$B$3,F432&lt;&gt;"已完成"),"确认延期和后续安排","按计划跟踪"))</f>
        <v/>
      </c>
      <c r="L432" s="127" t="n"/>
    </row>
    <row r="433">
      <c r="C433" s="124" t="inlineStr">
        <is>
          <t>T139</t>
        </is>
      </c>
      <c r="D433" s="124" t="inlineStr">
        <is>
          <t>查询装船流程</t>
        </is>
      </c>
      <c r="E433" s="124" t="inlineStr">
        <is>
          <t>第二批次</t>
        </is>
      </c>
      <c r="F433" s="124">
        <f>IF(OR(M142="挂起",M142="暂停",Q142="挂起",Q142="暂停",U142="挂起",U142="暂停",Y142="挂起",Y142="暂停"),"暂停","已完成")</f>
        <v/>
      </c>
      <c r="G433" s="125" t="n">
        <v>46342</v>
      </c>
      <c r="H433" s="125" t="n">
        <v>46353</v>
      </c>
      <c r="I433" s="127" t="n">
        <v>40</v>
      </c>
      <c r="J433" s="124">
        <f>IF(I433="","待估算",IF(F433="已完成","已结束",IF(AND(ISNUMBER(G433),ISNUMBER(H433),G433&lt;='项目驾驶舱'!$B$3,H433&gt;='项目驾驶舱'!$B$3),"进行中","计划中")))</f>
        <v/>
      </c>
      <c r="K433" s="124">
        <f>IF(J433="待估算","补充投入工时",IF(AND(H433&lt;'项目驾驶舱'!$B$3,F433&lt;&gt;"已完成"),"确认延期和后续安排","按计划跟踪"))</f>
        <v/>
      </c>
      <c r="L433" s="127" t="n"/>
    </row>
    <row r="434">
      <c r="C434" s="124" t="inlineStr">
        <is>
          <t>T140</t>
        </is>
      </c>
      <c r="D434" s="124" t="inlineStr">
        <is>
          <t>查询卸船流程</t>
        </is>
      </c>
      <c r="E434" s="124" t="inlineStr">
        <is>
          <t>第二批次</t>
        </is>
      </c>
      <c r="F434" s="124">
        <f>IF(OR(M143="挂起",M143="暂停",Q143="挂起",Q143="暂停",U143="挂起",U143="暂停",Y143="挂起",Y143="暂停"),"暂停","已完成")</f>
        <v/>
      </c>
      <c r="G434" s="125" t="n">
        <v>46342</v>
      </c>
      <c r="H434" s="125" t="n">
        <v>46353</v>
      </c>
      <c r="I434" s="127" t="n">
        <v>40</v>
      </c>
      <c r="J434" s="124">
        <f>IF(I434="","待估算",IF(F434="已完成","已结束",IF(AND(ISNUMBER(G434),ISNUMBER(H434),G434&lt;='项目驾驶舱'!$B$3,H434&gt;='项目驾驶舱'!$B$3),"进行中","计划中")))</f>
        <v/>
      </c>
      <c r="K434" s="124">
        <f>IF(J434="待估算","补充投入工时",IF(AND(H434&lt;'项目驾驶舱'!$B$3,F434&lt;&gt;"已完成"),"确认延期和后续安排","按计划跟踪"))</f>
        <v/>
      </c>
      <c r="L434" s="127" t="n"/>
    </row>
    <row r="435">
      <c r="A435" s="22" t="n"/>
      <c r="B435" s="22" t="n"/>
      <c r="C435" s="124" t="inlineStr">
        <is>
          <t>T142</t>
        </is>
      </c>
      <c r="D435" s="124" t="inlineStr">
        <is>
          <t>审批船舶靠泊通知单</t>
        </is>
      </c>
      <c r="E435" s="124" t="inlineStr">
        <is>
          <t>第二批次</t>
        </is>
      </c>
      <c r="F435" s="124">
        <f>IF(OR(M145="挂起",M145="暂停",Q145="挂起",Q145="暂停",U145="挂起",U145="暂停",Y145="挂起",Y145="暂停"),"暂停","未开始")</f>
        <v/>
      </c>
      <c r="G435" s="125" t="n">
        <v>46342</v>
      </c>
      <c r="H435" s="125" t="n">
        <v>46353</v>
      </c>
      <c r="I435" s="127" t="n">
        <v>40</v>
      </c>
      <c r="J435" s="124">
        <f>IF(I435="","待估算",IF(F435="已完成","已结束",IF(AND(ISNUMBER(G435),ISNUMBER(H435),G435&lt;='项目驾驶舱'!$B$3,H435&gt;='项目驾驶舱'!$B$3),"进行中","计划中")))</f>
        <v/>
      </c>
      <c r="K435" s="124">
        <f>IF(J435="待估算","补充投入工时",IF(AND(H435&lt;'项目驾驶舱'!$B$3,F435&lt;&gt;"已完成"),"确认延期和后续安排","按计划跟踪"))</f>
        <v/>
      </c>
      <c r="L435" s="127" t="n"/>
    </row>
    <row r="436">
      <c r="A436" s="129" t="inlineStr">
        <is>
          <t>贺航</t>
        </is>
      </c>
      <c r="B436" s="129" t="inlineStr">
        <is>
          <t>前端</t>
        </is>
      </c>
      <c r="C436" s="130" t="inlineStr">
        <is>
          <t>T058</t>
        </is>
      </c>
      <c r="D436" s="130" t="inlineStr">
        <is>
          <t>OCR识别及编辑</t>
        </is>
      </c>
      <c r="E436" s="130" t="inlineStr">
        <is>
          <t>第一批次</t>
        </is>
      </c>
      <c r="F436" s="130">
        <f>IF(OR(M61="挂起",M61="暂停",Q61="挂起",Q61="暂停",U61="挂起",U61="暂停",Y61="挂起",Y61="暂停"),"暂停","已完成")</f>
        <v/>
      </c>
      <c r="G436" s="131" t="n">
        <v>46195</v>
      </c>
      <c r="H436" s="131" t="n">
        <v>46206</v>
      </c>
      <c r="I436" s="132" t="n">
        <v>40</v>
      </c>
      <c r="J436" s="130">
        <f>IF(I436="","待估算",IF(F436="已完成","已结束",IF(AND(ISNUMBER(G436),ISNUMBER(H436),G436&lt;='项目驾驶舱'!$B$3,H436&gt;='项目驾驶舱'!$B$3),"进行中","计划中")))</f>
        <v/>
      </c>
      <c r="K436" s="130">
        <f>IF(J436="待估算","补充投入工时",IF(AND(H436&lt;'项目驾驶舱'!$B$3,F436&lt;&gt;"已完成"),"确认延期和后续安排","按计划跟踪"))</f>
        <v/>
      </c>
      <c r="L436" s="132" t="n"/>
    </row>
    <row r="437">
      <c r="C437" s="124" t="inlineStr">
        <is>
          <t>T070</t>
        </is>
      </c>
      <c r="D437" s="124" t="inlineStr">
        <is>
          <t>生成报告</t>
        </is>
      </c>
      <c r="E437" s="124" t="inlineStr">
        <is>
          <t>第一批次</t>
        </is>
      </c>
      <c r="F437" s="124">
        <f>IF(OR(M73="挂起",M73="暂停",Q73="挂起",Q73="暂停",U73="挂起",U73="暂停",Y73="挂起",Y73="暂停"),"暂停","已完成")</f>
        <v/>
      </c>
      <c r="G437" s="125" t="n">
        <v>46195</v>
      </c>
      <c r="H437" s="125" t="n">
        <v>46206</v>
      </c>
      <c r="I437" s="127" t="n">
        <v>40</v>
      </c>
      <c r="J437" s="124">
        <f>IF(I437="","待估算",IF(F437="已完成","已结束",IF(AND(ISNUMBER(G437),ISNUMBER(H437),G437&lt;='项目驾驶舱'!$B$3,H437&gt;='项目驾驶舱'!$B$3),"进行中","计划中")))</f>
        <v/>
      </c>
      <c r="K437" s="124">
        <f>IF(J437="待估算","补充投入工时",IF(AND(H437&lt;'项目驾驶舱'!$B$3,F437&lt;&gt;"已完成"),"确认延期和后续安排","按计划跟踪"))</f>
        <v/>
      </c>
      <c r="L437" s="127" t="n"/>
    </row>
    <row r="438">
      <c r="C438" s="124" t="inlineStr">
        <is>
          <t>T071</t>
        </is>
      </c>
      <c r="D438" s="124" t="inlineStr">
        <is>
          <t>装船作业信息录入优化（太仓）</t>
        </is>
      </c>
      <c r="E438" s="124" t="inlineStr">
        <is>
          <t>第一批次</t>
        </is>
      </c>
      <c r="F438" s="124">
        <f>IF(OR(M74="挂起",M74="暂停",Q74="挂起",Q74="暂停",U74="挂起",U74="暂停",Y74="挂起",Y74="暂停"),"暂停","已完成")</f>
        <v/>
      </c>
      <c r="G438" s="125" t="n">
        <v>46195</v>
      </c>
      <c r="H438" s="125" t="n">
        <v>46206</v>
      </c>
      <c r="I438" s="127" t="n">
        <v>40</v>
      </c>
      <c r="J438" s="124">
        <f>IF(I438="","待估算",IF(F438="已完成","已结束",IF(AND(ISNUMBER(G438),ISNUMBER(H438),G438&lt;='项目驾驶舱'!$B$3,H438&gt;='项目驾驶舱'!$B$3),"进行中","计划中")))</f>
        <v/>
      </c>
      <c r="K438" s="124">
        <f>IF(J438="待估算","补充投入工时",IF(AND(H438&lt;'项目驾驶舱'!$B$3,F438&lt;&gt;"已完成"),"确认延期和后续安排","按计划跟踪"))</f>
        <v/>
      </c>
      <c r="L438" s="127" t="n"/>
    </row>
    <row r="439">
      <c r="C439" s="124" t="inlineStr">
        <is>
          <t>T001</t>
        </is>
      </c>
      <c r="D439" s="124" t="inlineStr">
        <is>
          <t>新增车辆信息</t>
        </is>
      </c>
      <c r="E439" s="124" t="inlineStr">
        <is>
          <t>第一批次</t>
        </is>
      </c>
      <c r="F439" s="124">
        <f>IF(OR(M4="挂起",M4="暂停",Q4="挂起",Q4="暂停",U4="挂起",U4="暂停",Y4="挂起",Y4="暂停"),"暂停","已完成")</f>
        <v/>
      </c>
      <c r="G439" s="125" t="n">
        <v>46209</v>
      </c>
      <c r="H439" s="125" t="n">
        <v>46225</v>
      </c>
      <c r="I439" s="127" t="n">
        <v>40</v>
      </c>
      <c r="J439" s="124">
        <f>IF(I439="","待估算",IF(F439="已完成","已结束",IF(AND(ISNUMBER(G439),ISNUMBER(H439),G439&lt;='项目驾驶舱'!$B$3,H439&gt;='项目驾驶舱'!$B$3),"进行中","计划中")))</f>
        <v/>
      </c>
      <c r="K439" s="124">
        <f>IF(J439="待估算","补充投入工时",IF(AND(H439&lt;'项目驾驶舱'!$B$3,F439&lt;&gt;"已完成"),"确认延期和后续安排","按计划跟踪"))</f>
        <v/>
      </c>
      <c r="L439" s="127" t="n"/>
    </row>
    <row r="440">
      <c r="C440" s="124" t="inlineStr">
        <is>
          <t>T002</t>
        </is>
      </c>
      <c r="D440" s="124" t="inlineStr">
        <is>
          <t>修改车辆信息</t>
        </is>
      </c>
      <c r="E440" s="124" t="inlineStr">
        <is>
          <t>第一批次</t>
        </is>
      </c>
      <c r="F440" s="124">
        <f>IF(OR(M5="挂起",M5="暂停",Q5="挂起",Q5="暂停",U5="挂起",U5="暂停",Y5="挂起",Y5="暂停"),"暂停","已完成")</f>
        <v/>
      </c>
      <c r="G440" s="125" t="n">
        <v>46209</v>
      </c>
      <c r="H440" s="125" t="n">
        <v>46225</v>
      </c>
      <c r="I440" s="127" t="n">
        <v>40</v>
      </c>
      <c r="J440" s="124">
        <f>IF(I440="","待估算",IF(F440="已完成","已结束",IF(AND(ISNUMBER(G440),ISNUMBER(H440),G440&lt;='项目驾驶舱'!$B$3,H440&gt;='项目驾驶舱'!$B$3),"进行中","计划中")))</f>
        <v/>
      </c>
      <c r="K440" s="124">
        <f>IF(J440="待估算","补充投入工时",IF(AND(H440&lt;'项目驾驶舱'!$B$3,F440&lt;&gt;"已完成"),"确认延期和后续安排","按计划跟踪"))</f>
        <v/>
      </c>
      <c r="L440" s="127" t="n"/>
    </row>
    <row r="441">
      <c r="C441" s="124" t="inlineStr">
        <is>
          <t>T003</t>
        </is>
      </c>
      <c r="D441" s="124" t="inlineStr">
        <is>
          <t>删除车辆信息</t>
        </is>
      </c>
      <c r="E441" s="124" t="inlineStr">
        <is>
          <t>第一批次</t>
        </is>
      </c>
      <c r="F441" s="124">
        <f>IF(OR(M6="挂起",M6="暂停",Q6="挂起",Q6="暂停",U6="挂起",U6="暂停",Y6="挂起",Y6="暂停"),"暂停","已完成")</f>
        <v/>
      </c>
      <c r="G441" s="125" t="n">
        <v>46209</v>
      </c>
      <c r="H441" s="125" t="n">
        <v>46225</v>
      </c>
      <c r="I441" s="127" t="n">
        <v>40</v>
      </c>
      <c r="J441" s="124">
        <f>IF(I441="","待估算",IF(F441="已完成","已结束",IF(AND(ISNUMBER(G441),ISNUMBER(H441),G441&lt;='项目驾驶舱'!$B$3,H441&gt;='项目驾驶舱'!$B$3),"进行中","计划中")))</f>
        <v/>
      </c>
      <c r="K441" s="124">
        <f>IF(J441="待估算","补充投入工时",IF(AND(H441&lt;'项目驾驶舱'!$B$3,F441&lt;&gt;"已完成"),"确认延期和后续安排","按计划跟踪"))</f>
        <v/>
      </c>
      <c r="L441" s="127" t="n"/>
    </row>
    <row r="442">
      <c r="C442" s="124" t="inlineStr">
        <is>
          <t>T004</t>
        </is>
      </c>
      <c r="D442" s="124" t="inlineStr">
        <is>
          <t>查询展示车辆信息</t>
        </is>
      </c>
      <c r="E442" s="124" t="inlineStr">
        <is>
          <t>第一批次</t>
        </is>
      </c>
      <c r="F442" s="124">
        <f>IF(OR(M7="挂起",M7="暂停",Q7="挂起",Q7="暂停",U7="挂起",U7="暂停",Y7="挂起",Y7="暂停"),"暂停","已完成")</f>
        <v/>
      </c>
      <c r="G442" s="125" t="n">
        <v>46209</v>
      </c>
      <c r="H442" s="125" t="n">
        <v>46225</v>
      </c>
      <c r="I442" s="127" t="n">
        <v>40</v>
      </c>
      <c r="J442" s="124">
        <f>IF(I442="","待估算",IF(F442="已完成","已结束",IF(AND(ISNUMBER(G442),ISNUMBER(H442),G442&lt;='项目驾驶舱'!$B$3,H442&gt;='项目驾驶舱'!$B$3),"进行中","计划中")))</f>
        <v/>
      </c>
      <c r="K442" s="124">
        <f>IF(J442="待估算","补充投入工时",IF(AND(H442&lt;'项目驾驶舱'!$B$3,F442&lt;&gt;"已完成"),"确认延期和后续安排","按计划跟踪"))</f>
        <v/>
      </c>
      <c r="L442" s="127" t="n"/>
    </row>
    <row r="443">
      <c r="C443" s="124" t="inlineStr">
        <is>
          <t>T006</t>
        </is>
      </c>
      <c r="D443" s="124" t="inlineStr">
        <is>
          <t>优化收费标准（装卸费）新增</t>
        </is>
      </c>
      <c r="E443" s="124" t="inlineStr">
        <is>
          <t>第一批次</t>
        </is>
      </c>
      <c r="F443" s="124">
        <f>IF(OR(M9="挂起",M9="暂停",Q9="挂起",Q9="暂停",U9="挂起",U9="暂停",Y9="挂起",Y9="暂停"),"暂停","已完成")</f>
        <v/>
      </c>
      <c r="G443" s="125" t="n">
        <v>46209</v>
      </c>
      <c r="H443" s="125" t="n">
        <v>46227</v>
      </c>
      <c r="I443" s="127" t="n">
        <v>40</v>
      </c>
      <c r="J443" s="124">
        <f>IF(I443="","待估算",IF(F443="已完成","已结束",IF(AND(ISNUMBER(G443),ISNUMBER(H443),G443&lt;='项目驾驶舱'!$B$3,H443&gt;='项目驾驶舱'!$B$3),"进行中","计划中")))</f>
        <v/>
      </c>
      <c r="K443" s="124">
        <f>IF(J443="待估算","补充投入工时",IF(AND(H443&lt;'项目驾驶舱'!$B$3,F443&lt;&gt;"已完成"),"确认延期和后续安排","按计划跟踪"))</f>
        <v/>
      </c>
      <c r="L443" s="127" t="n"/>
    </row>
    <row r="444">
      <c r="C444" s="124" t="inlineStr">
        <is>
          <t>T007</t>
        </is>
      </c>
      <c r="D444" s="124" t="inlineStr">
        <is>
          <t>优化收费标准（装卸费）编辑</t>
        </is>
      </c>
      <c r="E444" s="124" t="inlineStr">
        <is>
          <t>第一批次</t>
        </is>
      </c>
      <c r="F444" s="124">
        <f>IF(OR(M10="挂起",M10="暂停",Q10="挂起",Q10="暂停",U10="挂起",U10="暂停",Y10="挂起",Y10="暂停"),"暂停","已完成")</f>
        <v/>
      </c>
      <c r="G444" s="125" t="n">
        <v>46209</v>
      </c>
      <c r="H444" s="125" t="n">
        <v>46227</v>
      </c>
      <c r="I444" s="127" t="n">
        <v>40</v>
      </c>
      <c r="J444" s="124">
        <f>IF(I444="","待估算",IF(F444="已完成","已结束",IF(AND(ISNUMBER(G444),ISNUMBER(H444),G444&lt;='项目驾驶舱'!$B$3,H444&gt;='项目驾驶舱'!$B$3),"进行中","计划中")))</f>
        <v/>
      </c>
      <c r="K444" s="124">
        <f>IF(J444="待估算","补充投入工时",IF(AND(H444&lt;'项目驾驶舱'!$B$3,F444&lt;&gt;"已完成"),"确认延期和后续安排","按计划跟踪"))</f>
        <v/>
      </c>
      <c r="L444" s="127" t="n"/>
    </row>
    <row r="445">
      <c r="C445" s="124" t="inlineStr">
        <is>
          <t>T008</t>
        </is>
      </c>
      <c r="D445" s="124" t="inlineStr">
        <is>
          <t>优化收费标准（装卸费）详情</t>
        </is>
      </c>
      <c r="E445" s="124" t="inlineStr">
        <is>
          <t>第一批次</t>
        </is>
      </c>
      <c r="F445" s="124">
        <f>IF(OR(M11="挂起",M11="暂停",Q11="挂起",Q11="暂停",U11="挂起",U11="暂停",Y11="挂起",Y11="暂停"),"暂停","已完成")</f>
        <v/>
      </c>
      <c r="G445" s="125" t="n">
        <v>46209</v>
      </c>
      <c r="H445" s="125" t="n">
        <v>46227</v>
      </c>
      <c r="I445" s="127" t="n">
        <v>40</v>
      </c>
      <c r="J445" s="124">
        <f>IF(I445="","待估算",IF(F445="已完成","已结束",IF(AND(ISNUMBER(G445),ISNUMBER(H445),G445&lt;='项目驾驶舱'!$B$3,H445&gt;='项目驾驶舱'!$B$3),"进行中","计划中")))</f>
        <v/>
      </c>
      <c r="K445" s="124">
        <f>IF(J445="待估算","补充投入工时",IF(AND(H445&lt;'项目驾驶舱'!$B$3,F445&lt;&gt;"已完成"),"确认延期和后续安排","按计划跟踪"))</f>
        <v/>
      </c>
      <c r="L445" s="127" t="n"/>
    </row>
    <row r="446">
      <c r="C446" s="124" t="inlineStr">
        <is>
          <t>T009</t>
        </is>
      </c>
      <c r="D446" s="124" t="inlineStr">
        <is>
          <t>优化采样方式新增</t>
        </is>
      </c>
      <c r="E446" s="124" t="inlineStr">
        <is>
          <t>第一批次</t>
        </is>
      </c>
      <c r="F446" s="124">
        <f>IF(OR(M12="挂起",M12="暂停",Q12="挂起",Q12="暂停",U12="挂起",U12="暂停",Y12="挂起",Y12="暂停"),"暂停","已完成")</f>
        <v/>
      </c>
      <c r="G446" s="125" t="n">
        <v>46209</v>
      </c>
      <c r="H446" s="125" t="n">
        <v>46227</v>
      </c>
      <c r="I446" s="127" t="n">
        <v>40</v>
      </c>
      <c r="J446" s="124">
        <f>IF(I446="","待估算",IF(F446="已完成","已结束",IF(AND(ISNUMBER(G446),ISNUMBER(H446),G446&lt;='项目驾驶舱'!$B$3,H446&gt;='项目驾驶舱'!$B$3),"进行中","计划中")))</f>
        <v/>
      </c>
      <c r="K446" s="124">
        <f>IF(J446="待估算","补充投入工时",IF(AND(H446&lt;'项目驾驶舱'!$B$3,F446&lt;&gt;"已完成"),"确认延期和后续安排","按计划跟踪"))</f>
        <v/>
      </c>
      <c r="L446" s="127" t="n"/>
    </row>
    <row r="447">
      <c r="A447" s="22" t="n"/>
      <c r="B447" s="22" t="n"/>
      <c r="C447" s="124" t="inlineStr">
        <is>
          <t>T010</t>
        </is>
      </c>
      <c r="D447" s="124" t="inlineStr">
        <is>
          <t>优化采样方式编辑</t>
        </is>
      </c>
      <c r="E447" s="124" t="inlineStr">
        <is>
          <t>第一批次</t>
        </is>
      </c>
      <c r="F447" s="124">
        <f>IF(OR(M13="挂起",M13="暂停",Q13="挂起",Q13="暂停",U13="挂起",U13="暂停",Y13="挂起",Y13="暂停"),"暂停","已完成")</f>
        <v/>
      </c>
      <c r="G447" s="125" t="n">
        <v>46209</v>
      </c>
      <c r="H447" s="125" t="n">
        <v>46227</v>
      </c>
      <c r="I447" s="127" t="n">
        <v>40</v>
      </c>
      <c r="J447" s="124">
        <f>IF(I447="","待估算",IF(F447="已完成","已结束",IF(AND(ISNUMBER(G447),ISNUMBER(H447),G447&lt;='项目驾驶舱'!$B$3,H447&gt;='项目驾驶舱'!$B$3),"进行中","计划中")))</f>
        <v/>
      </c>
      <c r="K447" s="124">
        <f>IF(J447="待估算","补充投入工时",IF(AND(H447&lt;'项目驾驶舱'!$B$3,F447&lt;&gt;"已完成"),"确认延期和后续安排","按计划跟踪"))</f>
        <v/>
      </c>
      <c r="L447" s="127" t="n"/>
    </row>
    <row r="448">
      <c r="A448" s="133" t="inlineStr">
        <is>
          <t>贺航</t>
        </is>
      </c>
      <c r="B448" s="133" t="inlineStr">
        <is>
          <t>前端</t>
        </is>
      </c>
      <c r="C448" s="124" t="inlineStr">
        <is>
          <t>T011</t>
        </is>
      </c>
      <c r="D448" s="124" t="inlineStr">
        <is>
          <t>获取报单数据及展示</t>
        </is>
      </c>
      <c r="E448" s="124" t="inlineStr">
        <is>
          <t>第一批次</t>
        </is>
      </c>
      <c r="F448" s="124">
        <f>IF(OR(M14="挂起",M14="暂停",Q14="挂起",Q14="暂停",U14="挂起",U14="暂停",Y14="挂起",Y14="暂停"),"暂停","已完成")</f>
        <v/>
      </c>
      <c r="G448" s="125" t="n">
        <v>46209</v>
      </c>
      <c r="H448" s="125" t="n">
        <v>46225</v>
      </c>
      <c r="I448" s="127" t="n">
        <v>40</v>
      </c>
      <c r="J448" s="124">
        <f>IF(I448="","待估算",IF(F448="已完成","已结束",IF(AND(ISNUMBER(G448),ISNUMBER(H448),G448&lt;='项目驾驶舱'!$B$3,H448&gt;='项目驾驶舱'!$B$3),"进行中","计划中")))</f>
        <v/>
      </c>
      <c r="K448" s="124">
        <f>IF(J448="待估算","补充投入工时",IF(AND(H448&lt;'项目驾驶舱'!$B$3,F448&lt;&gt;"已完成"),"确认延期和后续安排","按计划跟踪"))</f>
        <v/>
      </c>
      <c r="L448" s="127" t="n"/>
    </row>
    <row r="449">
      <c r="C449" s="124" t="inlineStr">
        <is>
          <t>T012</t>
        </is>
      </c>
      <c r="D449" s="124" t="inlineStr">
        <is>
          <t>应单入口</t>
        </is>
      </c>
      <c r="E449" s="124" t="inlineStr">
        <is>
          <t>第一批次</t>
        </is>
      </c>
      <c r="F449" s="124">
        <f>IF(OR(M15="挂起",M15="暂停",Q15="挂起",Q15="暂停",U15="挂起",U15="暂停",Y15="挂起",Y15="暂停"),"暂停","已完成")</f>
        <v/>
      </c>
      <c r="G449" s="125" t="n">
        <v>46209</v>
      </c>
      <c r="H449" s="125" t="n">
        <v>46225</v>
      </c>
      <c r="I449" s="127" t="n">
        <v>40</v>
      </c>
      <c r="J449" s="124">
        <f>IF(I449="","待估算",IF(F449="已完成","已结束",IF(AND(ISNUMBER(G449),ISNUMBER(H449),G449&lt;='项目驾驶舱'!$B$3,H449&gt;='项目驾驶舱'!$B$3),"进行中","计划中")))</f>
        <v/>
      </c>
      <c r="K449" s="124">
        <f>IF(J449="待估算","补充投入工时",IF(AND(H449&lt;'项目驾驶舱'!$B$3,F449&lt;&gt;"已完成"),"确认延期和后续安排","按计划跟踪"))</f>
        <v/>
      </c>
      <c r="L449" s="127" t="n"/>
    </row>
    <row r="450">
      <c r="C450" s="124" t="inlineStr">
        <is>
          <t>T050</t>
        </is>
      </c>
      <c r="D450" s="124" t="inlineStr">
        <is>
          <t>维护需跟踪船舶清单</t>
        </is>
      </c>
      <c r="E450" s="124" t="inlineStr">
        <is>
          <t>第一批次</t>
        </is>
      </c>
      <c r="F450" s="124">
        <f>IF(OR(M53="挂起",M53="暂停",Q53="挂起",Q53="暂停",U53="挂起",U53="暂停",Y53="挂起",Y53="暂停"),"暂停","进行中")</f>
        <v/>
      </c>
      <c r="G450" s="125" t="n">
        <v>46209</v>
      </c>
      <c r="H450" s="125" t="n">
        <v>46227</v>
      </c>
      <c r="I450" s="127" t="n">
        <v>40</v>
      </c>
      <c r="J450" s="124">
        <f>IF(I450="","待估算",IF(F450="已完成","已结束",IF(AND(ISNUMBER(G450),ISNUMBER(H450),G450&lt;='项目驾驶舱'!$B$3,H450&gt;='项目驾驶舱'!$B$3),"进行中","计划中")))</f>
        <v/>
      </c>
      <c r="K450" s="124">
        <f>IF(J450="待估算","补充投入工时",IF(AND(H450&lt;'项目驾驶舱'!$B$3,F450&lt;&gt;"已完成"),"确认延期和后续安排","按计划跟踪"))</f>
        <v/>
      </c>
      <c r="L450" s="127" t="n"/>
    </row>
    <row r="451">
      <c r="C451" s="124" t="inlineStr">
        <is>
          <t>T051</t>
        </is>
      </c>
      <c r="D451" s="124" t="inlineStr">
        <is>
          <t>根据船舶清单更新第三方系统推送数据船舶清单</t>
        </is>
      </c>
      <c r="E451" s="124" t="inlineStr">
        <is>
          <t>第一批次</t>
        </is>
      </c>
      <c r="F451" s="124">
        <f>IF(OR(M54="挂起",M54="暂停",Q54="挂起",Q54="暂停",U54="挂起",U54="暂停",Y54="挂起",Y54="暂停"),"暂停","进行中")</f>
        <v/>
      </c>
      <c r="G451" s="125" t="n">
        <v>46209</v>
      </c>
      <c r="H451" s="125" t="n">
        <v>46227</v>
      </c>
      <c r="I451" s="127" t="n">
        <v>40</v>
      </c>
      <c r="J451" s="124">
        <f>IF(I451="","待估算",IF(F451="已完成","已结束",IF(AND(ISNUMBER(G451),ISNUMBER(H451),G451&lt;='项目驾驶舱'!$B$3,H451&gt;='项目驾驶舱'!$B$3),"进行中","计划中")))</f>
        <v/>
      </c>
      <c r="K451" s="124">
        <f>IF(J451="待估算","补充投入工时",IF(AND(H451&lt;'项目驾驶舱'!$B$3,F451&lt;&gt;"已完成"),"确认延期和后续安排","按计划跟踪"))</f>
        <v/>
      </c>
      <c r="L451" s="127" t="n"/>
    </row>
    <row r="452">
      <c r="C452" s="124" t="inlineStr">
        <is>
          <t>T052</t>
        </is>
      </c>
      <c r="D452" s="124" t="inlineStr">
        <is>
          <t>船舶轨迹跟踪</t>
        </is>
      </c>
      <c r="E452" s="124" t="inlineStr">
        <is>
          <t>第一批次</t>
        </is>
      </c>
      <c r="F452" s="124">
        <f>IF(OR(M55="挂起",M55="暂停",Q55="挂起",Q55="暂停",U55="挂起",U55="暂停",Y55="挂起",Y55="暂停"),"暂停","进行中")</f>
        <v/>
      </c>
      <c r="G452" s="125" t="n">
        <v>46209</v>
      </c>
      <c r="H452" s="125" t="n">
        <v>46227</v>
      </c>
      <c r="I452" s="127" t="n">
        <v>40</v>
      </c>
      <c r="J452" s="124">
        <f>IF(I452="","待估算",IF(F452="已完成","已结束",IF(AND(ISNUMBER(G452),ISNUMBER(H452),G452&lt;='项目驾驶舱'!$B$3,H452&gt;='项目驾驶舱'!$B$3),"进行中","计划中")))</f>
        <v/>
      </c>
      <c r="K452" s="124">
        <f>IF(J452="待估算","补充投入工时",IF(AND(H452&lt;'项目驾驶舱'!$B$3,F452&lt;&gt;"已完成"),"确认延期和后续安排","按计划跟踪"))</f>
        <v/>
      </c>
      <c r="L452" s="127" t="n"/>
    </row>
    <row r="453">
      <c r="C453" s="124" t="inlineStr">
        <is>
          <t>T060</t>
        </is>
      </c>
      <c r="D453" s="124" t="inlineStr">
        <is>
          <t>货权录入</t>
        </is>
      </c>
      <c r="E453" s="124" t="inlineStr">
        <is>
          <t>第一批次</t>
        </is>
      </c>
      <c r="F453" s="124">
        <f>IF(OR(M63="挂起",M63="暂停",Q63="挂起",Q63="暂停",U63="挂起",U63="暂停",Y63="挂起",Y63="暂停"),"暂停","已完成")</f>
        <v/>
      </c>
      <c r="G453" s="125" t="n">
        <v>46209</v>
      </c>
      <c r="H453" s="125" t="n">
        <v>46227</v>
      </c>
      <c r="I453" s="127" t="n">
        <v>40</v>
      </c>
      <c r="J453" s="124">
        <f>IF(I453="","待估算",IF(F453="已完成","已结束",IF(AND(ISNUMBER(G453),ISNUMBER(H453),G453&lt;='项目驾驶舱'!$B$3,H453&gt;='项目驾驶舱'!$B$3),"进行中","计划中")))</f>
        <v/>
      </c>
      <c r="K453" s="124">
        <f>IF(J453="待估算","补充投入工时",IF(AND(H453&lt;'项目驾驶舱'!$B$3,F453&lt;&gt;"已完成"),"确认延期和后续安排","按计划跟踪"))</f>
        <v/>
      </c>
      <c r="L453" s="127" t="n"/>
    </row>
    <row r="454">
      <c r="C454" s="124" t="inlineStr">
        <is>
          <t>T061</t>
        </is>
      </c>
      <c r="D454" s="124" t="inlineStr">
        <is>
          <t>货权修改</t>
        </is>
      </c>
      <c r="E454" s="124" t="inlineStr">
        <is>
          <t>第一批次</t>
        </is>
      </c>
      <c r="F454" s="124">
        <f>IF(OR(M64="挂起",M64="暂停",Q64="挂起",Q64="暂停",U64="挂起",U64="暂停",Y64="挂起",Y64="暂停"),"暂停","已完成")</f>
        <v/>
      </c>
      <c r="G454" s="125" t="n">
        <v>46209</v>
      </c>
      <c r="H454" s="125" t="n">
        <v>46227</v>
      </c>
      <c r="I454" s="127" t="n">
        <v>40</v>
      </c>
      <c r="J454" s="124">
        <f>IF(I454="","待估算",IF(F454="已完成","已结束",IF(AND(ISNUMBER(G454),ISNUMBER(H454),G454&lt;='项目驾驶舱'!$B$3,H454&gt;='项目驾驶舱'!$B$3),"进行中","计划中")))</f>
        <v/>
      </c>
      <c r="K454" s="124">
        <f>IF(J454="待估算","补充投入工时",IF(AND(H454&lt;'项目驾驶舱'!$B$3,F454&lt;&gt;"已完成"),"确认延期和后续安排","按计划跟踪"))</f>
        <v/>
      </c>
      <c r="L454" s="127" t="n"/>
    </row>
    <row r="455">
      <c r="C455" s="124" t="inlineStr">
        <is>
          <t>T062</t>
        </is>
      </c>
      <c r="D455" s="124" t="inlineStr">
        <is>
          <t>获取查询</t>
        </is>
      </c>
      <c r="E455" s="124" t="inlineStr">
        <is>
          <t>第一批次</t>
        </is>
      </c>
      <c r="F455" s="124">
        <f>IF(OR(M65="挂起",M65="暂停",Q65="挂起",Q65="暂停",U65="挂起",U65="暂停",Y65="挂起",Y65="暂停"),"暂停","已完成")</f>
        <v/>
      </c>
      <c r="G455" s="125" t="n">
        <v>46209</v>
      </c>
      <c r="H455" s="125" t="n">
        <v>46227</v>
      </c>
      <c r="I455" s="127" t="n">
        <v>40</v>
      </c>
      <c r="J455" s="124">
        <f>IF(I455="","待估算",IF(F455="已完成","已结束",IF(AND(ISNUMBER(G455),ISNUMBER(H455),G455&lt;='项目驾驶舱'!$B$3,H455&gt;='项目驾驶舱'!$B$3),"进行中","计划中")))</f>
        <v/>
      </c>
      <c r="K455" s="124">
        <f>IF(J455="待估算","补充投入工时",IF(AND(H455&lt;'项目驾驶舱'!$B$3,F455&lt;&gt;"已完成"),"确认延期和后续安排","按计划跟踪"))</f>
        <v/>
      </c>
      <c r="L455" s="127" t="n"/>
    </row>
    <row r="456">
      <c r="C456" s="124" t="inlineStr">
        <is>
          <t>T063</t>
        </is>
      </c>
      <c r="D456" s="124" t="inlineStr">
        <is>
          <t>卸船作业货权跟踪</t>
        </is>
      </c>
      <c r="E456" s="124" t="inlineStr">
        <is>
          <t>第一批次</t>
        </is>
      </c>
      <c r="F456" s="124">
        <f>IF(OR(M66="挂起",M66="暂停",Q66="挂起",Q66="暂停",U66="挂起",U66="暂停",Y66="挂起",Y66="暂停"),"暂停","已完成")</f>
        <v/>
      </c>
      <c r="G456" s="125" t="n">
        <v>46209</v>
      </c>
      <c r="H456" s="125" t="n">
        <v>46227</v>
      </c>
      <c r="I456" s="127" t="n">
        <v>40</v>
      </c>
      <c r="J456" s="124">
        <f>IF(I456="","待估算",IF(F456="已完成","已结束",IF(AND(ISNUMBER(G456),ISNUMBER(H456),G456&lt;='项目驾驶舱'!$B$3,H456&gt;='项目驾驶舱'!$B$3),"进行中","计划中")))</f>
        <v/>
      </c>
      <c r="K456" s="124">
        <f>IF(J456="待估算","补充投入工时",IF(AND(H456&lt;'项目驾驶舱'!$B$3,F456&lt;&gt;"已完成"),"确认延期和后续安排","按计划跟踪"))</f>
        <v/>
      </c>
      <c r="L456" s="127" t="n"/>
    </row>
    <row r="457">
      <c r="C457" s="124" t="inlineStr">
        <is>
          <t>T064</t>
        </is>
      </c>
      <c r="D457" s="124" t="inlineStr">
        <is>
          <t>卸船作业货权跟踪</t>
        </is>
      </c>
      <c r="E457" s="124" t="inlineStr">
        <is>
          <t>第一批次</t>
        </is>
      </c>
      <c r="F457" s="124">
        <f>IF(OR(M67="挂起",M67="暂停",Q67="挂起",Q67="暂停",U67="挂起",U67="暂停",Y67="挂起",Y67="暂停"),"暂停","已完成")</f>
        <v/>
      </c>
      <c r="G457" s="125" t="n">
        <v>46209</v>
      </c>
      <c r="H457" s="125" t="n">
        <v>46227</v>
      </c>
      <c r="I457" s="127" t="n">
        <v>40</v>
      </c>
      <c r="J457" s="124">
        <f>IF(I457="","待估算",IF(F457="已完成","已结束",IF(AND(ISNUMBER(G457),ISNUMBER(H457),G457&lt;='项目驾驶舱'!$B$3,H457&gt;='项目驾驶舱'!$B$3),"进行中","计划中")))</f>
        <v/>
      </c>
      <c r="K457" s="124">
        <f>IF(J457="待估算","补充投入工时",IF(AND(H457&lt;'项目驾驶舱'!$B$3,F457&lt;&gt;"已完成"),"确认延期和后续安排","按计划跟踪"))</f>
        <v/>
      </c>
      <c r="L457" s="127" t="n"/>
    </row>
    <row r="458">
      <c r="C458" s="124" t="inlineStr">
        <is>
          <t>T065</t>
        </is>
      </c>
      <c r="D458" s="124" t="inlineStr">
        <is>
          <t>装船作业货权跟踪</t>
        </is>
      </c>
      <c r="E458" s="124" t="inlineStr">
        <is>
          <t>第一批次</t>
        </is>
      </c>
      <c r="F458" s="124">
        <f>IF(OR(M68="挂起",M68="暂停",Q68="挂起",Q68="暂停",U68="挂起",U68="暂停",Y68="挂起",Y68="暂停"),"暂停","已完成")</f>
        <v/>
      </c>
      <c r="G458" s="125" t="n">
        <v>46209</v>
      </c>
      <c r="H458" s="125" t="n">
        <v>46227</v>
      </c>
      <c r="I458" s="127" t="n">
        <v>40</v>
      </c>
      <c r="J458" s="124">
        <f>IF(I458="","待估算",IF(F458="已完成","已结束",IF(AND(ISNUMBER(G458),ISNUMBER(H458),G458&lt;='项目驾驶舱'!$B$3,H458&gt;='项目驾驶舱'!$B$3),"进行中","计划中")))</f>
        <v/>
      </c>
      <c r="K458" s="124">
        <f>IF(J458="待估算","补充投入工时",IF(AND(H458&lt;'项目驾驶舱'!$B$3,F458&lt;&gt;"已完成"),"确认延期和后续安排","按计划跟踪"))</f>
        <v/>
      </c>
      <c r="L458" s="127" t="n"/>
    </row>
    <row r="459">
      <c r="A459" s="22" t="n"/>
      <c r="B459" s="22" t="n"/>
      <c r="C459" s="124" t="inlineStr">
        <is>
          <t>T066</t>
        </is>
      </c>
      <c r="D459" s="124" t="inlineStr">
        <is>
          <t>装船作业货权跟踪</t>
        </is>
      </c>
      <c r="E459" s="124" t="inlineStr">
        <is>
          <t>第一批次</t>
        </is>
      </c>
      <c r="F459" s="124">
        <f>IF(OR(M69="挂起",M69="暂停",Q69="挂起",Q69="暂停",U69="挂起",U69="暂停",Y69="挂起",Y69="暂停"),"暂停","已完成")</f>
        <v/>
      </c>
      <c r="G459" s="125" t="n">
        <v>46209</v>
      </c>
      <c r="H459" s="125" t="n">
        <v>46227</v>
      </c>
      <c r="I459" s="127" t="n">
        <v>40</v>
      </c>
      <c r="J459" s="124">
        <f>IF(I459="","待估算",IF(F459="已完成","已结束",IF(AND(ISNUMBER(G459),ISNUMBER(H459),G459&lt;='项目驾驶舱'!$B$3,H459&gt;='项目驾驶舱'!$B$3),"进行中","计划中")))</f>
        <v/>
      </c>
      <c r="K459" s="124">
        <f>IF(J459="待估算","补充投入工时",IF(AND(H459&lt;'项目驾驶舱'!$B$3,F459&lt;&gt;"已完成"),"确认延期和后续安排","按计划跟踪"))</f>
        <v/>
      </c>
      <c r="L459" s="127" t="n"/>
    </row>
    <row r="460">
      <c r="A460" s="133" t="inlineStr">
        <is>
          <t>贺航</t>
        </is>
      </c>
      <c r="B460" s="133" t="inlineStr">
        <is>
          <t>前端</t>
        </is>
      </c>
      <c r="C460" s="124" t="inlineStr">
        <is>
          <t>T067</t>
        </is>
      </c>
      <c r="D460" s="124" t="inlineStr">
        <is>
          <t>装船作业货权跟踪</t>
        </is>
      </c>
      <c r="E460" s="124" t="inlineStr">
        <is>
          <t>第一批次</t>
        </is>
      </c>
      <c r="F460" s="124">
        <f>IF(OR(M70="挂起",M70="暂停",Q70="挂起",Q70="暂停",U70="挂起",U70="暂停",Y70="挂起",Y70="暂停"),"暂停","已完成")</f>
        <v/>
      </c>
      <c r="G460" s="125" t="n">
        <v>46209</v>
      </c>
      <c r="H460" s="125" t="n">
        <v>46227</v>
      </c>
      <c r="I460" s="127" t="n">
        <v>40</v>
      </c>
      <c r="J460" s="124">
        <f>IF(I460="","待估算",IF(F460="已完成","已结束",IF(AND(ISNUMBER(G460),ISNUMBER(H460),G460&lt;='项目驾驶舱'!$B$3,H460&gt;='项目驾驶舱'!$B$3),"进行中","计划中")))</f>
        <v/>
      </c>
      <c r="K460" s="124">
        <f>IF(J460="待估算","补充投入工时",IF(AND(H460&lt;'项目驾驶舱'!$B$3,F460&lt;&gt;"已完成"),"确认延期和后续安排","按计划跟踪"))</f>
        <v/>
      </c>
      <c r="L460" s="127" t="n"/>
    </row>
    <row r="461">
      <c r="C461" s="124" t="inlineStr">
        <is>
          <t>T068</t>
        </is>
      </c>
      <c r="D461" s="124" t="inlineStr">
        <is>
          <t>装船作业货权跟踪</t>
        </is>
      </c>
      <c r="E461" s="124" t="inlineStr">
        <is>
          <t>第一批次</t>
        </is>
      </c>
      <c r="F461" s="124">
        <f>IF(OR(M71="挂起",M71="暂停",Q71="挂起",Q71="暂停",U71="挂起",U71="暂停",Y71="挂起",Y71="暂停"),"暂停","已完成")</f>
        <v/>
      </c>
      <c r="G461" s="125" t="n">
        <v>46209</v>
      </c>
      <c r="H461" s="125" t="n">
        <v>46227</v>
      </c>
      <c r="I461" s="127" t="n">
        <v>40</v>
      </c>
      <c r="J461" s="124">
        <f>IF(I461="","待估算",IF(F461="已完成","已结束",IF(AND(ISNUMBER(G461),ISNUMBER(H461),G461&lt;='项目驾驶舱'!$B$3,H461&gt;='项目驾驶舱'!$B$3),"进行中","计划中")))</f>
        <v/>
      </c>
      <c r="K461" s="124">
        <f>IF(J461="待估算","补充投入工时",IF(AND(H461&lt;'项目驾驶舱'!$B$3,F461&lt;&gt;"已完成"),"确认延期和后续安排","按计划跟踪"))</f>
        <v/>
      </c>
      <c r="L461" s="127" t="n"/>
    </row>
    <row r="462">
      <c r="C462" s="124" t="inlineStr">
        <is>
          <t>T072</t>
        </is>
      </c>
      <c r="D462" s="124" t="inlineStr">
        <is>
          <t>OCR识别</t>
        </is>
      </c>
      <c r="E462" s="124" t="inlineStr">
        <is>
          <t>第一批次</t>
        </is>
      </c>
      <c r="F462" s="124">
        <f>IF(OR(M75="挂起",M75="暂停",Q75="挂起",Q75="暂停",U75="挂起",U75="暂停",Y75="挂起",Y75="暂停"),"暂停","已完成")</f>
        <v/>
      </c>
      <c r="G462" s="125" t="n">
        <v>46209</v>
      </c>
      <c r="H462" s="125" t="n">
        <v>46225</v>
      </c>
      <c r="I462" s="127" t="n">
        <v>40</v>
      </c>
      <c r="J462" s="124">
        <f>IF(I462="","待估算",IF(F462="已完成","已结束",IF(AND(ISNUMBER(G462),ISNUMBER(H462),G462&lt;='项目驾驶舱'!$B$3,H462&gt;='项目驾驶舱'!$B$3),"进行中","计划中")))</f>
        <v/>
      </c>
      <c r="K462" s="124">
        <f>IF(J462="待估算","补充投入工时",IF(AND(H462&lt;'项目驾驶舱'!$B$3,F462&lt;&gt;"已完成"),"确认延期和后续安排","按计划跟踪"))</f>
        <v/>
      </c>
      <c r="L462" s="127" t="n"/>
    </row>
    <row r="463">
      <c r="C463" s="124" t="inlineStr">
        <is>
          <t>T096</t>
        </is>
      </c>
      <c r="D463" s="124" t="inlineStr">
        <is>
          <t>自动生成装船港杂费</t>
        </is>
      </c>
      <c r="E463" s="124" t="inlineStr">
        <is>
          <t>第一批次</t>
        </is>
      </c>
      <c r="F463" s="124">
        <f>IF(OR(M99="挂起",M99="暂停",Q99="挂起",Q99="暂停",U99="挂起",U99="暂停",Y99="挂起",Y99="暂停"),"暂停","已完成")</f>
        <v/>
      </c>
      <c r="G463" s="125" t="n">
        <v>46209</v>
      </c>
      <c r="H463" s="125" t="n">
        <v>46225</v>
      </c>
      <c r="I463" s="127" t="n">
        <v>40</v>
      </c>
      <c r="J463" s="124">
        <f>IF(I463="","待估算",IF(F463="已完成","已结束",IF(AND(ISNUMBER(G463),ISNUMBER(H463),G463&lt;='项目驾驶舱'!$B$3,H463&gt;='项目驾驶舱'!$B$3),"进行中","计划中")))</f>
        <v/>
      </c>
      <c r="K463" s="124">
        <f>IF(J463="待估算","补充投入工时",IF(AND(H463&lt;'项目驾驶舱'!$B$3,F463&lt;&gt;"已完成"),"确认延期和后续安排","按计划跟踪"))</f>
        <v/>
      </c>
      <c r="L463" s="127" t="n"/>
    </row>
    <row r="464">
      <c r="C464" s="124" t="inlineStr">
        <is>
          <t>T073</t>
        </is>
      </c>
      <c r="D464" s="124" t="inlineStr">
        <is>
          <t>采样作业信息录入新增</t>
        </is>
      </c>
      <c r="E464" s="124" t="inlineStr">
        <is>
          <t>第一批次</t>
        </is>
      </c>
      <c r="F464" s="124">
        <f>IF(OR(M76="挂起",M76="暂停",Q76="挂起",Q76="暂停",U76="挂起",U76="暂停",Y76="挂起",Y76="暂停"),"暂停","已完成")</f>
        <v/>
      </c>
      <c r="G464" s="125" t="n">
        <v>46227</v>
      </c>
      <c r="H464" s="125" t="n">
        <v>46227</v>
      </c>
      <c r="I464" s="127" t="n">
        <v>40</v>
      </c>
      <c r="J464" s="124">
        <f>IF(I464="","待估算",IF(F464="已完成","已结束",IF(AND(ISNUMBER(G464),ISNUMBER(H464),G464&lt;='项目驾驶舱'!$B$3,H464&gt;='项目驾驶舱'!$B$3),"进行中","计划中")))</f>
        <v/>
      </c>
      <c r="K464" s="124">
        <f>IF(J464="待估算","补充投入工时",IF(AND(H464&lt;'项目驾驶舱'!$B$3,F464&lt;&gt;"已完成"),"确认延期和后续安排","按计划跟踪"))</f>
        <v/>
      </c>
      <c r="L464" s="127" t="n"/>
    </row>
    <row r="465">
      <c r="C465" s="124" t="inlineStr">
        <is>
          <t>T074</t>
        </is>
      </c>
      <c r="D465" s="124" t="inlineStr">
        <is>
          <t>采样作业信息录入编辑</t>
        </is>
      </c>
      <c r="E465" s="124" t="inlineStr">
        <is>
          <t>第一批次</t>
        </is>
      </c>
      <c r="F465" s="124">
        <f>IF(OR(M77="挂起",M77="暂停",Q77="挂起",Q77="暂停",U77="挂起",U77="暂停",Y77="挂起",Y77="暂停"),"暂停","已完成")</f>
        <v/>
      </c>
      <c r="G465" s="125" t="n">
        <v>46227</v>
      </c>
      <c r="H465" s="125" t="n">
        <v>46227</v>
      </c>
      <c r="I465" s="127" t="n">
        <v>40</v>
      </c>
      <c r="J465" s="124">
        <f>IF(I465="","待估算",IF(F465="已完成","已结束",IF(AND(ISNUMBER(G465),ISNUMBER(H465),G465&lt;='项目驾驶舱'!$B$3,H465&gt;='项目驾驶舱'!$B$3),"进行中","计划中")))</f>
        <v/>
      </c>
      <c r="K465" s="124">
        <f>IF(J465="待估算","补充投入工时",IF(AND(H465&lt;'项目驾驶舱'!$B$3,F465&lt;&gt;"已完成"),"确认延期和后续安排","按计划跟踪"))</f>
        <v/>
      </c>
      <c r="L465" s="127" t="n"/>
    </row>
    <row r="466">
      <c r="C466" s="124" t="inlineStr">
        <is>
          <t>T075</t>
        </is>
      </c>
      <c r="D466" s="124" t="inlineStr">
        <is>
          <t>采样作业信息录入详情</t>
        </is>
      </c>
      <c r="E466" s="124" t="inlineStr">
        <is>
          <t>第一批次</t>
        </is>
      </c>
      <c r="F466" s="124">
        <f>IF(OR(M78="挂起",M78="暂停",Q78="挂起",Q78="暂停",U78="挂起",U78="暂停",Y78="挂起",Y78="暂停"),"暂停","已完成")</f>
        <v/>
      </c>
      <c r="G466" s="125" t="n">
        <v>46227</v>
      </c>
      <c r="H466" s="125" t="n">
        <v>46227</v>
      </c>
      <c r="I466" s="127" t="n">
        <v>40</v>
      </c>
      <c r="J466" s="124">
        <f>IF(I466="","待估算",IF(F466="已完成","已结束",IF(AND(ISNUMBER(G466),ISNUMBER(H466),G466&lt;='项目驾驶舱'!$B$3,H466&gt;='项目驾驶舱'!$B$3),"进行中","计划中")))</f>
        <v/>
      </c>
      <c r="K466" s="124">
        <f>IF(J466="待估算","补充投入工时",IF(AND(H466&lt;'项目驾驶舱'!$B$3,F466&lt;&gt;"已完成"),"确认延期和后续安排","按计划跟踪"))</f>
        <v/>
      </c>
      <c r="L466" s="127" t="n"/>
    </row>
    <row r="467">
      <c r="C467" s="124" t="inlineStr">
        <is>
          <t>T076</t>
        </is>
      </c>
      <c r="D467" s="124" t="inlineStr">
        <is>
          <t>采样作业信息录入删除</t>
        </is>
      </c>
      <c r="E467" s="124" t="inlineStr">
        <is>
          <t>第一批次</t>
        </is>
      </c>
      <c r="F467" s="124">
        <f>IF(OR(M79="挂起",M79="暂停",Q79="挂起",Q79="暂停",U79="挂起",U79="暂停",Y79="挂起",Y79="暂停"),"暂停","已完成")</f>
        <v/>
      </c>
      <c r="G467" s="125" t="n">
        <v>46227</v>
      </c>
      <c r="H467" s="125" t="n">
        <v>46227</v>
      </c>
      <c r="I467" s="127" t="n">
        <v>40</v>
      </c>
      <c r="J467" s="124">
        <f>IF(I467="","待估算",IF(F467="已完成","已结束",IF(AND(ISNUMBER(G467),ISNUMBER(H467),G467&lt;='项目驾驶舱'!$B$3,H467&gt;='项目驾驶舱'!$B$3),"进行中","计划中")))</f>
        <v/>
      </c>
      <c r="K467" s="124">
        <f>IF(J467="待估算","补充投入工时",IF(AND(H467&lt;'项目驾驶舱'!$B$3,F467&lt;&gt;"已完成"),"确认延期和后续安排","按计划跟踪"))</f>
        <v/>
      </c>
      <c r="L467" s="127" t="n"/>
    </row>
    <row r="468">
      <c r="C468" s="124" t="inlineStr">
        <is>
          <t>T077</t>
        </is>
      </c>
      <c r="D468" s="124" t="inlineStr">
        <is>
          <t>采样作业信息录入列表</t>
        </is>
      </c>
      <c r="E468" s="124" t="inlineStr">
        <is>
          <t>第一批次</t>
        </is>
      </c>
      <c r="F468" s="124">
        <f>IF(OR(M80="挂起",M80="暂停",Q80="挂起",Q80="暂停",U80="挂起",U80="暂停",Y80="挂起",Y80="暂停"),"暂停","已完成")</f>
        <v/>
      </c>
      <c r="G468" s="125" t="n">
        <v>46227</v>
      </c>
      <c r="H468" s="125" t="n">
        <v>46227</v>
      </c>
      <c r="I468" s="127" t="n">
        <v>40</v>
      </c>
      <c r="J468" s="124">
        <f>IF(I468="","待估算",IF(F468="已完成","已结束",IF(AND(ISNUMBER(G468),ISNUMBER(H468),G468&lt;='项目驾驶舱'!$B$3,H468&gt;='项目驾驶舱'!$B$3),"进行中","计划中")))</f>
        <v/>
      </c>
      <c r="K468" s="124">
        <f>IF(J468="待估算","补充投入工时",IF(AND(H468&lt;'项目驾驶舱'!$B$3,F468&lt;&gt;"已完成"),"确认延期和后续安排","按计划跟踪"))</f>
        <v/>
      </c>
      <c r="L468" s="127" t="n"/>
    </row>
    <row r="469">
      <c r="C469" s="124" t="inlineStr">
        <is>
          <t>T097</t>
        </is>
      </c>
      <c r="D469" s="124" t="inlineStr">
        <is>
          <t>自动生成租赁费</t>
        </is>
      </c>
      <c r="E469" s="124" t="inlineStr">
        <is>
          <t>第一批次</t>
        </is>
      </c>
      <c r="F469" s="124">
        <f>IF(OR(M100="挂起",M100="暂停",Q100="挂起",Q100="暂停",U100="挂起",U100="暂停",Y100="挂起",Y100="暂停"),"暂停","已完成")</f>
        <v/>
      </c>
      <c r="G469" s="125" t="n">
        <v>46227</v>
      </c>
      <c r="H469" s="125" t="n">
        <v>46227</v>
      </c>
      <c r="I469" s="127" t="n">
        <v>40</v>
      </c>
      <c r="J469" s="124">
        <f>IF(I469="","待估算",IF(F469="已完成","已结束",IF(AND(ISNUMBER(G469),ISNUMBER(H469),G469&lt;='项目驾驶舱'!$B$3,H469&gt;='项目驾驶舱'!$B$3),"进行中","计划中")))</f>
        <v/>
      </c>
      <c r="K469" s="124">
        <f>IF(J469="待估算","补充投入工时",IF(AND(H469&lt;'项目驾驶舱'!$B$3,F469&lt;&gt;"已完成"),"确认延期和后续安排","按计划跟踪"))</f>
        <v/>
      </c>
      <c r="L469" s="127" t="n"/>
    </row>
    <row r="470">
      <c r="C470" s="124" t="inlineStr">
        <is>
          <t>T098</t>
        </is>
      </c>
      <c r="D470" s="124" t="inlineStr">
        <is>
          <t>优化装卸费新增</t>
        </is>
      </c>
      <c r="E470" s="124" t="inlineStr">
        <is>
          <t>第一批次</t>
        </is>
      </c>
      <c r="F470" s="124">
        <f>IF(OR(M101="挂起",M101="暂停",Q101="挂起",Q101="暂停",U101="挂起",U101="暂停",Y101="挂起",Y101="暂停"),"暂停","已完成")</f>
        <v/>
      </c>
      <c r="G470" s="125" t="n">
        <v>46227</v>
      </c>
      <c r="H470" s="125" t="n">
        <v>46227</v>
      </c>
      <c r="I470" s="127" t="n">
        <v>40</v>
      </c>
      <c r="J470" s="124">
        <f>IF(I470="","待估算",IF(F470="已完成","已结束",IF(AND(ISNUMBER(G470),ISNUMBER(H470),G470&lt;='项目驾驶舱'!$B$3,H470&gt;='项目驾驶舱'!$B$3),"进行中","计划中")))</f>
        <v/>
      </c>
      <c r="K470" s="124">
        <f>IF(J470="待估算","补充投入工时",IF(AND(H470&lt;'项目驾驶舱'!$B$3,F470&lt;&gt;"已完成"),"确认延期和后续安排","按计划跟踪"))</f>
        <v/>
      </c>
      <c r="L470" s="127" t="n"/>
    </row>
    <row r="471">
      <c r="A471" s="22" t="n"/>
      <c r="B471" s="22" t="n"/>
      <c r="C471" s="124" t="inlineStr">
        <is>
          <t>T099</t>
        </is>
      </c>
      <c r="D471" s="124" t="inlineStr">
        <is>
          <t>优化装卸费编辑</t>
        </is>
      </c>
      <c r="E471" s="124" t="inlineStr">
        <is>
          <t>第一批次</t>
        </is>
      </c>
      <c r="F471" s="124">
        <f>IF(OR(M102="挂起",M102="暂停",Q102="挂起",Q102="暂停",U102="挂起",U102="暂停",Y102="挂起",Y102="暂停"),"暂停","已完成")</f>
        <v/>
      </c>
      <c r="G471" s="125" t="n">
        <v>46227</v>
      </c>
      <c r="H471" s="125" t="n">
        <v>46227</v>
      </c>
      <c r="I471" s="127" t="n">
        <v>40</v>
      </c>
      <c r="J471" s="124">
        <f>IF(I471="","待估算",IF(F471="已完成","已结束",IF(AND(ISNUMBER(G471),ISNUMBER(H471),G471&lt;='项目驾驶舱'!$B$3,H471&gt;='项目驾驶舱'!$B$3),"进行中","计划中")))</f>
        <v/>
      </c>
      <c r="K471" s="124">
        <f>IF(J471="待估算","补充投入工时",IF(AND(H471&lt;'项目驾驶舱'!$B$3,F471&lt;&gt;"已完成"),"确认延期和后续安排","按计划跟踪"))</f>
        <v/>
      </c>
      <c r="L471" s="127" t="n"/>
    </row>
    <row r="472">
      <c r="A472" s="133" t="inlineStr">
        <is>
          <t>贺航</t>
        </is>
      </c>
      <c r="B472" s="133" t="inlineStr">
        <is>
          <t>前端</t>
        </is>
      </c>
      <c r="C472" s="124" t="inlineStr">
        <is>
          <t>T037</t>
        </is>
      </c>
      <c r="D472" s="124" t="inlineStr">
        <is>
          <t>创建卸车流程</t>
        </is>
      </c>
      <c r="E472" s="124" t="inlineStr">
        <is>
          <t>第一批次</t>
        </is>
      </c>
      <c r="F472" s="124">
        <f>IF(OR(M40="挂起",M40="暂停",Q40="挂起",Q40="暂停",U40="挂起",U40="暂停",Y40="挂起",Y40="暂停"),"暂停","已完成")</f>
        <v/>
      </c>
      <c r="G472" s="125" t="n">
        <v>46230</v>
      </c>
      <c r="H472" s="125" t="n">
        <v>46262</v>
      </c>
      <c r="I472" s="127" t="n">
        <v>40</v>
      </c>
      <c r="J472" s="124">
        <f>IF(I472="","待估算",IF(F472="已完成","已结束",IF(AND(ISNUMBER(G472),ISNUMBER(H472),G472&lt;='项目驾驶舱'!$B$3,H472&gt;='项目驾驶舱'!$B$3),"进行中","计划中")))</f>
        <v/>
      </c>
      <c r="K472" s="124">
        <f>IF(J472="待估算","补充投入工时",IF(AND(H472&lt;'项目驾驶舱'!$B$3,F472&lt;&gt;"已完成"),"确认延期和后续安排","按计划跟踪"))</f>
        <v/>
      </c>
      <c r="L472" s="127" t="n"/>
    </row>
    <row r="473">
      <c r="C473" s="124" t="inlineStr">
        <is>
          <t>T038</t>
        </is>
      </c>
      <c r="D473" s="124" t="inlineStr">
        <is>
          <t>查询卸车流程</t>
        </is>
      </c>
      <c r="E473" s="124" t="inlineStr">
        <is>
          <t>第一批次</t>
        </is>
      </c>
      <c r="F473" s="124">
        <f>IF(OR(M41="挂起",M41="暂停",Q41="挂起",Q41="暂停",U41="挂起",U41="暂停",Y41="挂起",Y41="暂停"),"暂停","已完成")</f>
        <v/>
      </c>
      <c r="G473" s="125" t="n">
        <v>46230</v>
      </c>
      <c r="H473" s="125" t="n">
        <v>46262</v>
      </c>
      <c r="I473" s="127" t="n">
        <v>40</v>
      </c>
      <c r="J473" s="124">
        <f>IF(I473="","待估算",IF(F473="已完成","已结束",IF(AND(ISNUMBER(G473),ISNUMBER(H473),G473&lt;='项目驾驶舱'!$B$3,H473&gt;='项目驾驶舱'!$B$3),"进行中","计划中")))</f>
        <v/>
      </c>
      <c r="K473" s="124">
        <f>IF(J473="待估算","补充投入工时",IF(AND(H473&lt;'项目驾驶舱'!$B$3,F473&lt;&gt;"已完成"),"确认延期和后续安排","按计划跟踪"))</f>
        <v/>
      </c>
      <c r="L473" s="127" t="n"/>
    </row>
    <row r="474">
      <c r="C474" s="124" t="inlineStr">
        <is>
          <t>T039</t>
        </is>
      </c>
      <c r="D474" s="124" t="inlineStr">
        <is>
          <t>修改卸车流程</t>
        </is>
      </c>
      <c r="E474" s="124" t="inlineStr">
        <is>
          <t>第一批次</t>
        </is>
      </c>
      <c r="F474" s="124">
        <f>IF(OR(M42="挂起",M42="暂停",Q42="挂起",Q42="暂停",U42="挂起",U42="暂停",Y42="挂起",Y42="暂停"),"暂停","已完成")</f>
        <v/>
      </c>
      <c r="G474" s="125" t="n">
        <v>46230</v>
      </c>
      <c r="H474" s="125" t="n">
        <v>46262</v>
      </c>
      <c r="I474" s="127" t="n">
        <v>40</v>
      </c>
      <c r="J474" s="124">
        <f>IF(I474="","待估算",IF(F474="已完成","已结束",IF(AND(ISNUMBER(G474),ISNUMBER(H474),G474&lt;='项目驾驶舱'!$B$3,H474&gt;='项目驾驶舱'!$B$3),"进行中","计划中")))</f>
        <v/>
      </c>
      <c r="K474" s="124">
        <f>IF(J474="待估算","补充投入工时",IF(AND(H474&lt;'项目驾驶舱'!$B$3,F474&lt;&gt;"已完成"),"确认延期和后续安排","按计划跟踪"))</f>
        <v/>
      </c>
      <c r="L474" s="127" t="n"/>
    </row>
    <row r="475">
      <c r="C475" s="124" t="inlineStr">
        <is>
          <t>T040</t>
        </is>
      </c>
      <c r="D475" s="124" t="inlineStr">
        <is>
          <t>创建装船流程</t>
        </is>
      </c>
      <c r="E475" s="124" t="inlineStr">
        <is>
          <t>第一批次</t>
        </is>
      </c>
      <c r="F475" s="124">
        <f>IF(OR(M43="挂起",M43="暂停",Q43="挂起",Q43="暂停",U43="挂起",U43="暂停",Y43="挂起",Y43="暂停"),"暂停","已完成")</f>
        <v/>
      </c>
      <c r="G475" s="125" t="n">
        <v>46230</v>
      </c>
      <c r="H475" s="125" t="n">
        <v>46262</v>
      </c>
      <c r="I475" s="127" t="n">
        <v>40</v>
      </c>
      <c r="J475" s="124">
        <f>IF(I475="","待估算",IF(F475="已完成","已结束",IF(AND(ISNUMBER(G475),ISNUMBER(H475),G475&lt;='项目驾驶舱'!$B$3,H475&gt;='项目驾驶舱'!$B$3),"进行中","计划中")))</f>
        <v/>
      </c>
      <c r="K475" s="124">
        <f>IF(J475="待估算","补充投入工时",IF(AND(H475&lt;'项目驾驶舱'!$B$3,F475&lt;&gt;"已完成"),"确认延期和后续安排","按计划跟踪"))</f>
        <v/>
      </c>
      <c r="L475" s="127" t="n"/>
    </row>
    <row r="476">
      <c r="C476" s="124" t="inlineStr">
        <is>
          <t>T041</t>
        </is>
      </c>
      <c r="D476" s="124" t="inlineStr">
        <is>
          <t>查询装船流程</t>
        </is>
      </c>
      <c r="E476" s="124" t="inlineStr">
        <is>
          <t>第一批次</t>
        </is>
      </c>
      <c r="F476" s="124">
        <f>IF(OR(M44="挂起",M44="暂停",Q44="挂起",Q44="暂停",U44="挂起",U44="暂停",Y44="挂起",Y44="暂停"),"暂停","已完成")</f>
        <v/>
      </c>
      <c r="G476" s="125" t="n">
        <v>46230</v>
      </c>
      <c r="H476" s="125" t="n">
        <v>46262</v>
      </c>
      <c r="I476" s="127" t="n">
        <v>40</v>
      </c>
      <c r="J476" s="124">
        <f>IF(I476="","待估算",IF(F476="已完成","已结束",IF(AND(ISNUMBER(G476),ISNUMBER(H476),G476&lt;='项目驾驶舱'!$B$3,H476&gt;='项目驾驶舱'!$B$3),"进行中","计划中")))</f>
        <v/>
      </c>
      <c r="K476" s="124">
        <f>IF(J476="待估算","补充投入工时",IF(AND(H476&lt;'项目驾驶舱'!$B$3,F476&lt;&gt;"已完成"),"确认延期和后续安排","按计划跟踪"))</f>
        <v/>
      </c>
      <c r="L476" s="127" t="n"/>
    </row>
    <row r="477">
      <c r="C477" s="124" t="inlineStr">
        <is>
          <t>T042</t>
        </is>
      </c>
      <c r="D477" s="124" t="inlineStr">
        <is>
          <t>修改装船流程</t>
        </is>
      </c>
      <c r="E477" s="124" t="inlineStr">
        <is>
          <t>第一批次</t>
        </is>
      </c>
      <c r="F477" s="124">
        <f>IF(OR(M45="挂起",M45="暂停",Q45="挂起",Q45="暂停",U45="挂起",U45="暂停",Y45="挂起",Y45="暂停"),"暂停","已完成")</f>
        <v/>
      </c>
      <c r="G477" s="125" t="n">
        <v>46230</v>
      </c>
      <c r="H477" s="125" t="n">
        <v>46262</v>
      </c>
      <c r="I477" s="127" t="n">
        <v>40</v>
      </c>
      <c r="J477" s="124">
        <f>IF(I477="","待估算",IF(F477="已完成","已结束",IF(AND(ISNUMBER(G477),ISNUMBER(H477),G477&lt;='项目驾驶舱'!$B$3,H477&gt;='项目驾驶舱'!$B$3),"进行中","计划中")))</f>
        <v/>
      </c>
      <c r="K477" s="124">
        <f>IF(J477="待估算","补充投入工时",IF(AND(H477&lt;'项目驾驶舱'!$B$3,F477&lt;&gt;"已完成"),"确认延期和后续安排","按计划跟踪"))</f>
        <v/>
      </c>
      <c r="L477" s="127" t="n"/>
    </row>
    <row r="478">
      <c r="C478" s="124" t="inlineStr">
        <is>
          <t>T043</t>
        </is>
      </c>
      <c r="D478" s="124" t="inlineStr">
        <is>
          <t>创建卸船流程</t>
        </is>
      </c>
      <c r="E478" s="124" t="inlineStr">
        <is>
          <t>第二批次</t>
        </is>
      </c>
      <c r="F478" s="124">
        <f>IF(OR(M46="挂起",M46="暂停",Q46="挂起",Q46="暂停",U46="挂起",U46="暂停",Y46="挂起",Y46="暂停"),"暂停","已完成")</f>
        <v/>
      </c>
      <c r="G478" s="125" t="n">
        <v>46230</v>
      </c>
      <c r="H478" s="125" t="n">
        <v>46262</v>
      </c>
      <c r="I478" s="127" t="n">
        <v>40</v>
      </c>
      <c r="J478" s="124">
        <f>IF(I478="","待估算",IF(F478="已完成","已结束",IF(AND(ISNUMBER(G478),ISNUMBER(H478),G478&lt;='项目驾驶舱'!$B$3,H478&gt;='项目驾驶舱'!$B$3),"进行中","计划中")))</f>
        <v/>
      </c>
      <c r="K478" s="124">
        <f>IF(J478="待估算","补充投入工时",IF(AND(H478&lt;'项目驾驶舱'!$B$3,F478&lt;&gt;"已完成"),"确认延期和后续安排","按计划跟踪"))</f>
        <v/>
      </c>
      <c r="L478" s="127" t="n"/>
    </row>
    <row r="479">
      <c r="C479" s="124" t="inlineStr">
        <is>
          <t>T044</t>
        </is>
      </c>
      <c r="D479" s="124" t="inlineStr">
        <is>
          <t>查询卸船流程</t>
        </is>
      </c>
      <c r="E479" s="124" t="inlineStr">
        <is>
          <t>第二批次</t>
        </is>
      </c>
      <c r="F479" s="124">
        <f>IF(OR(M47="挂起",M47="暂停",Q47="挂起",Q47="暂停",U47="挂起",U47="暂停",Y47="挂起",Y47="暂停"),"暂停","已完成")</f>
        <v/>
      </c>
      <c r="G479" s="125" t="n">
        <v>46230</v>
      </c>
      <c r="H479" s="125" t="n">
        <v>46262</v>
      </c>
      <c r="I479" s="127" t="n">
        <v>40</v>
      </c>
      <c r="J479" s="124">
        <f>IF(I479="","待估算",IF(F479="已完成","已结束",IF(AND(ISNUMBER(G479),ISNUMBER(H479),G479&lt;='项目驾驶舱'!$B$3,H479&gt;='项目驾驶舱'!$B$3),"进行中","计划中")))</f>
        <v/>
      </c>
      <c r="K479" s="124">
        <f>IF(J479="待估算","补充投入工时",IF(AND(H479&lt;'项目驾驶舱'!$B$3,F479&lt;&gt;"已完成"),"确认延期和后续安排","按计划跟踪"))</f>
        <v/>
      </c>
      <c r="L479" s="127" t="n"/>
    </row>
    <row r="480">
      <c r="C480" s="124" t="inlineStr">
        <is>
          <t>T045</t>
        </is>
      </c>
      <c r="D480" s="124" t="inlineStr">
        <is>
          <t>修改卸船流程</t>
        </is>
      </c>
      <c r="E480" s="124" t="inlineStr">
        <is>
          <t>第二批次</t>
        </is>
      </c>
      <c r="F480" s="124">
        <f>IF(OR(M48="挂起",M48="暂停",Q48="挂起",Q48="暂停",U48="挂起",U48="暂停",Y48="挂起",Y48="暂停"),"暂停","已完成")</f>
        <v/>
      </c>
      <c r="G480" s="125" t="n">
        <v>46230</v>
      </c>
      <c r="H480" s="125" t="n">
        <v>46262</v>
      </c>
      <c r="I480" s="127" t="n">
        <v>40</v>
      </c>
      <c r="J480" s="124">
        <f>IF(I480="","待估算",IF(F480="已完成","已结束",IF(AND(ISNUMBER(G480),ISNUMBER(H480),G480&lt;='项目驾驶舱'!$B$3,H480&gt;='项目驾驶舱'!$B$3),"进行中","计划中")))</f>
        <v/>
      </c>
      <c r="K480" s="124">
        <f>IF(J480="待估算","补充投入工时",IF(AND(H480&lt;'项目驾驶舱'!$B$3,F480&lt;&gt;"已完成"),"确认延期和后续安排","按计划跟踪"))</f>
        <v/>
      </c>
      <c r="L480" s="127" t="n"/>
    </row>
    <row r="481">
      <c r="C481" s="124" t="inlineStr">
        <is>
          <t>T059</t>
        </is>
      </c>
      <c r="D481" s="124" t="inlineStr">
        <is>
          <t>优化新增装车作业信息</t>
        </is>
      </c>
      <c r="E481" s="124" t="inlineStr">
        <is>
          <t>第一批次</t>
        </is>
      </c>
      <c r="F481" s="124">
        <f>IF(OR(M62="挂起",M62="暂停",Q62="挂起",Q62="暂停",U62="挂起",U62="暂停",Y62="挂起",Y62="暂停"),"暂停","已完成")</f>
        <v/>
      </c>
      <c r="G481" s="125" t="n">
        <v>46230</v>
      </c>
      <c r="H481" s="125" t="n">
        <v>46241</v>
      </c>
      <c r="I481" s="127" t="n">
        <v>40</v>
      </c>
      <c r="J481" s="124">
        <f>IF(I481="","待估算",IF(F481="已完成","已结束",IF(AND(ISNUMBER(G481),ISNUMBER(H481),G481&lt;='项目驾驶舱'!$B$3,H481&gt;='项目驾驶舱'!$B$3),"进行中","计划中")))</f>
        <v/>
      </c>
      <c r="K481" s="124">
        <f>IF(J481="待估算","补充投入工时",IF(AND(H481&lt;'项目驾驶舱'!$B$3,F481&lt;&gt;"已完成"),"确认延期和后续安排","按计划跟踪"))</f>
        <v/>
      </c>
      <c r="L481" s="127" t="n"/>
    </row>
    <row r="482">
      <c r="C482" s="124" t="inlineStr">
        <is>
          <t>T104</t>
        </is>
      </c>
      <c r="D482" s="124" t="inlineStr">
        <is>
          <t>吞吐量统计（曹妃甸）</t>
        </is>
      </c>
      <c r="E482" s="124" t="inlineStr">
        <is>
          <t>第一批次</t>
        </is>
      </c>
      <c r="F482" s="124">
        <f>IF(OR(M107="挂起",M107="暂停",Q107="挂起",Q107="暂停",U107="挂起",U107="暂停",Y107="挂起",Y107="暂停"),"暂停","已完成")</f>
        <v/>
      </c>
      <c r="G482" s="125" t="n">
        <v>46230</v>
      </c>
      <c r="H482" s="125" t="n">
        <v>46262</v>
      </c>
      <c r="I482" s="127" t="n">
        <v>40</v>
      </c>
      <c r="J482" s="124">
        <f>IF(I482="","待估算",IF(F482="已完成","已结束",IF(AND(ISNUMBER(G482),ISNUMBER(H482),G482&lt;='项目驾驶舱'!$B$3,H482&gt;='项目驾驶舱'!$B$3),"进行中","计划中")))</f>
        <v/>
      </c>
      <c r="K482" s="124">
        <f>IF(J482="待估算","补充投入工时",IF(AND(H482&lt;'项目驾驶舱'!$B$3,F482&lt;&gt;"已完成"),"确认延期和后续安排","按计划跟踪"))</f>
        <v/>
      </c>
      <c r="L482" s="127" t="n"/>
    </row>
    <row r="483">
      <c r="A483" s="22" t="n"/>
      <c r="B483" s="22" t="n"/>
      <c r="C483" s="124" t="inlineStr">
        <is>
          <t>T105</t>
        </is>
      </c>
      <c r="D483" s="124" t="inlineStr">
        <is>
          <t>泊位占用率分析（曹妃甸）</t>
        </is>
      </c>
      <c r="E483" s="124" t="inlineStr">
        <is>
          <t>第一批次</t>
        </is>
      </c>
      <c r="F483" s="124">
        <f>IF(OR(M108="挂起",M108="暂停",Q108="挂起",Q108="暂停",U108="挂起",U108="暂停",Y108="挂起",Y108="暂停"),"暂停","已完成")</f>
        <v/>
      </c>
      <c r="G483" s="125" t="n">
        <v>46230</v>
      </c>
      <c r="H483" s="125" t="n">
        <v>46262</v>
      </c>
      <c r="I483" s="127" t="n">
        <v>40</v>
      </c>
      <c r="J483" s="124">
        <f>IF(I483="","待估算",IF(F483="已完成","已结束",IF(AND(ISNUMBER(G483),ISNUMBER(H483),G483&lt;='项目驾驶舱'!$B$3,H483&gt;='项目驾驶舱'!$B$3),"进行中","计划中")))</f>
        <v/>
      </c>
      <c r="K483" s="124">
        <f>IF(J483="待估算","补充投入工时",IF(AND(H483&lt;'项目驾驶舱'!$B$3,F483&lt;&gt;"已完成"),"确认延期和后续安排","按计划跟踪"))</f>
        <v/>
      </c>
      <c r="L483" s="127" t="n"/>
    </row>
    <row r="484">
      <c r="A484" s="133" t="inlineStr">
        <is>
          <t>贺航</t>
        </is>
      </c>
      <c r="B484" s="133" t="inlineStr">
        <is>
          <t>前端</t>
        </is>
      </c>
      <c r="C484" s="124" t="inlineStr">
        <is>
          <t>T106</t>
        </is>
      </c>
      <c r="D484" s="124" t="inlineStr">
        <is>
          <t>堆存库存统计（曹妃甸）</t>
        </is>
      </c>
      <c r="E484" s="124" t="inlineStr">
        <is>
          <t>第一批次</t>
        </is>
      </c>
      <c r="F484" s="124">
        <f>IF(OR(M109="挂起",M109="暂停",Q109="挂起",Q109="暂停",U109="挂起",U109="暂停",Y109="挂起",Y109="暂停"),"暂停","已完成")</f>
        <v/>
      </c>
      <c r="G484" s="125" t="n">
        <v>46230</v>
      </c>
      <c r="H484" s="125" t="n">
        <v>46262</v>
      </c>
      <c r="I484" s="127" t="n">
        <v>40</v>
      </c>
      <c r="J484" s="124">
        <f>IF(I484="","待估算",IF(F484="已完成","已结束",IF(AND(ISNUMBER(G484),ISNUMBER(H484),G484&lt;='项目驾驶舱'!$B$3,H484&gt;='项目驾驶舱'!$B$3),"进行中","计划中")))</f>
        <v/>
      </c>
      <c r="K484" s="124">
        <f>IF(J484="待估算","补充投入工时",IF(AND(H484&lt;'项目驾驶舱'!$B$3,F484&lt;&gt;"已完成"),"确认延期和后续安排","按计划跟踪"))</f>
        <v/>
      </c>
      <c r="L484" s="127" t="n"/>
    </row>
    <row r="485">
      <c r="C485" s="124" t="inlineStr">
        <is>
          <t>T107</t>
        </is>
      </c>
      <c r="D485" s="124" t="inlineStr">
        <is>
          <t>分货主实时统计表（曹妃甸）</t>
        </is>
      </c>
      <c r="E485" s="124" t="inlineStr">
        <is>
          <t>第一批次</t>
        </is>
      </c>
      <c r="F485" s="124">
        <f>IF(OR(M110="挂起",M110="暂停",Q110="挂起",Q110="暂停",U110="挂起",U110="暂停",Y110="挂起",Y110="暂停"),"暂停","已完成")</f>
        <v/>
      </c>
      <c r="G485" s="125" t="n">
        <v>46230</v>
      </c>
      <c r="H485" s="125" t="n">
        <v>46262</v>
      </c>
      <c r="I485" s="127" t="n">
        <v>40</v>
      </c>
      <c r="J485" s="124">
        <f>IF(I485="","待估算",IF(F485="已完成","已结束",IF(AND(ISNUMBER(G485),ISNUMBER(H485),G485&lt;='项目驾驶舱'!$B$3,H485&gt;='项目驾驶舱'!$B$3),"进行中","计划中")))</f>
        <v/>
      </c>
      <c r="K485" s="124">
        <f>IF(J485="待估算","补充投入工时",IF(AND(H485&lt;'项目驾驶舱'!$B$3,F485&lt;&gt;"已完成"),"确认延期和后续安排","按计划跟踪"))</f>
        <v/>
      </c>
      <c r="L485" s="127" t="n"/>
    </row>
    <row r="486">
      <c r="C486" s="124" t="inlineStr">
        <is>
          <t>T108</t>
        </is>
      </c>
      <c r="D486" s="124" t="inlineStr">
        <is>
          <t>综合装船效率分析（曹妃甸）</t>
        </is>
      </c>
      <c r="E486" s="124" t="inlineStr">
        <is>
          <t>第一批次</t>
        </is>
      </c>
      <c r="F486" s="124">
        <f>IF(OR(M111="挂起",M111="暂停",Q111="挂起",Q111="暂停",U111="挂起",U111="暂停",Y111="挂起",Y111="暂停"),"暂停","已完成")</f>
        <v/>
      </c>
      <c r="G486" s="125" t="n">
        <v>46230</v>
      </c>
      <c r="H486" s="125" t="n">
        <v>46262</v>
      </c>
      <c r="I486" s="127" t="n">
        <v>40</v>
      </c>
      <c r="J486" s="124">
        <f>IF(I486="","待估算",IF(F486="已完成","已结束",IF(AND(ISNUMBER(G486),ISNUMBER(H486),G486&lt;='项目驾驶舱'!$B$3,H486&gt;='项目驾驶舱'!$B$3),"进行中","计划中")))</f>
        <v/>
      </c>
      <c r="K486" s="124">
        <f>IF(J486="待估算","补充投入工时",IF(AND(H486&lt;'项目驾驶舱'!$B$3,F486&lt;&gt;"已完成"),"确认延期和后续安排","按计划跟踪"))</f>
        <v/>
      </c>
      <c r="L486" s="127" t="n"/>
    </row>
    <row r="487">
      <c r="C487" s="124" t="inlineStr">
        <is>
          <t>T109</t>
        </is>
      </c>
      <c r="D487" s="124" t="inlineStr">
        <is>
          <t>综合卸车效率分析（曹妃甸）</t>
        </is>
      </c>
      <c r="E487" s="124" t="inlineStr">
        <is>
          <t>第一批次</t>
        </is>
      </c>
      <c r="F487" s="124">
        <f>IF(OR(M112="挂起",M112="暂停",Q112="挂起",Q112="暂停",U112="挂起",U112="暂停",Y112="挂起",Y112="暂停"),"暂停","已完成")</f>
        <v/>
      </c>
      <c r="G487" s="125" t="n">
        <v>46230</v>
      </c>
      <c r="H487" s="125" t="n">
        <v>46262</v>
      </c>
      <c r="I487" s="127" t="n">
        <v>40</v>
      </c>
      <c r="J487" s="124">
        <f>IF(I487="","待估算",IF(F487="已完成","已结束",IF(AND(ISNUMBER(G487),ISNUMBER(H487),G487&lt;='项目驾驶舱'!$B$3,H487&gt;='项目驾驶舱'!$B$3),"进行中","计划中")))</f>
        <v/>
      </c>
      <c r="K487" s="124">
        <f>IF(J487="待估算","补充投入工时",IF(AND(H487&lt;'项目驾驶舱'!$B$3,F487&lt;&gt;"已完成"),"确认延期和后续安排","按计划跟踪"))</f>
        <v/>
      </c>
      <c r="L487" s="127" t="n"/>
    </row>
    <row r="488">
      <c r="C488" s="124" t="inlineStr">
        <is>
          <t>T110</t>
        </is>
      </c>
      <c r="D488" s="124" t="inlineStr">
        <is>
          <t>综合卸船效率分析（曹妃甸）</t>
        </is>
      </c>
      <c r="E488" s="124" t="inlineStr">
        <is>
          <t>第二批次</t>
        </is>
      </c>
      <c r="F488" s="124">
        <f>IF(OR(M113="挂起",M113="暂停",Q113="挂起",Q113="暂停",U113="挂起",U113="暂停",Y113="挂起",Y113="暂停"),"暂停","已完成")</f>
        <v/>
      </c>
      <c r="G488" s="125" t="n">
        <v>46230</v>
      </c>
      <c r="H488" s="125" t="n">
        <v>46262</v>
      </c>
      <c r="I488" s="127" t="n">
        <v>40</v>
      </c>
      <c r="J488" s="124">
        <f>IF(I488="","待估算",IF(F488="已完成","已结束",IF(AND(ISNUMBER(G488),ISNUMBER(H488),G488&lt;='项目驾驶舱'!$B$3,H488&gt;='项目驾驶舱'!$B$3),"进行中","计划中")))</f>
        <v/>
      </c>
      <c r="K488" s="124">
        <f>IF(J488="待估算","补充投入工时",IF(AND(H488&lt;'项目驾驶舱'!$B$3,F488&lt;&gt;"已完成"),"确认延期和后续安排","按计划跟踪"))</f>
        <v/>
      </c>
      <c r="L488" s="127" t="n"/>
    </row>
    <row r="489">
      <c r="C489" s="124" t="inlineStr">
        <is>
          <t>T117</t>
        </is>
      </c>
      <c r="D489" s="124" t="inlineStr">
        <is>
          <t>经营任务情况分析报告</t>
        </is>
      </c>
      <c r="E489" s="124" t="inlineStr">
        <is>
          <t>第一批次</t>
        </is>
      </c>
      <c r="F489" s="124">
        <f>IF(OR(M120="挂起",M120="暂停",Q120="挂起",Q120="暂停",U120="挂起",U120="暂停",Y120="挂起",Y120="暂停"),"暂停","已完成")</f>
        <v/>
      </c>
      <c r="G489" s="125" t="n">
        <v>46230</v>
      </c>
      <c r="H489" s="125" t="n">
        <v>46262</v>
      </c>
      <c r="I489" s="127" t="n">
        <v>40</v>
      </c>
      <c r="J489" s="124">
        <f>IF(I489="","待估算",IF(F489="已完成","已结束",IF(AND(ISNUMBER(G489),ISNUMBER(H489),G489&lt;='项目驾驶舱'!$B$3,H489&gt;='项目驾驶舱'!$B$3),"进行中","计划中")))</f>
        <v/>
      </c>
      <c r="K489" s="124">
        <f>IF(J489="待估算","补充投入工时",IF(AND(H489&lt;'项目驾驶舱'!$B$3,F489&lt;&gt;"已完成"),"确认延期和后续安排","按计划跟踪"))</f>
        <v/>
      </c>
      <c r="L489" s="127" t="n"/>
    </row>
    <row r="490">
      <c r="C490" s="124" t="inlineStr">
        <is>
          <t>T118</t>
        </is>
      </c>
      <c r="D490" s="124" t="inlineStr">
        <is>
          <t>客户月报报告</t>
        </is>
      </c>
      <c r="E490" s="124" t="inlineStr">
        <is>
          <t>第一批次</t>
        </is>
      </c>
      <c r="F490" s="124">
        <f>IF(OR(M121="挂起",M121="暂停",Q121="挂起",Q121="暂停",U121="挂起",U121="暂停",Y121="挂起",Y121="暂停"),"暂停","已完成")</f>
        <v/>
      </c>
      <c r="G490" s="125" t="n">
        <v>46230</v>
      </c>
      <c r="H490" s="125" t="n">
        <v>46262</v>
      </c>
      <c r="I490" s="127" t="n">
        <v>40</v>
      </c>
      <c r="J490" s="124">
        <f>IF(I490="","待估算",IF(F490="已完成","已结束",IF(AND(ISNUMBER(G490),ISNUMBER(H490),G490&lt;='项目驾驶舱'!$B$3,H490&gt;='项目驾驶舱'!$B$3),"进行中","计划中")))</f>
        <v/>
      </c>
      <c r="K490" s="124">
        <f>IF(J490="待估算","补充投入工时",IF(AND(H490&lt;'项目驾驶舱'!$B$3,F490&lt;&gt;"已完成"),"确认延期和后续安排","按计划跟踪"))</f>
        <v/>
      </c>
      <c r="L490" s="127" t="n"/>
    </row>
    <row r="491">
      <c r="C491" s="124" t="inlineStr">
        <is>
          <t>T119</t>
        </is>
      </c>
      <c r="D491" s="124" t="inlineStr">
        <is>
          <t>月度客户情况报告</t>
        </is>
      </c>
      <c r="E491" s="124" t="inlineStr">
        <is>
          <t>第一批次</t>
        </is>
      </c>
      <c r="F491" s="124">
        <f>IF(OR(M122="挂起",M122="暂停",Q122="挂起",Q122="暂停",U122="挂起",U122="暂停",Y122="挂起",Y122="暂停"),"暂停","已完成")</f>
        <v/>
      </c>
      <c r="G491" s="125" t="n">
        <v>46230</v>
      </c>
      <c r="H491" s="125" t="n">
        <v>46262</v>
      </c>
      <c r="I491" s="127" t="n">
        <v>40</v>
      </c>
      <c r="J491" s="124">
        <f>IF(I491="","待估算",IF(F491="已完成","已结束",IF(AND(ISNUMBER(G491),ISNUMBER(H491),G491&lt;='项目驾驶舱'!$B$3,H491&gt;='项目驾驶舱'!$B$3),"进行中","计划中")))</f>
        <v/>
      </c>
      <c r="K491" s="124">
        <f>IF(J491="待估算","补充投入工时",IF(AND(H491&lt;'项目驾驶舱'!$B$3,F491&lt;&gt;"已完成"),"确认延期和后续安排","按计划跟踪"))</f>
        <v/>
      </c>
      <c r="L491" s="127" t="n"/>
    </row>
    <row r="492">
      <c r="C492" s="124" t="inlineStr">
        <is>
          <t>T120</t>
        </is>
      </c>
      <c r="D492" s="124" t="inlineStr">
        <is>
          <t>商务计划周报</t>
        </is>
      </c>
      <c r="E492" s="124" t="inlineStr">
        <is>
          <t>第一批次</t>
        </is>
      </c>
      <c r="F492" s="124">
        <f>IF(OR(M123="挂起",M123="暂停",Q123="挂起",Q123="暂停",U123="挂起",U123="暂停",Y123="挂起",Y123="暂停"),"暂停","已完成")</f>
        <v/>
      </c>
      <c r="G492" s="125" t="n">
        <v>46230</v>
      </c>
      <c r="H492" s="125" t="n">
        <v>46262</v>
      </c>
      <c r="I492" s="127" t="n">
        <v>40</v>
      </c>
      <c r="J492" s="124">
        <f>IF(I492="","待估算",IF(F492="已完成","已结束",IF(AND(ISNUMBER(G492),ISNUMBER(H492),G492&lt;='项目驾驶舱'!$B$3,H492&gt;='项目驾驶舱'!$B$3),"进行中","计划中")))</f>
        <v/>
      </c>
      <c r="K492" s="124">
        <f>IF(J492="待估算","补充投入工时",IF(AND(H492&lt;'项目驾驶舱'!$B$3,F492&lt;&gt;"已完成"),"确认延期和后续安排","按计划跟踪"))</f>
        <v/>
      </c>
      <c r="L492" s="127" t="n"/>
    </row>
    <row r="493">
      <c r="C493" s="124" t="inlineStr">
        <is>
          <t>T138</t>
        </is>
      </c>
      <c r="D493" s="124" t="inlineStr">
        <is>
          <t>查询卸车流程</t>
        </is>
      </c>
      <c r="E493" s="124" t="inlineStr">
        <is>
          <t>第二批次</t>
        </is>
      </c>
      <c r="F493" s="124">
        <f>IF(OR(M141="挂起",M141="暂停",Q141="挂起",Q141="暂停",U141="挂起",U141="暂停",Y141="挂起",Y141="暂停"),"暂停","已完成")</f>
        <v/>
      </c>
      <c r="G493" s="125" t="n">
        <v>46230</v>
      </c>
      <c r="H493" s="125" t="n">
        <v>46262</v>
      </c>
      <c r="I493" s="127" t="n">
        <v>40</v>
      </c>
      <c r="J493" s="124">
        <f>IF(I493="","待估算",IF(F493="已完成","已结束",IF(AND(ISNUMBER(G493),ISNUMBER(H493),G493&lt;='项目驾驶舱'!$B$3,H493&gt;='项目驾驶舱'!$B$3),"进行中","计划中")))</f>
        <v/>
      </c>
      <c r="K493" s="124">
        <f>IF(J493="待估算","补充投入工时",IF(AND(H493&lt;'项目驾驶舱'!$B$3,F493&lt;&gt;"已完成"),"确认延期和后续安排","按计划跟踪"))</f>
        <v/>
      </c>
      <c r="L493" s="127" t="n"/>
    </row>
    <row r="494">
      <c r="C494" s="124" t="inlineStr">
        <is>
          <t>T139</t>
        </is>
      </c>
      <c r="D494" s="124" t="inlineStr">
        <is>
          <t>查询装船流程</t>
        </is>
      </c>
      <c r="E494" s="124" t="inlineStr">
        <is>
          <t>第二批次</t>
        </is>
      </c>
      <c r="F494" s="124">
        <f>IF(OR(M142="挂起",M142="暂停",Q142="挂起",Q142="暂停",U142="挂起",U142="暂停",Y142="挂起",Y142="暂停"),"暂停","已完成")</f>
        <v/>
      </c>
      <c r="G494" s="125" t="n">
        <v>46230</v>
      </c>
      <c r="H494" s="125" t="n">
        <v>46262</v>
      </c>
      <c r="I494" s="127" t="n">
        <v>40</v>
      </c>
      <c r="J494" s="124">
        <f>IF(I494="","待估算",IF(F494="已完成","已结束",IF(AND(ISNUMBER(G494),ISNUMBER(H494),G494&lt;='项目驾驶舱'!$B$3,H494&gt;='项目驾驶舱'!$B$3),"进行中","计划中")))</f>
        <v/>
      </c>
      <c r="K494" s="124">
        <f>IF(J494="待估算","补充投入工时",IF(AND(H494&lt;'项目驾驶舱'!$B$3,F494&lt;&gt;"已完成"),"确认延期和后续安排","按计划跟踪"))</f>
        <v/>
      </c>
      <c r="L494" s="127" t="n"/>
    </row>
    <row r="495">
      <c r="A495" s="22" t="n"/>
      <c r="B495" s="22" t="n"/>
      <c r="C495" s="124" t="inlineStr">
        <is>
          <t>T140</t>
        </is>
      </c>
      <c r="D495" s="124" t="inlineStr">
        <is>
          <t>查询卸船流程</t>
        </is>
      </c>
      <c r="E495" s="124" t="inlineStr">
        <is>
          <t>第二批次</t>
        </is>
      </c>
      <c r="F495" s="124">
        <f>IF(OR(M143="挂起",M143="暂停",Q143="挂起",Q143="暂停",U143="挂起",U143="暂停",Y143="挂起",Y143="暂停"),"暂停","已完成")</f>
        <v/>
      </c>
      <c r="G495" s="125" t="n">
        <v>46230</v>
      </c>
      <c r="H495" s="125" t="n">
        <v>46262</v>
      </c>
      <c r="I495" s="127" t="n">
        <v>40</v>
      </c>
      <c r="J495" s="124">
        <f>IF(I495="","待估算",IF(F495="已完成","已结束",IF(AND(ISNUMBER(G495),ISNUMBER(H495),G495&lt;='项目驾驶舱'!$B$3,H495&gt;='项目驾驶舱'!$B$3),"进行中","计划中")))</f>
        <v/>
      </c>
      <c r="K495" s="124">
        <f>IF(J495="待估算","补充投入工时",IF(AND(H495&lt;'项目驾驶舱'!$B$3,F495&lt;&gt;"已完成"),"确认延期和后续安排","按计划跟踪"))</f>
        <v/>
      </c>
      <c r="L495" s="127" t="n"/>
    </row>
    <row r="496">
      <c r="A496" s="133" t="inlineStr">
        <is>
          <t>贺航</t>
        </is>
      </c>
      <c r="B496" s="133" t="inlineStr">
        <is>
          <t>前端</t>
        </is>
      </c>
      <c r="C496" s="124" t="inlineStr">
        <is>
          <t>T143</t>
        </is>
      </c>
      <c r="D496" s="124" t="inlineStr">
        <is>
          <t>图片上传</t>
        </is>
      </c>
      <c r="E496" s="124" t="inlineStr">
        <is>
          <t>第一批次</t>
        </is>
      </c>
      <c r="F496" s="124">
        <f>IF(OR(M146="挂起",M146="暂停",Q146="挂起",Q146="暂停",U146="挂起",U146="暂停",Y146="挂起",Y146="暂停"),"暂停","已完成")</f>
        <v/>
      </c>
      <c r="G496" s="125" t="n">
        <v>46237</v>
      </c>
      <c r="H496" s="125" t="n">
        <v>46252</v>
      </c>
      <c r="I496" s="127" t="n">
        <v>40</v>
      </c>
      <c r="J496" s="124">
        <f>IF(I496="","待估算",IF(F496="已完成","已结束",IF(AND(ISNUMBER(G496),ISNUMBER(H496),G496&lt;='项目驾驶舱'!$B$3,H496&gt;='项目驾驶舱'!$B$3),"进行中","计划中")))</f>
        <v/>
      </c>
      <c r="K496" s="124">
        <f>IF(J496="待估算","补充投入工时",IF(AND(H496&lt;'项目驾驶舱'!$B$3,F496&lt;&gt;"已完成"),"确认延期和后续安排","按计划跟踪"))</f>
        <v/>
      </c>
      <c r="L496" s="127" t="n"/>
    </row>
    <row r="497">
      <c r="C497" s="124" t="inlineStr">
        <is>
          <t>T144</t>
        </is>
      </c>
      <c r="D497" s="124" t="inlineStr">
        <is>
          <t>图片上传</t>
        </is>
      </c>
      <c r="E497" s="124" t="inlineStr">
        <is>
          <t>第一批次</t>
        </is>
      </c>
      <c r="F497" s="124">
        <f>IF(OR(M147="挂起",M147="暂停",Q147="挂起",Q147="暂停",U147="挂起",U147="暂停",Y147="挂起",Y147="暂停"),"暂停","已完成")</f>
        <v/>
      </c>
      <c r="G497" s="125" t="n">
        <v>46237</v>
      </c>
      <c r="H497" s="125" t="n">
        <v>46252</v>
      </c>
      <c r="I497" s="127" t="n">
        <v>40</v>
      </c>
      <c r="J497" s="124">
        <f>IF(I497="","待估算",IF(F497="已完成","已结束",IF(AND(ISNUMBER(G497),ISNUMBER(H497),G497&lt;='项目驾驶舱'!$B$3,H497&gt;='项目驾驶舱'!$B$3),"进行中","计划中")))</f>
        <v/>
      </c>
      <c r="K497" s="124">
        <f>IF(J497="待估算","补充投入工时",IF(AND(H497&lt;'项目驾驶舱'!$B$3,F497&lt;&gt;"已完成"),"确认延期和后续安排","按计划跟踪"))</f>
        <v/>
      </c>
      <c r="L497" s="127" t="n"/>
    </row>
    <row r="498">
      <c r="C498" s="124" t="inlineStr">
        <is>
          <t>T145</t>
        </is>
      </c>
      <c r="D498" s="124" t="inlineStr">
        <is>
          <t>图片上传</t>
        </is>
      </c>
      <c r="E498" s="124" t="inlineStr">
        <is>
          <t>第二批次</t>
        </is>
      </c>
      <c r="F498" s="124">
        <f>IF(OR(M148="挂起",M148="暂停",Q148="挂起",Q148="暂停",U148="挂起",U148="暂停",Y148="挂起",Y148="暂停"),"暂停","已完成")</f>
        <v/>
      </c>
      <c r="G498" s="125" t="n">
        <v>46237</v>
      </c>
      <c r="H498" s="125" t="n">
        <v>46252</v>
      </c>
      <c r="I498" s="127" t="n">
        <v>40</v>
      </c>
      <c r="J498" s="124">
        <f>IF(I498="","待估算",IF(F498="已完成","已结束",IF(AND(ISNUMBER(G498),ISNUMBER(H498),G498&lt;='项目驾驶舱'!$B$3,H498&gt;='项目驾驶舱'!$B$3),"进行中","计划中")))</f>
        <v/>
      </c>
      <c r="K498" s="124">
        <f>IF(J498="待估算","补充投入工时",IF(AND(H498&lt;'项目驾驶舱'!$B$3,F498&lt;&gt;"已完成"),"确认延期和后续安排","按计划跟踪"))</f>
        <v/>
      </c>
      <c r="L498" s="127" t="n"/>
    </row>
    <row r="499">
      <c r="C499" s="124" t="inlineStr">
        <is>
          <t>T121</t>
        </is>
      </c>
      <c r="D499" s="124" t="inlineStr">
        <is>
          <t>船舶供应服务查询</t>
        </is>
      </c>
      <c r="E499" s="124" t="inlineStr">
        <is>
          <t>第二批次</t>
        </is>
      </c>
      <c r="F499" s="124">
        <f>IF(OR(M124="挂起",M124="暂停",Q124="挂起",Q124="暂停",U124="挂起",U124="暂停",Y124="挂起",Y124="暂停"),"暂停","已完成")</f>
        <v/>
      </c>
      <c r="G499" s="125" t="n">
        <v>46265</v>
      </c>
      <c r="H499" s="125" t="n">
        <v>46269</v>
      </c>
      <c r="I499" s="127" t="n">
        <v>40</v>
      </c>
      <c r="J499" s="124">
        <f>IF(I499="","待估算",IF(F499="已完成","已结束",IF(AND(ISNUMBER(G499),ISNUMBER(H499),G499&lt;='项目驾驶舱'!$B$3,H499&gt;='项目驾驶舱'!$B$3),"进行中","计划中")))</f>
        <v/>
      </c>
      <c r="K499" s="124">
        <f>IF(J499="待估算","补充投入工时",IF(AND(H499&lt;'项目驾驶舱'!$B$3,F499&lt;&gt;"已完成"),"确认延期和后续安排","按计划跟踪"))</f>
        <v/>
      </c>
      <c r="L499" s="127" t="n"/>
    </row>
    <row r="500">
      <c r="C500" s="124" t="inlineStr">
        <is>
          <t>T122</t>
        </is>
      </c>
      <c r="D500" s="124" t="inlineStr">
        <is>
          <t>船舶预到（内贸）查询</t>
        </is>
      </c>
      <c r="E500" s="124" t="inlineStr">
        <is>
          <t>第二批次</t>
        </is>
      </c>
      <c r="F500" s="124">
        <f>IF(OR(M125="挂起",M125="暂停",Q125="挂起",Q125="暂停",U125="挂起",U125="暂停",Y125="挂起",Y125="暂停"),"暂停","已完成")</f>
        <v/>
      </c>
      <c r="G500" s="125" t="n">
        <v>46265</v>
      </c>
      <c r="H500" s="125" t="n">
        <v>46269</v>
      </c>
      <c r="I500" s="127" t="n">
        <v>40</v>
      </c>
      <c r="J500" s="124">
        <f>IF(I500="","待估算",IF(F500="已完成","已结束",IF(AND(ISNUMBER(G500),ISNUMBER(H500),G500&lt;='项目驾驶舱'!$B$3,H500&gt;='项目驾驶舱'!$B$3),"进行中","计划中")))</f>
        <v/>
      </c>
      <c r="K500" s="124">
        <f>IF(J500="待估算","补充投入工时",IF(AND(H500&lt;'项目驾驶舱'!$B$3,F500&lt;&gt;"已完成"),"确认延期和后续安排","按计划跟踪"))</f>
        <v/>
      </c>
      <c r="L500" s="127" t="n"/>
    </row>
    <row r="501">
      <c r="C501" s="124" t="inlineStr">
        <is>
          <t>T123</t>
        </is>
      </c>
      <c r="D501" s="124" t="inlineStr">
        <is>
          <t>台账查询</t>
        </is>
      </c>
      <c r="E501" s="124" t="inlineStr">
        <is>
          <t>第二批次</t>
        </is>
      </c>
      <c r="F501" s="124">
        <f>IF(OR(M126="挂起",M126="暂停",Q126="挂起",Q126="暂停",U126="挂起",U126="暂停",Y126="挂起",Y126="暂停"),"暂停","已完成")</f>
        <v/>
      </c>
      <c r="G501" s="125" t="n">
        <v>46265</v>
      </c>
      <c r="H501" s="125" t="n">
        <v>46269</v>
      </c>
      <c r="I501" s="127" t="n">
        <v>40</v>
      </c>
      <c r="J501" s="124">
        <f>IF(I501="","待估算",IF(F501="已完成","已结束",IF(AND(ISNUMBER(G501),ISNUMBER(H501),G501&lt;='项目驾驶舱'!$B$3,H501&gt;='项目驾驶舱'!$B$3),"进行中","计划中")))</f>
        <v/>
      </c>
      <c r="K501" s="124">
        <f>IF(J501="待估算","补充投入工时",IF(AND(H501&lt;'项目驾驶舱'!$B$3,F501&lt;&gt;"已完成"),"确认延期和后续安排","按计划跟踪"))</f>
        <v/>
      </c>
      <c r="L501" s="127" t="n"/>
    </row>
    <row r="502">
      <c r="C502" s="124" t="inlineStr">
        <is>
          <t>T124</t>
        </is>
      </c>
      <c r="D502" s="124" t="inlineStr">
        <is>
          <t>停泊费（内贸）查询</t>
        </is>
      </c>
      <c r="E502" s="124" t="inlineStr">
        <is>
          <t>第二批次</t>
        </is>
      </c>
      <c r="F502" s="124">
        <f>IF(OR(M127="挂起",M127="暂停",Q127="挂起",Q127="暂停",U127="挂起",U127="暂停",Y127="挂起",Y127="暂停"),"暂停","已完成")</f>
        <v/>
      </c>
      <c r="G502" s="125" t="n">
        <v>46265</v>
      </c>
      <c r="H502" s="125" t="n">
        <v>46269</v>
      </c>
      <c r="I502" s="127" t="n">
        <v>40</v>
      </c>
      <c r="J502" s="124">
        <f>IF(I502="","待估算",IF(F502="已完成","已结束",IF(AND(ISNUMBER(G502),ISNUMBER(H502),G502&lt;='项目驾驶舱'!$B$3,H502&gt;='项目驾驶舱'!$B$3),"进行中","计划中")))</f>
        <v/>
      </c>
      <c r="K502" s="124">
        <f>IF(J502="待估算","补充投入工时",IF(AND(H502&lt;'项目驾驶舱'!$B$3,F502&lt;&gt;"已完成"),"确认延期和后续安排","按计划跟踪"))</f>
        <v/>
      </c>
      <c r="L502" s="127" t="n"/>
    </row>
    <row r="503">
      <c r="C503" s="124" t="inlineStr">
        <is>
          <t>T125</t>
        </is>
      </c>
      <c r="D503" s="124" t="inlineStr">
        <is>
          <t>船舶供应服务费（内贸）查询</t>
        </is>
      </c>
      <c r="E503" s="124" t="inlineStr">
        <is>
          <t>第二批次</t>
        </is>
      </c>
      <c r="F503" s="124">
        <f>IF(OR(M128="挂起",M128="暂停",Q128="挂起",Q128="暂停",U128="挂起",U128="暂停",Y128="挂起",Y128="暂停"),"暂停","已完成")</f>
        <v/>
      </c>
      <c r="G503" s="125" t="n">
        <v>46265</v>
      </c>
      <c r="H503" s="125" t="n">
        <v>46269</v>
      </c>
      <c r="I503" s="127" t="n">
        <v>40</v>
      </c>
      <c r="J503" s="124">
        <f>IF(I503="","待估算",IF(F503="已完成","已结束",IF(AND(ISNUMBER(G503),ISNUMBER(H503),G503&lt;='项目驾驶舱'!$B$3,H503&gt;='项目驾驶舱'!$B$3),"进行中","计划中")))</f>
        <v/>
      </c>
      <c r="K503" s="124">
        <f>IF(J503="待估算","补充投入工时",IF(AND(H503&lt;'项目驾驶舱'!$B$3,F503&lt;&gt;"已完成"),"确认延期和后续安排","按计划跟踪"))</f>
        <v/>
      </c>
      <c r="L503" s="127" t="n"/>
    </row>
    <row r="504">
      <c r="C504" s="124" t="inlineStr">
        <is>
          <t>T013</t>
        </is>
      </c>
      <c r="D504" s="124" t="inlineStr">
        <is>
          <t>新增结算条款</t>
        </is>
      </c>
      <c r="E504" s="124" t="inlineStr">
        <is>
          <t>第二批次</t>
        </is>
      </c>
      <c r="F504" s="124">
        <f>IF(OR(M16="挂起",M16="暂停",Q16="挂起",Q16="暂停",U16="挂起",U16="暂停",Y16="挂起",Y16="暂停"),"暂停","未开始")</f>
        <v/>
      </c>
      <c r="G504" s="125" t="n">
        <v>46272</v>
      </c>
      <c r="H504" s="125" t="n">
        <v>46304</v>
      </c>
      <c r="I504" s="127" t="n">
        <v>40</v>
      </c>
      <c r="J504" s="124">
        <f>IF(I504="","待估算",IF(F504="已完成","已结束",IF(AND(ISNUMBER(G504),ISNUMBER(H504),G504&lt;='项目驾驶舱'!$B$3,H504&gt;='项目驾驶舱'!$B$3),"进行中","计划中")))</f>
        <v/>
      </c>
      <c r="K504" s="124">
        <f>IF(J504="待估算","补充投入工时",IF(AND(H504&lt;'项目驾驶舱'!$B$3,F504&lt;&gt;"已完成"),"确认延期和后续安排","按计划跟踪"))</f>
        <v/>
      </c>
      <c r="L504" s="127" t="n"/>
    </row>
    <row r="505">
      <c r="C505" s="124" t="inlineStr">
        <is>
          <t>T014</t>
        </is>
      </c>
      <c r="D505" s="124" t="inlineStr">
        <is>
          <t>结算条款审批</t>
        </is>
      </c>
      <c r="E505" s="124" t="inlineStr">
        <is>
          <t>第二批次</t>
        </is>
      </c>
      <c r="F505" s="124">
        <f>IF(OR(M17="挂起",M17="暂停",Q17="挂起",Q17="暂停",U17="挂起",U17="暂停",Y17="挂起",Y17="暂停"),"暂停","未开始")</f>
        <v/>
      </c>
      <c r="G505" s="125" t="n">
        <v>46272</v>
      </c>
      <c r="H505" s="125" t="n">
        <v>46304</v>
      </c>
      <c r="I505" s="127" t="n">
        <v>40</v>
      </c>
      <c r="J505" s="124">
        <f>IF(I505="","待估算",IF(F505="已完成","已结束",IF(AND(ISNUMBER(G505),ISNUMBER(H505),G505&lt;='项目驾驶舱'!$B$3,H505&gt;='项目驾驶舱'!$B$3),"进行中","计划中")))</f>
        <v/>
      </c>
      <c r="K505" s="124">
        <f>IF(J505="待估算","补充投入工时",IF(AND(H505&lt;'项目驾驶舱'!$B$3,F505&lt;&gt;"已完成"),"确认延期和后续安排","按计划跟踪"))</f>
        <v/>
      </c>
      <c r="L505" s="127" t="n"/>
    </row>
    <row r="506">
      <c r="C506" s="124" t="inlineStr">
        <is>
          <t>T015</t>
        </is>
      </c>
      <c r="D506" s="124" t="inlineStr">
        <is>
          <t>修改结算条款</t>
        </is>
      </c>
      <c r="E506" s="124" t="inlineStr">
        <is>
          <t>第二批次</t>
        </is>
      </c>
      <c r="F506" s="124">
        <f>IF(OR(M18="挂起",M18="暂停",Q18="挂起",Q18="暂停",U18="挂起",U18="暂停",Y18="挂起",Y18="暂停"),"暂停","未开始")</f>
        <v/>
      </c>
      <c r="G506" s="125" t="n">
        <v>46272</v>
      </c>
      <c r="H506" s="125" t="n">
        <v>46304</v>
      </c>
      <c r="I506" s="127" t="n">
        <v>40</v>
      </c>
      <c r="J506" s="124">
        <f>IF(I506="","待估算",IF(F506="已完成","已结束",IF(AND(ISNUMBER(G506),ISNUMBER(H506),G506&lt;='项目驾驶舱'!$B$3,H506&gt;='项目驾驶舱'!$B$3),"进行中","计划中")))</f>
        <v/>
      </c>
      <c r="K506" s="124">
        <f>IF(J506="待估算","补充投入工时",IF(AND(H506&lt;'项目驾驶舱'!$B$3,F506&lt;&gt;"已完成"),"确认延期和后续安排","按计划跟踪"))</f>
        <v/>
      </c>
      <c r="L506" s="127" t="n"/>
    </row>
    <row r="507">
      <c r="A507" s="22" t="n"/>
      <c r="B507" s="22" t="n"/>
      <c r="C507" s="124" t="inlineStr">
        <is>
          <t>T016</t>
        </is>
      </c>
      <c r="D507" s="124" t="inlineStr">
        <is>
          <t>删除结算条款</t>
        </is>
      </c>
      <c r="E507" s="124" t="inlineStr">
        <is>
          <t>第二批次</t>
        </is>
      </c>
      <c r="F507" s="124">
        <f>IF(OR(M19="挂起",M19="暂停",Q19="挂起",Q19="暂停",U19="挂起",U19="暂停",Y19="挂起",Y19="暂停"),"暂停","未开始")</f>
        <v/>
      </c>
      <c r="G507" s="125" t="n">
        <v>46272</v>
      </c>
      <c r="H507" s="125" t="n">
        <v>46304</v>
      </c>
      <c r="I507" s="127" t="n">
        <v>40</v>
      </c>
      <c r="J507" s="124">
        <f>IF(I507="","待估算",IF(F507="已完成","已结束",IF(AND(ISNUMBER(G507),ISNUMBER(H507),G507&lt;='项目驾驶舱'!$B$3,H507&gt;='项目驾驶舱'!$B$3),"进行中","计划中")))</f>
        <v/>
      </c>
      <c r="K507" s="124">
        <f>IF(J507="待估算","补充投入工时",IF(AND(H507&lt;'项目驾驶舱'!$B$3,F507&lt;&gt;"已完成"),"确认延期和后续安排","按计划跟踪"))</f>
        <v/>
      </c>
      <c r="L507" s="127" t="n"/>
    </row>
    <row r="508">
      <c r="A508" s="133" t="inlineStr">
        <is>
          <t>贺航</t>
        </is>
      </c>
      <c r="B508" s="133" t="inlineStr">
        <is>
          <t>前端</t>
        </is>
      </c>
      <c r="C508" s="124" t="inlineStr">
        <is>
          <t>T017</t>
        </is>
      </c>
      <c r="D508" s="124" t="inlineStr">
        <is>
          <t>查询展示结算条款</t>
        </is>
      </c>
      <c r="E508" s="124" t="inlineStr">
        <is>
          <t>第二批次</t>
        </is>
      </c>
      <c r="F508" s="124">
        <f>IF(OR(M20="挂起",M20="暂停",Q20="挂起",Q20="暂停",U20="挂起",U20="暂停",Y20="挂起",Y20="暂停"),"暂停","未开始")</f>
        <v/>
      </c>
      <c r="G508" s="125" t="n">
        <v>46272</v>
      </c>
      <c r="H508" s="125" t="n">
        <v>46304</v>
      </c>
      <c r="I508" s="127" t="n">
        <v>40</v>
      </c>
      <c r="J508" s="124">
        <f>IF(I508="","待估算",IF(F508="已完成","已结束",IF(AND(ISNUMBER(G508),ISNUMBER(H508),G508&lt;='项目驾驶舱'!$B$3,H508&gt;='项目驾驶舱'!$B$3),"进行中","计划中")))</f>
        <v/>
      </c>
      <c r="K508" s="124">
        <f>IF(J508="待估算","补充投入工时",IF(AND(H508&lt;'项目驾驶舱'!$B$3,F508&lt;&gt;"已完成"),"确认延期和后续安排","按计划跟踪"))</f>
        <v/>
      </c>
      <c r="L508" s="127" t="n"/>
    </row>
    <row r="509">
      <c r="C509" s="124" t="inlineStr">
        <is>
          <t>T018</t>
        </is>
      </c>
      <c r="D509" s="124" t="inlineStr">
        <is>
          <t>结算条款推送法务系统</t>
        </is>
      </c>
      <c r="E509" s="124" t="inlineStr">
        <is>
          <t>第二批次</t>
        </is>
      </c>
      <c r="F509" s="124">
        <f>IF(OR(M21="挂起",M21="暂停",Q21="挂起",Q21="暂停",U21="挂起",U21="暂停",Y21="挂起",Y21="暂停"),"暂停","未开始")</f>
        <v/>
      </c>
      <c r="G509" s="125" t="n">
        <v>46272</v>
      </c>
      <c r="H509" s="125" t="n">
        <v>46304</v>
      </c>
      <c r="I509" s="127" t="n">
        <v>40</v>
      </c>
      <c r="J509" s="124">
        <f>IF(I509="","待估算",IF(F509="已完成","已结束",IF(AND(ISNUMBER(G509),ISNUMBER(H509),G509&lt;='项目驾驶舱'!$B$3,H509&gt;='项目驾驶舱'!$B$3),"进行中","计划中")))</f>
        <v/>
      </c>
      <c r="K509" s="124">
        <f>IF(J509="待估算","补充投入工时",IF(AND(H509&lt;'项目驾驶舱'!$B$3,F509&lt;&gt;"已完成"),"确认延期和后续安排","按计划跟踪"))</f>
        <v/>
      </c>
      <c r="L509" s="127" t="n"/>
    </row>
    <row r="510">
      <c r="C510" s="124" t="inlineStr">
        <is>
          <t>T053</t>
        </is>
      </c>
      <c r="D510" s="124" t="inlineStr">
        <is>
          <t>接入港口侧视频监控</t>
        </is>
      </c>
      <c r="E510" s="124" t="inlineStr">
        <is>
          <t>第二批次</t>
        </is>
      </c>
      <c r="F510" s="124">
        <f>IF(OR(M56="挂起",M56="暂停",Q56="挂起",Q56="暂停",U56="挂起",U56="暂停",Y56="挂起",Y56="暂停"),"暂停","未开始")</f>
        <v/>
      </c>
      <c r="G510" s="125" t="n">
        <v>46272</v>
      </c>
      <c r="H510" s="125" t="n">
        <v>46304</v>
      </c>
      <c r="I510" s="127" t="n">
        <v>40</v>
      </c>
      <c r="J510" s="124">
        <f>IF(I510="","待估算",IF(F510="已完成","已结束",IF(AND(ISNUMBER(G510),ISNUMBER(H510),G510&lt;='项目驾驶舱'!$B$3,H510&gt;='项目驾驶舱'!$B$3),"进行中","计划中")))</f>
        <v/>
      </c>
      <c r="K510" s="124">
        <f>IF(J510="待估算","补充投入工时",IF(AND(H510&lt;'项目驾驶舱'!$B$3,F510&lt;&gt;"已完成"),"确认延期和后续安排","按计划跟踪"))</f>
        <v/>
      </c>
      <c r="L510" s="127" t="n"/>
    </row>
    <row r="511">
      <c r="C511" s="124" t="inlineStr">
        <is>
          <t>T054</t>
        </is>
      </c>
      <c r="D511" s="124" t="inlineStr">
        <is>
          <t>视频查看权限申请</t>
        </is>
      </c>
      <c r="E511" s="124" t="inlineStr">
        <is>
          <t>第二批次</t>
        </is>
      </c>
      <c r="F511" s="124">
        <f>IF(OR(M57="挂起",M57="暂停",Q57="挂起",Q57="暂停",U57="挂起",U57="暂停",Y57="挂起",Y57="暂停"),"暂停","未开始")</f>
        <v/>
      </c>
      <c r="G511" s="125" t="n">
        <v>46272</v>
      </c>
      <c r="H511" s="125" t="n">
        <v>46304</v>
      </c>
      <c r="I511" s="127" t="n">
        <v>40</v>
      </c>
      <c r="J511" s="124">
        <f>IF(I511="","待估算",IF(F511="已完成","已结束",IF(AND(ISNUMBER(G511),ISNUMBER(H511),G511&lt;='项目驾驶舱'!$B$3,H511&gt;='项目驾驶舱'!$B$3),"进行中","计划中")))</f>
        <v/>
      </c>
      <c r="K511" s="124">
        <f>IF(J511="待估算","补充投入工时",IF(AND(H511&lt;'项目驾驶舱'!$B$3,F511&lt;&gt;"已完成"),"确认延期和后续安排","按计划跟踪"))</f>
        <v/>
      </c>
      <c r="L511" s="127" t="n"/>
    </row>
    <row r="512">
      <c r="C512" s="124" t="inlineStr">
        <is>
          <t>T055</t>
        </is>
      </c>
      <c r="D512" s="124" t="inlineStr">
        <is>
          <t>视频查看权限审批</t>
        </is>
      </c>
      <c r="E512" s="124" t="inlineStr">
        <is>
          <t>第二批次</t>
        </is>
      </c>
      <c r="F512" s="124">
        <f>IF(OR(M58="挂起",M58="暂停",Q58="挂起",Q58="暂停",U58="挂起",U58="暂停",Y58="挂起",Y58="暂停"),"暂停","未开始")</f>
        <v/>
      </c>
      <c r="G512" s="125" t="n">
        <v>46272</v>
      </c>
      <c r="H512" s="125" t="n">
        <v>46304</v>
      </c>
      <c r="I512" s="127" t="n">
        <v>40</v>
      </c>
      <c r="J512" s="124">
        <f>IF(I512="","待估算",IF(F512="已完成","已结束",IF(AND(ISNUMBER(G512),ISNUMBER(H512),G512&lt;='项目驾驶舱'!$B$3,H512&gt;='项目驾驶舱'!$B$3),"进行中","计划中")))</f>
        <v/>
      </c>
      <c r="K512" s="124">
        <f>IF(J512="待估算","补充投入工时",IF(AND(H512&lt;'项目驾驶舱'!$B$3,F512&lt;&gt;"已完成"),"确认延期和后续安排","按计划跟踪"))</f>
        <v/>
      </c>
      <c r="L512" s="127" t="n"/>
    </row>
    <row r="513">
      <c r="C513" s="124" t="inlineStr">
        <is>
          <t>T056</t>
        </is>
      </c>
      <c r="D513" s="124" t="inlineStr">
        <is>
          <t>视频查看权限有效期控制</t>
        </is>
      </c>
      <c r="E513" s="124" t="inlineStr">
        <is>
          <t>第二批次</t>
        </is>
      </c>
      <c r="F513" s="124">
        <f>IF(OR(M59="挂起",M59="暂停",Q59="挂起",Q59="暂停",U59="挂起",U59="暂停",Y59="挂起",Y59="暂停"),"暂停","未开始")</f>
        <v/>
      </c>
      <c r="G513" s="125" t="n">
        <v>46272</v>
      </c>
      <c r="H513" s="125" t="n">
        <v>46304</v>
      </c>
      <c r="I513" s="127" t="n">
        <v>40</v>
      </c>
      <c r="J513" s="124">
        <f>IF(I513="","待估算",IF(F513="已完成","已结束",IF(AND(ISNUMBER(G513),ISNUMBER(H513),G513&lt;='项目驾驶舱'!$B$3,H513&gt;='项目驾驶舱'!$B$3),"进行中","计划中")))</f>
        <v/>
      </c>
      <c r="K513" s="124">
        <f>IF(J513="待估算","补充投入工时",IF(AND(H513&lt;'项目驾驶舱'!$B$3,F513&lt;&gt;"已完成"),"确认延期和后续安排","按计划跟踪"))</f>
        <v/>
      </c>
      <c r="L513" s="127" t="n"/>
    </row>
    <row r="514">
      <c r="C514" s="124" t="inlineStr">
        <is>
          <t>T057</t>
        </is>
      </c>
      <c r="D514" s="124" t="inlineStr">
        <is>
          <t>外网PC端视频监控查询</t>
        </is>
      </c>
      <c r="E514" s="124" t="inlineStr">
        <is>
          <t>第二批次</t>
        </is>
      </c>
      <c r="F514" s="124">
        <f>IF(OR(M60="挂起",M60="暂停",Q60="挂起",Q60="暂停",U60="挂起",U60="暂停",Y60="挂起",Y60="暂停"),"暂停","未开始")</f>
        <v/>
      </c>
      <c r="G514" s="125" t="n">
        <v>46272</v>
      </c>
      <c r="H514" s="125" t="n">
        <v>46304</v>
      </c>
      <c r="I514" s="127" t="n">
        <v>40</v>
      </c>
      <c r="J514" s="124">
        <f>IF(I514="","待估算",IF(F514="已完成","已结束",IF(AND(ISNUMBER(G514),ISNUMBER(H514),G514&lt;='项目驾驶舱'!$B$3,H514&gt;='项目驾驶舱'!$B$3),"进行中","计划中")))</f>
        <v/>
      </c>
      <c r="K514" s="124">
        <f>IF(J514="待估算","补充投入工时",IF(AND(H514&lt;'项目驾驶舱'!$B$3,F514&lt;&gt;"已完成"),"确认延期和后续安排","按计划跟踪"))</f>
        <v/>
      </c>
      <c r="L514" s="127" t="n"/>
    </row>
    <row r="515">
      <c r="C515" s="124" t="inlineStr">
        <is>
          <t>T141</t>
        </is>
      </c>
      <c r="D515" s="124" t="inlineStr">
        <is>
          <t>视频监控查询</t>
        </is>
      </c>
      <c r="E515" s="124" t="inlineStr">
        <is>
          <t>第二批次</t>
        </is>
      </c>
      <c r="F515" s="124">
        <f>IF(OR(M144="挂起",M144="暂停",Q144="挂起",Q144="暂停",U144="挂起",U144="暂停",Y144="挂起",Y144="暂停"),"暂停","未开始")</f>
        <v/>
      </c>
      <c r="G515" s="125" t="n">
        <v>46272</v>
      </c>
      <c r="H515" s="125" t="n">
        <v>46304</v>
      </c>
      <c r="I515" s="127" t="n">
        <v>40</v>
      </c>
      <c r="J515" s="124">
        <f>IF(I515="","待估算",IF(F515="已完成","已结束",IF(AND(ISNUMBER(G515),ISNUMBER(H515),G515&lt;='项目驾驶舱'!$B$3,H515&gt;='项目驾驶舱'!$B$3),"进行中","计划中")))</f>
        <v/>
      </c>
      <c r="K515" s="124">
        <f>IF(J515="待估算","补充投入工时",IF(AND(H515&lt;'项目驾驶舱'!$B$3,F515&lt;&gt;"已完成"),"确认延期和后续安排","按计划跟踪"))</f>
        <v/>
      </c>
      <c r="L515" s="127" t="n"/>
    </row>
    <row r="516">
      <c r="C516" s="124" t="inlineStr">
        <is>
          <t>T005</t>
        </is>
      </c>
      <c r="D516" s="124" t="inlineStr">
        <is>
          <t>船舶唯一性校验</t>
        </is>
      </c>
      <c r="E516" s="124" t="inlineStr">
        <is>
          <t>第二批次</t>
        </is>
      </c>
      <c r="F516" s="124">
        <f>IF(OR(M8="挂起",M8="暂停",Q8="挂起",Q8="暂停",U8="挂起",U8="暂停",Y8="挂起",Y8="暂停"),"暂停","已完成")</f>
        <v/>
      </c>
      <c r="G516" s="125" t="n">
        <v>46307</v>
      </c>
      <c r="H516" s="125" t="n">
        <v>46339</v>
      </c>
      <c r="I516" s="127" t="n">
        <v>40</v>
      </c>
      <c r="J516" s="124">
        <f>IF(I516="","待估算",IF(F516="已完成","已结束",IF(AND(ISNUMBER(G516),ISNUMBER(H516),G516&lt;='项目驾驶舱'!$B$3,H516&gt;='项目驾驶舱'!$B$3),"进行中","计划中")))</f>
        <v/>
      </c>
      <c r="K516" s="124">
        <f>IF(J516="待估算","补充投入工时",IF(AND(H516&lt;'项目驾驶舱'!$B$3,F516&lt;&gt;"已完成"),"确认延期和后续安排","按计划跟踪"))</f>
        <v/>
      </c>
      <c r="L516" s="127" t="n"/>
    </row>
    <row r="517">
      <c r="C517" s="124" t="inlineStr">
        <is>
          <t>T019</t>
        </is>
      </c>
      <c r="D517" s="124" t="inlineStr">
        <is>
          <t>对接卸船计划</t>
        </is>
      </c>
      <c r="E517" s="124" t="inlineStr">
        <is>
          <t>第二批次</t>
        </is>
      </c>
      <c r="F517" s="124">
        <f>IF(OR(M22="挂起",M22="暂停",Q22="挂起",Q22="暂停",U22="挂起",U22="暂停",Y22="挂起",Y22="暂停"),"暂停","进行中")</f>
        <v/>
      </c>
      <c r="G517" s="125" t="n">
        <v>46307</v>
      </c>
      <c r="H517" s="125" t="n">
        <v>46339</v>
      </c>
      <c r="I517" s="127" t="n">
        <v>40</v>
      </c>
      <c r="J517" s="124">
        <f>IF(I517="","待估算",IF(F517="已完成","已结束",IF(AND(ISNUMBER(G517),ISNUMBER(H517),G517&lt;='项目驾驶舱'!$B$3,H517&gt;='项目驾驶舱'!$B$3),"进行中","计划中")))</f>
        <v/>
      </c>
      <c r="K517" s="124">
        <f>IF(J517="待估算","补充投入工时",IF(AND(H517&lt;'项目驾驶舱'!$B$3,F517&lt;&gt;"已完成"),"确认延期和后续安排","按计划跟踪"))</f>
        <v/>
      </c>
      <c r="L517" s="127" t="n"/>
    </row>
    <row r="518">
      <c r="C518" s="124" t="inlineStr">
        <is>
          <t>T020</t>
        </is>
      </c>
      <c r="D518" s="124" t="inlineStr">
        <is>
          <t>查询卸车计划</t>
        </is>
      </c>
      <c r="E518" s="124" t="inlineStr">
        <is>
          <t>第二批次</t>
        </is>
      </c>
      <c r="F518" s="124">
        <f>IF(OR(M23="挂起",M23="暂停",Q23="挂起",Q23="暂停",U23="挂起",U23="暂停",Y23="挂起",Y23="暂停"),"暂停","进行中")</f>
        <v/>
      </c>
      <c r="G518" s="125" t="n">
        <v>46307</v>
      </c>
      <c r="H518" s="125" t="n">
        <v>46339</v>
      </c>
      <c r="I518" s="127" t="n">
        <v>40</v>
      </c>
      <c r="J518" s="124">
        <f>IF(I518="","待估算",IF(F518="已完成","已结束",IF(AND(ISNUMBER(G518),ISNUMBER(H518),G518&lt;='项目驾驶舱'!$B$3,H518&gt;='项目驾驶舱'!$B$3),"进行中","计划中")))</f>
        <v/>
      </c>
      <c r="K518" s="124">
        <f>IF(J518="待估算","补充投入工时",IF(AND(H518&lt;'项目驾驶舱'!$B$3,F518&lt;&gt;"已完成"),"确认延期和后续安排","按计划跟踪"))</f>
        <v/>
      </c>
      <c r="L518" s="127" t="n"/>
    </row>
    <row r="519">
      <c r="A519" s="22" t="n"/>
      <c r="B519" s="22" t="n"/>
      <c r="C519" s="124" t="inlineStr">
        <is>
          <t>T021</t>
        </is>
      </c>
      <c r="D519" s="124" t="inlineStr">
        <is>
          <t>外部客户确认</t>
        </is>
      </c>
      <c r="E519" s="124" t="inlineStr">
        <is>
          <t>第二批次</t>
        </is>
      </c>
      <c r="F519" s="124">
        <f>IF(OR(M24="挂起",M24="暂停",Q24="挂起",Q24="暂停",U24="挂起",U24="暂停",Y24="挂起",Y24="暂停"),"暂停","进行中")</f>
        <v/>
      </c>
      <c r="G519" s="125" t="n">
        <v>46307</v>
      </c>
      <c r="H519" s="125" t="n">
        <v>46339</v>
      </c>
      <c r="I519" s="127" t="n">
        <v>40</v>
      </c>
      <c r="J519" s="124">
        <f>IF(I519="","待估算",IF(F519="已完成","已结束",IF(AND(ISNUMBER(G519),ISNUMBER(H519),G519&lt;='项目驾驶舱'!$B$3,H519&gt;='项目驾驶舱'!$B$3),"进行中","计划中")))</f>
        <v/>
      </c>
      <c r="K519" s="124">
        <f>IF(J519="待估算","补充投入工时",IF(AND(H519&lt;'项目驾驶舱'!$B$3,F519&lt;&gt;"已完成"),"确认延期和后续安排","按计划跟踪"))</f>
        <v/>
      </c>
      <c r="L519" s="127" t="n"/>
    </row>
    <row r="520">
      <c r="A520" s="133" t="inlineStr">
        <is>
          <t>贺航</t>
        </is>
      </c>
      <c r="B520" s="133" t="inlineStr">
        <is>
          <t>前端</t>
        </is>
      </c>
      <c r="C520" s="124" t="inlineStr">
        <is>
          <t>T022</t>
        </is>
      </c>
      <c r="D520" s="124" t="inlineStr">
        <is>
          <t>对接卸船作业信息</t>
        </is>
      </c>
      <c r="E520" s="124" t="inlineStr">
        <is>
          <t>第二批次</t>
        </is>
      </c>
      <c r="F520" s="124">
        <f>IF(OR(M25="挂起",M25="暂停",Q25="挂起",Q25="暂停",U25="挂起",U25="暂停",Y25="挂起",Y25="暂停"),"暂停","未开始")</f>
        <v/>
      </c>
      <c r="G520" s="125" t="n">
        <v>46307</v>
      </c>
      <c r="H520" s="125" t="n">
        <v>46339</v>
      </c>
      <c r="I520" s="127" t="n">
        <v>40</v>
      </c>
      <c r="J520" s="124">
        <f>IF(I520="","待估算",IF(F520="已完成","已结束",IF(AND(ISNUMBER(G520),ISNUMBER(H520),G520&lt;='项目驾驶舱'!$B$3,H520&gt;='项目驾驶舱'!$B$3),"进行中","计划中")))</f>
        <v/>
      </c>
      <c r="K520" s="124">
        <f>IF(J520="待估算","补充投入工时",IF(AND(H520&lt;'项目驾驶舱'!$B$3,F520&lt;&gt;"已完成"),"确认延期和后续安排","按计划跟踪"))</f>
        <v/>
      </c>
      <c r="L520" s="127" t="n"/>
    </row>
    <row r="521">
      <c r="C521" s="124" t="inlineStr">
        <is>
          <t>T023</t>
        </is>
      </c>
      <c r="D521" s="124" t="inlineStr">
        <is>
          <t>查询卸船作业信息</t>
        </is>
      </c>
      <c r="E521" s="124" t="inlineStr">
        <is>
          <t>第二批次</t>
        </is>
      </c>
      <c r="F521" s="124">
        <f>IF(OR(M26="挂起",M26="暂停",Q26="挂起",Q26="暂停",U26="挂起",U26="暂停",Y26="挂起",Y26="暂停"),"暂停","未开始")</f>
        <v/>
      </c>
      <c r="G521" s="125" t="n">
        <v>46307</v>
      </c>
      <c r="H521" s="125" t="n">
        <v>46339</v>
      </c>
      <c r="I521" s="127" t="n">
        <v>40</v>
      </c>
      <c r="J521" s="124">
        <f>IF(I521="","待估算",IF(F521="已完成","已结束",IF(AND(ISNUMBER(G521),ISNUMBER(H521),G521&lt;='项目驾驶舱'!$B$3,H521&gt;='项目驾驶舱'!$B$3),"进行中","计划中")))</f>
        <v/>
      </c>
      <c r="K521" s="124">
        <f>IF(J521="待估算","补充投入工时",IF(AND(H521&lt;'项目驾驶舱'!$B$3,F521&lt;&gt;"已完成"),"确认延期和后续安排","按计划跟踪"))</f>
        <v/>
      </c>
      <c r="L521" s="127" t="n"/>
    </row>
    <row r="522">
      <c r="C522" s="124" t="inlineStr">
        <is>
          <t>T024</t>
        </is>
      </c>
      <c r="D522" s="124" t="inlineStr">
        <is>
          <t>卸船查询列表</t>
        </is>
      </c>
      <c r="E522" s="124" t="inlineStr">
        <is>
          <t>第二批次</t>
        </is>
      </c>
      <c r="F522" s="124">
        <f>IF(OR(M27="挂起",M27="暂停",Q27="挂起",Q27="暂停",U27="挂起",U27="暂停",Y27="挂起",Y27="暂停"),"暂停","未开始")</f>
        <v/>
      </c>
      <c r="G522" s="125" t="n">
        <v>46307</v>
      </c>
      <c r="H522" s="125" t="n">
        <v>46339</v>
      </c>
      <c r="I522" s="127" t="n">
        <v>40</v>
      </c>
      <c r="J522" s="124">
        <f>IF(I522="","待估算",IF(F522="已完成","已结束",IF(AND(ISNUMBER(G522),ISNUMBER(H522),G522&lt;='项目驾驶舱'!$B$3,H522&gt;='项目驾驶舱'!$B$3),"进行中","计划中")))</f>
        <v/>
      </c>
      <c r="K522" s="124">
        <f>IF(J522="待估算","补充投入工时",IF(AND(H522&lt;'项目驾驶舱'!$B$3,F522&lt;&gt;"已完成"),"确认延期和后续安排","按计划跟踪"))</f>
        <v/>
      </c>
      <c r="L522" s="127" t="n"/>
    </row>
    <row r="523">
      <c r="C523" s="124" t="inlineStr">
        <is>
          <t>T025</t>
        </is>
      </c>
      <c r="D523" s="124" t="inlineStr">
        <is>
          <t>卸船查询详情</t>
        </is>
      </c>
      <c r="E523" s="124" t="inlineStr">
        <is>
          <t>第二批次</t>
        </is>
      </c>
      <c r="F523" s="124">
        <f>IF(OR(M28="挂起",M28="暂停",Q28="挂起",Q28="暂停",U28="挂起",U28="暂停",Y28="挂起",Y28="暂停"),"暂停","未开始")</f>
        <v/>
      </c>
      <c r="G523" s="125" t="n">
        <v>46307</v>
      </c>
      <c r="H523" s="125" t="n">
        <v>46339</v>
      </c>
      <c r="I523" s="127" t="n">
        <v>40</v>
      </c>
      <c r="J523" s="124">
        <f>IF(I523="","待估算",IF(F523="已完成","已结束",IF(AND(ISNUMBER(G523),ISNUMBER(H523),G523&lt;='项目驾驶舱'!$B$3,H523&gt;='项目驾驶舱'!$B$3),"进行中","计划中")))</f>
        <v/>
      </c>
      <c r="K523" s="124">
        <f>IF(J523="待估算","补充投入工时",IF(AND(H523&lt;'项目驾驶舱'!$B$3,F523&lt;&gt;"已完成"),"确认延期和后续安排","按计划跟踪"))</f>
        <v/>
      </c>
      <c r="L523" s="127" t="n"/>
    </row>
    <row r="524">
      <c r="C524" s="124" t="inlineStr">
        <is>
          <t>T026</t>
        </is>
      </c>
      <c r="D524" s="124" t="inlineStr">
        <is>
          <t>创建卸船作业委托信息</t>
        </is>
      </c>
      <c r="E524" s="124" t="inlineStr">
        <is>
          <t>第二批次</t>
        </is>
      </c>
      <c r="F524" s="124">
        <f>IF(OR(M29="挂起",M29="暂停",Q29="挂起",Q29="暂停",U29="挂起",U29="暂停",Y29="挂起",Y29="暂停"),"暂停","进行中")</f>
        <v/>
      </c>
      <c r="G524" s="125" t="n">
        <v>46307</v>
      </c>
      <c r="H524" s="125" t="n">
        <v>46339</v>
      </c>
      <c r="I524" s="127" t="n">
        <v>40</v>
      </c>
      <c r="J524" s="124">
        <f>IF(I524="","待估算",IF(F524="已完成","已结束",IF(AND(ISNUMBER(G524),ISNUMBER(H524),G524&lt;='项目驾驶舱'!$B$3,H524&gt;='项目驾驶舱'!$B$3),"进行中","计划中")))</f>
        <v/>
      </c>
      <c r="K524" s="124">
        <f>IF(J524="待估算","补充投入工时",IF(AND(H524&lt;'项目驾驶舱'!$B$3,F524&lt;&gt;"已完成"),"确认延期和后续安排","按计划跟踪"))</f>
        <v/>
      </c>
      <c r="L524" s="127" t="n"/>
    </row>
    <row r="525">
      <c r="C525" s="124" t="inlineStr">
        <is>
          <t>T027</t>
        </is>
      </c>
      <c r="D525" s="124" t="inlineStr">
        <is>
          <t>修改卸船作业委托信息</t>
        </is>
      </c>
      <c r="E525" s="124" t="inlineStr">
        <is>
          <t>第二批次</t>
        </is>
      </c>
      <c r="F525" s="124">
        <f>IF(OR(M30="挂起",M30="暂停",Q30="挂起",Q30="暂停",U30="挂起",U30="暂停",Y30="挂起",Y30="暂停"),"暂停","进行中")</f>
        <v/>
      </c>
      <c r="G525" s="125" t="n">
        <v>46307</v>
      </c>
      <c r="H525" s="125" t="n">
        <v>46339</v>
      </c>
      <c r="I525" s="127" t="n">
        <v>40</v>
      </c>
      <c r="J525" s="124">
        <f>IF(I525="","待估算",IF(F525="已完成","已结束",IF(AND(ISNUMBER(G525),ISNUMBER(H525),G525&lt;='项目驾驶舱'!$B$3,H525&gt;='项目驾驶舱'!$B$3),"进行中","计划中")))</f>
        <v/>
      </c>
      <c r="K525" s="124">
        <f>IF(J525="待估算","补充投入工时",IF(AND(H525&lt;'项目驾驶舱'!$B$3,F525&lt;&gt;"已完成"),"确认延期和后续安排","按计划跟踪"))</f>
        <v/>
      </c>
      <c r="L525" s="127" t="n"/>
    </row>
    <row r="526">
      <c r="C526" s="124" t="inlineStr">
        <is>
          <t>T028</t>
        </is>
      </c>
      <c r="D526" s="124" t="inlineStr">
        <is>
          <t>作废卸船作业委托信息</t>
        </is>
      </c>
      <c r="E526" s="124" t="inlineStr">
        <is>
          <t>第二批次</t>
        </is>
      </c>
      <c r="F526" s="124">
        <f>IF(OR(M31="挂起",M31="暂停",Q31="挂起",Q31="暂停",U31="挂起",U31="暂停",Y31="挂起",Y31="暂停"),"暂停","进行中")</f>
        <v/>
      </c>
      <c r="G526" s="125" t="n">
        <v>46307</v>
      </c>
      <c r="H526" s="125" t="n">
        <v>46339</v>
      </c>
      <c r="I526" s="127" t="n">
        <v>40</v>
      </c>
      <c r="J526" s="124">
        <f>IF(I526="","待估算",IF(F526="已完成","已结束",IF(AND(ISNUMBER(G526),ISNUMBER(H526),G526&lt;='项目驾驶舱'!$B$3,H526&gt;='项目驾驶舱'!$B$3),"进行中","计划中")))</f>
        <v/>
      </c>
      <c r="K526" s="124">
        <f>IF(J526="待估算","补充投入工时",IF(AND(H526&lt;'项目驾驶舱'!$B$3,F526&lt;&gt;"已完成"),"确认延期和后续安排","按计划跟踪"))</f>
        <v/>
      </c>
      <c r="L526" s="127" t="n"/>
    </row>
    <row r="527">
      <c r="C527" s="124" t="inlineStr">
        <is>
          <t>T029</t>
        </is>
      </c>
      <c r="D527" s="124" t="inlineStr">
        <is>
          <t>推送卸船作业委托信息</t>
        </is>
      </c>
      <c r="E527" s="124" t="inlineStr">
        <is>
          <t>第二批次</t>
        </is>
      </c>
      <c r="F527" s="124">
        <f>IF(OR(M32="挂起",M32="暂停",Q32="挂起",Q32="暂停",U32="挂起",U32="暂停",Y32="挂起",Y32="暂停"),"暂停","进行中")</f>
        <v/>
      </c>
      <c r="G527" s="125" t="n">
        <v>46307</v>
      </c>
      <c r="H527" s="125" t="n">
        <v>46339</v>
      </c>
      <c r="I527" s="127" t="n">
        <v>40</v>
      </c>
      <c r="J527" s="124">
        <f>IF(I527="","待估算",IF(F527="已完成","已结束",IF(AND(ISNUMBER(G527),ISNUMBER(H527),G527&lt;='项目驾驶舱'!$B$3,H527&gt;='项目驾驶舱'!$B$3),"进行中","计划中")))</f>
        <v/>
      </c>
      <c r="K527" s="124">
        <f>IF(J527="待估算","补充投入工时",IF(AND(H527&lt;'项目驾驶舱'!$B$3,F527&lt;&gt;"已完成"),"确认延期和后续安排","按计划跟踪"))</f>
        <v/>
      </c>
      <c r="L527" s="127" t="n"/>
    </row>
    <row r="528">
      <c r="C528" s="124" t="inlineStr">
        <is>
          <t>T030</t>
        </is>
      </c>
      <c r="D528" s="124" t="inlineStr">
        <is>
          <t>查询卸船作业委托信息</t>
        </is>
      </c>
      <c r="E528" s="124" t="inlineStr">
        <is>
          <t>第二批次</t>
        </is>
      </c>
      <c r="F528" s="124">
        <f>IF(OR(M33="挂起",M33="暂停",Q33="挂起",Q33="暂停",U33="挂起",U33="暂停",Y33="挂起",Y33="暂停"),"暂停","进行中")</f>
        <v/>
      </c>
      <c r="G528" s="125" t="n">
        <v>46307</v>
      </c>
      <c r="H528" s="125" t="n">
        <v>46339</v>
      </c>
      <c r="I528" s="127" t="n">
        <v>40</v>
      </c>
      <c r="J528" s="124">
        <f>IF(I528="","待估算",IF(F528="已完成","已结束",IF(AND(ISNUMBER(G528),ISNUMBER(H528),G528&lt;='项目驾驶舱'!$B$3,H528&gt;='项目驾驶舱'!$B$3),"进行中","计划中")))</f>
        <v/>
      </c>
      <c r="K528" s="124">
        <f>IF(J528="待估算","补充投入工时",IF(AND(H528&lt;'项目驾驶舱'!$B$3,F528&lt;&gt;"已完成"),"确认延期和后续安排","按计划跟踪"))</f>
        <v/>
      </c>
      <c r="L528" s="127" t="n"/>
    </row>
    <row r="529">
      <c r="C529" s="124" t="inlineStr">
        <is>
          <t>T031</t>
        </is>
      </c>
      <c r="D529" s="124" t="inlineStr">
        <is>
          <t>创建外轮转内贸业务信息</t>
        </is>
      </c>
      <c r="E529" s="124" t="inlineStr">
        <is>
          <t>第二批次</t>
        </is>
      </c>
      <c r="F529" s="124">
        <f>IF(OR(M34="挂起",M34="暂停",Q34="挂起",Q34="暂停",U34="挂起",U34="暂停",Y34="挂起",Y34="暂停"),"暂停","未开始")</f>
        <v/>
      </c>
      <c r="G529" s="125" t="n">
        <v>46307</v>
      </c>
      <c r="H529" s="125" t="n">
        <v>46339</v>
      </c>
      <c r="I529" s="127" t="n">
        <v>40</v>
      </c>
      <c r="J529" s="124">
        <f>IF(I529="","待估算",IF(F529="已完成","已结束",IF(AND(ISNUMBER(G529),ISNUMBER(H529),G529&lt;='项目驾驶舱'!$B$3,H529&gt;='项目驾驶舱'!$B$3),"进行中","计划中")))</f>
        <v/>
      </c>
      <c r="K529" s="124">
        <f>IF(J529="待估算","补充投入工时",IF(AND(H529&lt;'项目驾驶舱'!$B$3,F529&lt;&gt;"已完成"),"确认延期和后续安排","按计划跟踪"))</f>
        <v/>
      </c>
      <c r="L529" s="127" t="n"/>
    </row>
    <row r="530">
      <c r="C530" s="124" t="inlineStr">
        <is>
          <t>T032</t>
        </is>
      </c>
      <c r="D530" s="124" t="inlineStr">
        <is>
          <t>作废外轮转内贸业务信息</t>
        </is>
      </c>
      <c r="E530" s="124" t="inlineStr">
        <is>
          <t>第二批次</t>
        </is>
      </c>
      <c r="F530" s="124">
        <f>IF(OR(M35="挂起",M35="暂停",Q35="挂起",Q35="暂停",U35="挂起",U35="暂停",Y35="挂起",Y35="暂停"),"暂停","未开始")</f>
        <v/>
      </c>
      <c r="G530" s="125" t="n">
        <v>46307</v>
      </c>
      <c r="H530" s="125" t="n">
        <v>46339</v>
      </c>
      <c r="I530" s="127" t="n">
        <v>40</v>
      </c>
      <c r="J530" s="124">
        <f>IF(I530="","待估算",IF(F530="已完成","已结束",IF(AND(ISNUMBER(G530),ISNUMBER(H530),G530&lt;='项目驾驶舱'!$B$3,H530&gt;='项目驾驶舱'!$B$3),"进行中","计划中")))</f>
        <v/>
      </c>
      <c r="K530" s="124">
        <f>IF(J530="待估算","补充投入工时",IF(AND(H530&lt;'项目驾驶舱'!$B$3,F530&lt;&gt;"已完成"),"确认延期和后续安排","按计划跟踪"))</f>
        <v/>
      </c>
      <c r="L530" s="127" t="n"/>
    </row>
    <row r="531">
      <c r="A531" s="22" t="n"/>
      <c r="B531" s="22" t="n"/>
      <c r="C531" s="124" t="inlineStr">
        <is>
          <t>T033</t>
        </is>
      </c>
      <c r="D531" s="124" t="inlineStr">
        <is>
          <t>查询外轮转内贸业务信息</t>
        </is>
      </c>
      <c r="E531" s="124" t="inlineStr">
        <is>
          <t>第二批次</t>
        </is>
      </c>
      <c r="F531" s="124">
        <f>IF(OR(M36="挂起",M36="暂停",Q36="挂起",Q36="暂停",U36="挂起",U36="暂停",Y36="挂起",Y36="暂停"),"暂停","未开始")</f>
        <v/>
      </c>
      <c r="G531" s="125" t="n">
        <v>46307</v>
      </c>
      <c r="H531" s="125" t="n">
        <v>46339</v>
      </c>
      <c r="I531" s="127" t="n">
        <v>40</v>
      </c>
      <c r="J531" s="124">
        <f>IF(I531="","待估算",IF(F531="已完成","已结束",IF(AND(ISNUMBER(G531),ISNUMBER(H531),G531&lt;='项目驾驶舱'!$B$3,H531&gt;='项目驾驶舱'!$B$3),"进行中","计划中")))</f>
        <v/>
      </c>
      <c r="K531" s="124">
        <f>IF(J531="待估算","补充投入工时",IF(AND(H531&lt;'项目驾驶舱'!$B$3,F531&lt;&gt;"已完成"),"确认延期和后续安排","按计划跟踪"))</f>
        <v/>
      </c>
      <c r="L531" s="127" t="n"/>
    </row>
    <row r="532">
      <c r="A532" s="133" t="inlineStr">
        <is>
          <t>贺航</t>
        </is>
      </c>
      <c r="B532" s="133" t="inlineStr">
        <is>
          <t>前端</t>
        </is>
      </c>
      <c r="C532" s="124" t="inlineStr">
        <is>
          <t>T034</t>
        </is>
      </c>
      <c r="D532" s="124" t="inlineStr">
        <is>
          <t>新增船舶靠泊通知单</t>
        </is>
      </c>
      <c r="E532" s="124" t="inlineStr">
        <is>
          <t>第二批次</t>
        </is>
      </c>
      <c r="F532" s="124">
        <f>IF(OR(M37="挂起",M37="暂停",Q37="挂起",Q37="暂停",U37="挂起",U37="暂停",Y37="挂起",Y37="暂停"),"暂停","进行中")</f>
        <v/>
      </c>
      <c r="G532" s="125" t="n">
        <v>46307</v>
      </c>
      <c r="H532" s="125" t="n">
        <v>46339</v>
      </c>
      <c r="I532" s="127" t="n">
        <v>40</v>
      </c>
      <c r="J532" s="124">
        <f>IF(I532="","待估算",IF(F532="已完成","已结束",IF(AND(ISNUMBER(G532),ISNUMBER(H532),G532&lt;='项目驾驶舱'!$B$3,H532&gt;='项目驾驶舱'!$B$3),"进行中","计划中")))</f>
        <v/>
      </c>
      <c r="K532" s="124">
        <f>IF(J532="待估算","补充投入工时",IF(AND(H532&lt;'项目驾驶舱'!$B$3,F532&lt;&gt;"已完成"),"确认延期和后续安排","按计划跟踪"))</f>
        <v/>
      </c>
      <c r="L532" s="127" t="n"/>
    </row>
    <row r="533">
      <c r="C533" s="124" t="inlineStr">
        <is>
          <t>T035</t>
        </is>
      </c>
      <c r="D533" s="124" t="inlineStr">
        <is>
          <t>审批船舶靠泊通知单</t>
        </is>
      </c>
      <c r="E533" s="124" t="inlineStr">
        <is>
          <t>第二批次</t>
        </is>
      </c>
      <c r="F533" s="124">
        <f>IF(OR(M38="挂起",M38="暂停",Q38="挂起",Q38="暂停",U38="挂起",U38="暂停",Y38="挂起",Y38="暂停"),"暂停","进行中")</f>
        <v/>
      </c>
      <c r="G533" s="125" t="n">
        <v>46307</v>
      </c>
      <c r="H533" s="125" t="n">
        <v>46339</v>
      </c>
      <c r="I533" s="127" t="n">
        <v>40</v>
      </c>
      <c r="J533" s="124">
        <f>IF(I533="","待估算",IF(F533="已完成","已结束",IF(AND(ISNUMBER(G533),ISNUMBER(H533),G533&lt;='项目驾驶舱'!$B$3,H533&gt;='项目驾驶舱'!$B$3),"进行中","计划中")))</f>
        <v/>
      </c>
      <c r="K533" s="124">
        <f>IF(J533="待估算","补充投入工时",IF(AND(H533&lt;'项目驾驶舱'!$B$3,F533&lt;&gt;"已完成"),"确认延期和后续安排","按计划跟踪"))</f>
        <v/>
      </c>
      <c r="L533" s="127" t="n"/>
    </row>
    <row r="534">
      <c r="C534" s="124" t="inlineStr">
        <is>
          <t>T036</t>
        </is>
      </c>
      <c r="D534" s="124" t="inlineStr">
        <is>
          <t>查询船舶靠泊通知单</t>
        </is>
      </c>
      <c r="E534" s="124" t="inlineStr">
        <is>
          <t>第二批次</t>
        </is>
      </c>
      <c r="F534" s="124">
        <f>IF(OR(M39="挂起",M39="暂停",Q39="挂起",Q39="暂停",U39="挂起",U39="暂停",Y39="挂起",Y39="暂停"),"暂停","进行中")</f>
        <v/>
      </c>
      <c r="G534" s="125" t="n">
        <v>46307</v>
      </c>
      <c r="H534" s="125" t="n">
        <v>46339</v>
      </c>
      <c r="I534" s="127" t="n">
        <v>40</v>
      </c>
      <c r="J534" s="124">
        <f>IF(I534="","待估算",IF(F534="已完成","已结束",IF(AND(ISNUMBER(G534),ISNUMBER(H534),G534&lt;='项目驾驶舱'!$B$3,H534&gt;='项目驾驶舱'!$B$3),"进行中","计划中")))</f>
        <v/>
      </c>
      <c r="K534" s="124">
        <f>IF(J534="待估算","补充投入工时",IF(AND(H534&lt;'项目驾驶舱'!$B$3,F534&lt;&gt;"已完成"),"确认延期和后续安排","按计划跟踪"))</f>
        <v/>
      </c>
      <c r="L534" s="127" t="n"/>
    </row>
    <row r="535">
      <c r="C535" s="124" t="inlineStr">
        <is>
          <t>T046</t>
        </is>
      </c>
      <c r="D535" s="124" t="inlineStr">
        <is>
          <t>新增船舶预到（外贸）</t>
        </is>
      </c>
      <c r="E535" s="124" t="inlineStr">
        <is>
          <t>第二批次</t>
        </is>
      </c>
      <c r="F535" s="124">
        <f>IF(OR(M49="挂起",M49="暂停",Q49="挂起",Q49="暂停",U49="挂起",U49="暂停",Y49="挂起",Y49="暂停"),"暂停","已完成")</f>
        <v/>
      </c>
      <c r="G535" s="125" t="n">
        <v>46307</v>
      </c>
      <c r="H535" s="125" t="n">
        <v>46339</v>
      </c>
      <c r="I535" s="127" t="n">
        <v>40</v>
      </c>
      <c r="J535" s="124">
        <f>IF(I535="","待估算",IF(F535="已完成","已结束",IF(AND(ISNUMBER(G535),ISNUMBER(H535),G535&lt;='项目驾驶舱'!$B$3,H535&gt;='项目驾驶舱'!$B$3),"进行中","计划中")))</f>
        <v/>
      </c>
      <c r="K535" s="124">
        <f>IF(J535="待估算","补充投入工时",IF(AND(H535&lt;'项目驾驶舱'!$B$3,F535&lt;&gt;"已完成"),"确认延期和后续安排","按计划跟踪"))</f>
        <v/>
      </c>
      <c r="L535" s="127" t="n"/>
    </row>
    <row r="536">
      <c r="C536" s="124" t="inlineStr">
        <is>
          <t>T047</t>
        </is>
      </c>
      <c r="D536" s="124" t="inlineStr">
        <is>
          <t>退回船舶预到（外贸）</t>
        </is>
      </c>
      <c r="E536" s="124" t="inlineStr">
        <is>
          <t>第二批次</t>
        </is>
      </c>
      <c r="F536" s="124">
        <f>IF(OR(M50="挂起",M50="暂停",Q50="挂起",Q50="暂停",U50="挂起",U50="暂停",Y50="挂起",Y50="暂停"),"暂停","未开始")</f>
        <v/>
      </c>
      <c r="G536" s="125" t="n">
        <v>46307</v>
      </c>
      <c r="H536" s="125" t="n">
        <v>46339</v>
      </c>
      <c r="I536" s="127" t="n">
        <v>40</v>
      </c>
      <c r="J536" s="124">
        <f>IF(I536="","待估算",IF(F536="已完成","已结束",IF(AND(ISNUMBER(G536),ISNUMBER(H536),G536&lt;='项目驾驶舱'!$B$3,H536&gt;='项目驾驶舱'!$B$3),"进行中","计划中")))</f>
        <v/>
      </c>
      <c r="K536" s="124">
        <f>IF(J536="待估算","补充投入工时",IF(AND(H536&lt;'项目驾驶舱'!$B$3,F536&lt;&gt;"已完成"),"确认延期和后续安排","按计划跟踪"))</f>
        <v/>
      </c>
      <c r="L536" s="127" t="n"/>
    </row>
    <row r="537">
      <c r="C537" s="124" t="inlineStr">
        <is>
          <t>T048</t>
        </is>
      </c>
      <c r="D537" s="124" t="inlineStr">
        <is>
          <t>退回船舶预到（外贸）</t>
        </is>
      </c>
      <c r="E537" s="124" t="inlineStr">
        <is>
          <t>第二批次</t>
        </is>
      </c>
      <c r="F537" s="124">
        <f>IF(OR(M51="挂起",M51="暂停",Q51="挂起",Q51="暂停",U51="挂起",U51="暂停",Y51="挂起",Y51="暂停"),"暂停","未开始")</f>
        <v/>
      </c>
      <c r="G537" s="125" t="n">
        <v>46307</v>
      </c>
      <c r="H537" s="125" t="n">
        <v>46339</v>
      </c>
      <c r="I537" s="127" t="n">
        <v>40</v>
      </c>
      <c r="J537" s="124">
        <f>IF(I537="","待估算",IF(F537="已完成","已结束",IF(AND(ISNUMBER(G537),ISNUMBER(H537),G537&lt;='项目驾驶舱'!$B$3,H537&gt;='项目驾驶舱'!$B$3),"进行中","计划中")))</f>
        <v/>
      </c>
      <c r="K537" s="124">
        <f>IF(J537="待估算","补充投入工时",IF(AND(H537&lt;'项目驾驶舱'!$B$3,F537&lt;&gt;"已完成"),"确认延期和后续安排","按计划跟踪"))</f>
        <v/>
      </c>
      <c r="L537" s="127" t="n"/>
    </row>
    <row r="538">
      <c r="C538" s="124" t="inlineStr">
        <is>
          <t>T049</t>
        </is>
      </c>
      <c r="D538" s="124" t="inlineStr">
        <is>
          <t>申请采样申请（外贸）</t>
        </is>
      </c>
      <c r="E538" s="124" t="inlineStr">
        <is>
          <t>第二批次</t>
        </is>
      </c>
      <c r="F538" s="124">
        <f>IF(OR(M52="挂起",M52="暂停",Q52="挂起",Q52="暂停",U52="挂起",U52="暂停",Y52="挂起",Y52="暂停"),"暂停","已完成")</f>
        <v/>
      </c>
      <c r="G538" s="125" t="n">
        <v>46307</v>
      </c>
      <c r="H538" s="125" t="n">
        <v>46339</v>
      </c>
      <c r="I538" s="127" t="n">
        <v>40</v>
      </c>
      <c r="J538" s="124">
        <f>IF(I538="","待估算",IF(F538="已完成","已结束",IF(AND(ISNUMBER(G538),ISNUMBER(H538),G538&lt;='项目驾驶舱'!$B$3,H538&gt;='项目驾驶舱'!$B$3),"进行中","计划中")))</f>
        <v/>
      </c>
      <c r="K538" s="124">
        <f>IF(J538="待估算","补充投入工时",IF(AND(H538&lt;'项目驾驶舱'!$B$3,F538&lt;&gt;"已完成"),"确认延期和后续安排","按计划跟踪"))</f>
        <v/>
      </c>
      <c r="L538" s="127" t="n"/>
    </row>
    <row r="539">
      <c r="C539" s="124" t="inlineStr">
        <is>
          <t>T078</t>
        </is>
      </c>
      <c r="D539" s="124" t="inlineStr">
        <is>
          <t>业务数据合同签订校验</t>
        </is>
      </c>
      <c r="E539" s="124" t="inlineStr">
        <is>
          <t>第二批次</t>
        </is>
      </c>
      <c r="F539" s="124">
        <f>IF(OR(M81="挂起",M81="暂停",Q81="挂起",Q81="暂停",U81="挂起",U81="暂停",Y81="挂起",Y81="暂停"),"暂停","未开始")</f>
        <v/>
      </c>
      <c r="G539" s="125" t="n">
        <v>46307</v>
      </c>
      <c r="H539" s="125" t="n">
        <v>46339</v>
      </c>
      <c r="I539" s="127" t="n">
        <v>40</v>
      </c>
      <c r="J539" s="124">
        <f>IF(I539="","待估算",IF(F539="已完成","已结束",IF(AND(ISNUMBER(G539),ISNUMBER(H539),G539&lt;='项目驾驶舱'!$B$3,H539&gt;='项目驾驶舱'!$B$3),"进行中","计划中")))</f>
        <v/>
      </c>
      <c r="K539" s="124">
        <f>IF(J539="待估算","补充投入工时",IF(AND(H539&lt;'项目驾驶舱'!$B$3,F539&lt;&gt;"已完成"),"确认延期和后续安排","按计划跟踪"))</f>
        <v/>
      </c>
      <c r="L539" s="127" t="n"/>
    </row>
    <row r="540">
      <c r="C540" s="124" t="inlineStr">
        <is>
          <t>T079</t>
        </is>
      </c>
      <c r="D540" s="124" t="inlineStr">
        <is>
          <t>结算数据合同签订校验</t>
        </is>
      </c>
      <c r="E540" s="124" t="inlineStr">
        <is>
          <t>第二批次</t>
        </is>
      </c>
      <c r="F540" s="124">
        <f>IF(OR(M82="挂起",M82="暂停",Q82="挂起",Q82="暂停",U82="挂起",U82="暂停",Y82="挂起",Y82="暂停"),"暂停","未开始")</f>
        <v/>
      </c>
      <c r="G540" s="125" t="n">
        <v>46307</v>
      </c>
      <c r="H540" s="125" t="n">
        <v>46339</v>
      </c>
      <c r="I540" s="127" t="n">
        <v>40</v>
      </c>
      <c r="J540" s="124">
        <f>IF(I540="","待估算",IF(F540="已完成","已结束",IF(AND(ISNUMBER(G540),ISNUMBER(H540),G540&lt;='项目驾驶舱'!$B$3,H540&gt;='项目驾驶舱'!$B$3),"进行中","计划中")))</f>
        <v/>
      </c>
      <c r="K540" s="124">
        <f>IF(J540="待估算","补充投入工时",IF(AND(H540&lt;'项目驾驶舱'!$B$3,F540&lt;&gt;"已完成"),"确认延期和后续安排","按计划跟踪"))</f>
        <v/>
      </c>
      <c r="L540" s="127" t="n"/>
    </row>
    <row r="541">
      <c r="C541" s="124" t="inlineStr">
        <is>
          <t>T080</t>
        </is>
      </c>
      <c r="D541" s="124" t="inlineStr">
        <is>
          <t>合同校验结果查询</t>
        </is>
      </c>
      <c r="E541" s="124" t="inlineStr">
        <is>
          <t>第二批次</t>
        </is>
      </c>
      <c r="F541" s="124">
        <f>IF(OR(M83="挂起",M83="暂停",Q83="挂起",Q83="暂停",U83="挂起",U83="暂停",Y83="挂起",Y83="暂停"),"暂停","未开始")</f>
        <v/>
      </c>
      <c r="G541" s="125" t="n">
        <v>46307</v>
      </c>
      <c r="H541" s="125" t="n">
        <v>46339</v>
      </c>
      <c r="I541" s="127" t="n">
        <v>40</v>
      </c>
      <c r="J541" s="124">
        <f>IF(I541="","待估算",IF(F541="已完成","已结束",IF(AND(ISNUMBER(G541),ISNUMBER(H541),G541&lt;='项目驾驶舱'!$B$3,H541&gt;='项目驾驶舱'!$B$3),"进行中","计划中")))</f>
        <v/>
      </c>
      <c r="K541" s="124">
        <f>IF(J541="待估算","补充投入工时",IF(AND(H541&lt;'项目驾驶舱'!$B$3,F541&lt;&gt;"已完成"),"确认延期和后续安排","按计划跟踪"))</f>
        <v/>
      </c>
      <c r="L541" s="127" t="n"/>
    </row>
    <row r="542">
      <c r="C542" s="124" t="inlineStr">
        <is>
          <t>T081</t>
        </is>
      </c>
      <c r="D542" s="124" t="inlineStr">
        <is>
          <t>数据对接</t>
        </is>
      </c>
      <c r="E542" s="124" t="inlineStr">
        <is>
          <t>第二批次</t>
        </is>
      </c>
      <c r="F542" s="124">
        <f>IF(OR(M84="挂起",M84="暂停",Q84="挂起",Q84="暂停",U84="挂起",U84="暂停",Y84="挂起",Y84="暂停"),"暂停","未开始")</f>
        <v/>
      </c>
      <c r="G542" s="125" t="n">
        <v>46307</v>
      </c>
      <c r="H542" s="125" t="n">
        <v>46339</v>
      </c>
      <c r="I542" s="127" t="n">
        <v>40</v>
      </c>
      <c r="J542" s="124">
        <f>IF(I542="","待估算",IF(F542="已完成","已结束",IF(AND(ISNUMBER(G542),ISNUMBER(H542),G542&lt;='项目驾驶舱'!$B$3,H542&gt;='项目驾驶舱'!$B$3),"进行中","计划中")))</f>
        <v/>
      </c>
      <c r="K542" s="124">
        <f>IF(J542="待估算","补充投入工时",IF(AND(H542&lt;'项目驾驶舱'!$B$3,F542&lt;&gt;"已完成"),"确认延期和后续安排","按计划跟踪"))</f>
        <v/>
      </c>
      <c r="L542" s="127" t="n"/>
    </row>
    <row r="543">
      <c r="A543" s="22" t="n"/>
      <c r="B543" s="22" t="n"/>
      <c r="C543" s="124" t="inlineStr">
        <is>
          <t>T082</t>
        </is>
      </c>
      <c r="D543" s="124" t="inlineStr">
        <is>
          <t>数据展示</t>
        </is>
      </c>
      <c r="E543" s="124" t="inlineStr">
        <is>
          <t>第二批次</t>
        </is>
      </c>
      <c r="F543" s="124">
        <f>IF(OR(M85="挂起",M85="暂停",Q85="挂起",Q85="暂停",U85="挂起",U85="暂停",Y85="挂起",Y85="暂停"),"暂停","未开始")</f>
        <v/>
      </c>
      <c r="G543" s="125" t="n">
        <v>46307</v>
      </c>
      <c r="H543" s="125" t="n">
        <v>46339</v>
      </c>
      <c r="I543" s="127" t="n">
        <v>40</v>
      </c>
      <c r="J543" s="124">
        <f>IF(I543="","待估算",IF(F543="已完成","已结束",IF(AND(ISNUMBER(G543),ISNUMBER(H543),G543&lt;='项目驾驶舱'!$B$3,H543&gt;='项目驾驶舱'!$B$3),"进行中","计划中")))</f>
        <v/>
      </c>
      <c r="K543" s="124">
        <f>IF(J543="待估算","补充投入工时",IF(AND(H543&lt;'项目驾驶舱'!$B$3,F543&lt;&gt;"已完成"),"确认延期和后续安排","按计划跟踪"))</f>
        <v/>
      </c>
      <c r="L543" s="127" t="n"/>
    </row>
    <row r="544">
      <c r="A544" s="133" t="inlineStr">
        <is>
          <t>贺航</t>
        </is>
      </c>
      <c r="B544" s="133" t="inlineStr">
        <is>
          <t>前端</t>
        </is>
      </c>
      <c r="C544" s="124" t="inlineStr">
        <is>
          <t>T083</t>
        </is>
      </c>
      <c r="D544" s="124" t="inlineStr">
        <is>
          <t>数据对接</t>
        </is>
      </c>
      <c r="E544" s="124" t="inlineStr">
        <is>
          <t>第二批次</t>
        </is>
      </c>
      <c r="F544" s="124">
        <f>IF(OR(M86="挂起",M86="暂停",Q86="挂起",Q86="暂停",U86="挂起",U86="暂停",Y86="挂起",Y86="暂停"),"暂停","未开始")</f>
        <v/>
      </c>
      <c r="G544" s="125" t="n">
        <v>46307</v>
      </c>
      <c r="H544" s="125" t="n">
        <v>46339</v>
      </c>
      <c r="I544" s="127" t="n">
        <v>40</v>
      </c>
      <c r="J544" s="124">
        <f>IF(I544="","待估算",IF(F544="已完成","已结束",IF(AND(ISNUMBER(G544),ISNUMBER(H544),G544&lt;='项目驾驶舱'!$B$3,H544&gt;='项目驾驶舱'!$B$3),"进行中","计划中")))</f>
        <v/>
      </c>
      <c r="K544" s="124">
        <f>IF(J544="待估算","补充投入工时",IF(AND(H544&lt;'项目驾驶舱'!$B$3,F544&lt;&gt;"已完成"),"确认延期和后续安排","按计划跟踪"))</f>
        <v/>
      </c>
      <c r="L544" s="127" t="n"/>
    </row>
    <row r="545">
      <c r="C545" s="124" t="inlineStr">
        <is>
          <t>T084</t>
        </is>
      </c>
      <c r="D545" s="124" t="inlineStr">
        <is>
          <t>数据产生</t>
        </is>
      </c>
      <c r="E545" s="124" t="inlineStr">
        <is>
          <t>第二批次</t>
        </is>
      </c>
      <c r="F545" s="124">
        <f>IF(OR(M87="挂起",M87="暂停",Q87="挂起",Q87="暂停",U87="挂起",U87="暂停",Y87="挂起",Y87="暂停"),"暂停","未开始")</f>
        <v/>
      </c>
      <c r="G545" s="125" t="n">
        <v>46307</v>
      </c>
      <c r="H545" s="125" t="n">
        <v>46339</v>
      </c>
      <c r="I545" s="127" t="n">
        <v>40</v>
      </c>
      <c r="J545" s="124">
        <f>IF(I545="","待估算",IF(F545="已完成","已结束",IF(AND(ISNUMBER(G545),ISNUMBER(H545),G545&lt;='项目驾驶舱'!$B$3,H545&gt;='项目驾驶舱'!$B$3),"进行中","计划中")))</f>
        <v/>
      </c>
      <c r="K545" s="124">
        <f>IF(J545="待估算","补充投入工时",IF(AND(H545&lt;'项目驾驶舱'!$B$3,F545&lt;&gt;"已完成"),"确认延期和后续安排","按计划跟踪"))</f>
        <v/>
      </c>
      <c r="L545" s="127" t="n"/>
    </row>
    <row r="546">
      <c r="C546" s="124" t="inlineStr">
        <is>
          <t>T085</t>
        </is>
      </c>
      <c r="D546" s="124" t="inlineStr">
        <is>
          <t>数据对接</t>
        </is>
      </c>
      <c r="E546" s="124" t="inlineStr">
        <is>
          <t>第二批次</t>
        </is>
      </c>
      <c r="F546" s="124">
        <f>IF(OR(M88="挂起",M88="暂停",Q88="挂起",Q88="暂停",U88="挂起",U88="暂停",Y88="挂起",Y88="暂停"),"暂停","未开始")</f>
        <v/>
      </c>
      <c r="G546" s="125" t="n">
        <v>46307</v>
      </c>
      <c r="H546" s="125" t="n">
        <v>46339</v>
      </c>
      <c r="I546" s="127" t="n">
        <v>40</v>
      </c>
      <c r="J546" s="124">
        <f>IF(I546="","待估算",IF(F546="已完成","已结束",IF(AND(ISNUMBER(G546),ISNUMBER(H546),G546&lt;='项目驾驶舱'!$B$3,H546&gt;='项目驾驶舱'!$B$3),"进行中","计划中")))</f>
        <v/>
      </c>
      <c r="K546" s="124">
        <f>IF(J546="待估算","补充投入工时",IF(AND(H546&lt;'项目驾驶舱'!$B$3,F546&lt;&gt;"已完成"),"确认延期和后续安排","按计划跟踪"))</f>
        <v/>
      </c>
      <c r="L546" s="127" t="n"/>
    </row>
    <row r="547">
      <c r="C547" s="124" t="inlineStr">
        <is>
          <t>T086</t>
        </is>
      </c>
      <c r="D547" s="124" t="inlineStr">
        <is>
          <t>数据展示</t>
        </is>
      </c>
      <c r="E547" s="124" t="inlineStr">
        <is>
          <t>第二批次</t>
        </is>
      </c>
      <c r="F547" s="124">
        <f>IF(OR(M89="挂起",M89="暂停",Q89="挂起",Q89="暂停",U89="挂起",U89="暂停",Y89="挂起",Y89="暂停"),"暂停","未开始")</f>
        <v/>
      </c>
      <c r="G547" s="125" t="n">
        <v>46307</v>
      </c>
      <c r="H547" s="125" t="n">
        <v>46339</v>
      </c>
      <c r="I547" s="127" t="n">
        <v>40</v>
      </c>
      <c r="J547" s="124">
        <f>IF(I547="","待估算",IF(F547="已完成","已结束",IF(AND(ISNUMBER(G547),ISNUMBER(H547),G547&lt;='项目驾驶舱'!$B$3,H547&gt;='项目驾驶舱'!$B$3),"进行中","计划中")))</f>
        <v/>
      </c>
      <c r="K547" s="124">
        <f>IF(J547="待估算","补充投入工时",IF(AND(H547&lt;'项目驾驶舱'!$B$3,F547&lt;&gt;"已完成"),"确认延期和后续安排","按计划跟踪"))</f>
        <v/>
      </c>
      <c r="L547" s="127" t="n"/>
    </row>
    <row r="548">
      <c r="C548" s="124" t="inlineStr">
        <is>
          <t>T087</t>
        </is>
      </c>
      <c r="D548" s="124" t="inlineStr">
        <is>
          <t>数据对接</t>
        </is>
      </c>
      <c r="E548" s="124" t="inlineStr">
        <is>
          <t>第二批次</t>
        </is>
      </c>
      <c r="F548" s="124">
        <f>IF(OR(M90="挂起",M90="暂停",Q90="挂起",Q90="暂停",U90="挂起",U90="暂停",Y90="挂起",Y90="暂停"),"暂停","未开始")</f>
        <v/>
      </c>
      <c r="G548" s="125" t="n">
        <v>46307</v>
      </c>
      <c r="H548" s="125" t="n">
        <v>46339</v>
      </c>
      <c r="I548" s="127" t="n">
        <v>40</v>
      </c>
      <c r="J548" s="124">
        <f>IF(I548="","待估算",IF(F548="已完成","已结束",IF(AND(ISNUMBER(G548),ISNUMBER(H548),G548&lt;='项目驾驶舱'!$B$3,H548&gt;='项目驾驶舱'!$B$3),"进行中","计划中")))</f>
        <v/>
      </c>
      <c r="K548" s="124">
        <f>IF(J548="待估算","补充投入工时",IF(AND(H548&lt;'项目驾驶舱'!$B$3,F548&lt;&gt;"已完成"),"确认延期和后续安排","按计划跟踪"))</f>
        <v/>
      </c>
      <c r="L548" s="127" t="n"/>
    </row>
    <row r="549">
      <c r="C549" s="124" t="inlineStr">
        <is>
          <t>T088</t>
        </is>
      </c>
      <c r="D549" s="124" t="inlineStr">
        <is>
          <t>数据展示</t>
        </is>
      </c>
      <c r="E549" s="124" t="inlineStr">
        <is>
          <t>第二批次</t>
        </is>
      </c>
      <c r="F549" s="124">
        <f>IF(OR(M91="挂起",M91="暂停",Q91="挂起",Q91="暂停",U91="挂起",U91="暂停",Y91="挂起",Y91="暂停"),"暂停","未开始")</f>
        <v/>
      </c>
      <c r="G549" s="125" t="n">
        <v>46307</v>
      </c>
      <c r="H549" s="125" t="n">
        <v>46339</v>
      </c>
      <c r="I549" s="127" t="n">
        <v>40</v>
      </c>
      <c r="J549" s="124">
        <f>IF(I549="","待估算",IF(F549="已完成","已结束",IF(AND(ISNUMBER(G549),ISNUMBER(H549),G549&lt;='项目驾驶舱'!$B$3,H549&gt;='项目驾驶舱'!$B$3),"进行中","计划中")))</f>
        <v/>
      </c>
      <c r="K549" s="124">
        <f>IF(J549="待估算","补充投入工时",IF(AND(H549&lt;'项目驾驶舱'!$B$3,F549&lt;&gt;"已完成"),"确认延期和后续安排","按计划跟踪"))</f>
        <v/>
      </c>
      <c r="L549" s="127" t="n"/>
    </row>
    <row r="550">
      <c r="C550" s="124" t="inlineStr">
        <is>
          <t>T089</t>
        </is>
      </c>
      <c r="D550" s="124" t="inlineStr">
        <is>
          <t>新增采样服务费（外贸）</t>
        </is>
      </c>
      <c r="E550" s="124" t="inlineStr">
        <is>
          <t>第二批次</t>
        </is>
      </c>
      <c r="F550" s="124">
        <f>IF(OR(M92="挂起",M92="暂停",Q92="挂起",Q92="暂停",U92="挂起",U92="暂停",Y92="挂起",Y92="暂停"),"暂停","未开始")</f>
        <v/>
      </c>
      <c r="G550" s="125" t="n">
        <v>46307</v>
      </c>
      <c r="H550" s="125" t="n">
        <v>46339</v>
      </c>
      <c r="I550" s="127" t="n">
        <v>40</v>
      </c>
      <c r="J550" s="124">
        <f>IF(I550="","待估算",IF(F550="已完成","已结束",IF(AND(ISNUMBER(G550),ISNUMBER(H550),G550&lt;='项目驾驶舱'!$B$3,H550&gt;='项目驾驶舱'!$B$3),"进行中","计划中")))</f>
        <v/>
      </c>
      <c r="K550" s="124">
        <f>IF(J550="待估算","补充投入工时",IF(AND(H550&lt;'项目驾驶舱'!$B$3,F550&lt;&gt;"已完成"),"确认延期和后续安排","按计划跟踪"))</f>
        <v/>
      </c>
      <c r="L550" s="127" t="n"/>
    </row>
    <row r="551">
      <c r="C551" s="124" t="inlineStr">
        <is>
          <t>T090</t>
        </is>
      </c>
      <c r="D551" s="124" t="inlineStr">
        <is>
          <t>审批采样服务费（外贸）</t>
        </is>
      </c>
      <c r="E551" s="124" t="inlineStr">
        <is>
          <t>第二批次</t>
        </is>
      </c>
      <c r="F551" s="124">
        <f>IF(OR(M93="挂起",M93="暂停",Q93="挂起",Q93="暂停",U93="挂起",U93="暂停",Y93="挂起",Y93="暂停"),"暂停","未开始")</f>
        <v/>
      </c>
      <c r="G551" s="125" t="n">
        <v>46307</v>
      </c>
      <c r="H551" s="125" t="n">
        <v>46339</v>
      </c>
      <c r="I551" s="127" t="n">
        <v>40</v>
      </c>
      <c r="J551" s="124">
        <f>IF(I551="","待估算",IF(F551="已完成","已结束",IF(AND(ISNUMBER(G551),ISNUMBER(H551),G551&lt;='项目驾驶舱'!$B$3,H551&gt;='项目驾驶舱'!$B$3),"进行中","计划中")))</f>
        <v/>
      </c>
      <c r="K551" s="124">
        <f>IF(J551="待估算","补充投入工时",IF(AND(H551&lt;'项目驾驶舱'!$B$3,F551&lt;&gt;"已完成"),"确认延期和后续安排","按计划跟踪"))</f>
        <v/>
      </c>
      <c r="L551" s="127" t="n"/>
    </row>
    <row r="552">
      <c r="C552" s="124" t="inlineStr">
        <is>
          <t>T091</t>
        </is>
      </c>
      <c r="D552" s="124" t="inlineStr">
        <is>
          <t>单据签章</t>
        </is>
      </c>
      <c r="E552" s="124" t="inlineStr">
        <is>
          <t>第二批次</t>
        </is>
      </c>
      <c r="F552" s="124">
        <f>IF(OR(M94="挂起",M94="暂停",Q94="挂起",Q94="暂停",U94="挂起",U94="暂停",Y94="挂起",Y94="暂停"),"暂停","未开始")</f>
        <v/>
      </c>
      <c r="G552" s="125" t="n">
        <v>46307</v>
      </c>
      <c r="H552" s="125" t="n">
        <v>46339</v>
      </c>
      <c r="I552" s="127" t="n">
        <v>40</v>
      </c>
      <c r="J552" s="124">
        <f>IF(I552="","待估算",IF(F552="已完成","已结束",IF(AND(ISNUMBER(G552),ISNUMBER(H552),G552&lt;='项目驾驶舱'!$B$3,H552&gt;='项目驾驶舱'!$B$3),"进行中","计划中")))</f>
        <v/>
      </c>
      <c r="K552" s="124">
        <f>IF(J552="待估算","补充投入工时",IF(AND(H552&lt;'项目驾驶舱'!$B$3,F552&lt;&gt;"已完成"),"确认延期和后续安排","按计划跟踪"))</f>
        <v/>
      </c>
      <c r="L552" s="127" t="n"/>
    </row>
    <row r="553">
      <c r="C553" s="124" t="inlineStr">
        <is>
          <t>T092</t>
        </is>
      </c>
      <c r="D553" s="124" t="inlineStr">
        <is>
          <t>数据推送</t>
        </is>
      </c>
      <c r="E553" s="124" t="inlineStr">
        <is>
          <t>第二批次</t>
        </is>
      </c>
      <c r="F553" s="124">
        <f>IF(OR(M95="挂起",M95="暂停",Q95="挂起",Q95="暂停",U95="挂起",U95="暂停",Y95="挂起",Y95="暂停"),"暂停","未开始")</f>
        <v/>
      </c>
      <c r="G553" s="125" t="n">
        <v>46307</v>
      </c>
      <c r="H553" s="125" t="n">
        <v>46339</v>
      </c>
      <c r="I553" s="127" t="n">
        <v>40</v>
      </c>
      <c r="J553" s="124">
        <f>IF(I553="","待估算",IF(F553="已完成","已结束",IF(AND(ISNUMBER(G553),ISNUMBER(H553),G553&lt;='项目驾驶舱'!$B$3,H553&gt;='项目驾驶舱'!$B$3),"进行中","计划中")))</f>
        <v/>
      </c>
      <c r="K553" s="124">
        <f>IF(J553="待估算","补充投入工时",IF(AND(H553&lt;'项目驾驶舱'!$B$3,F553&lt;&gt;"已完成"),"确认延期和后续安排","按计划跟踪"))</f>
        <v/>
      </c>
      <c r="L553" s="127" t="n"/>
    </row>
    <row r="554">
      <c r="C554" s="124" t="inlineStr">
        <is>
          <t>T093</t>
        </is>
      </c>
      <c r="D554" s="124" t="inlineStr">
        <is>
          <t>数据对接</t>
        </is>
      </c>
      <c r="E554" s="124" t="inlineStr">
        <is>
          <t>第二批次</t>
        </is>
      </c>
      <c r="F554" s="124">
        <f>IF(OR(M96="挂起",M96="暂停",Q96="挂起",Q96="暂停",U96="挂起",U96="暂停",Y96="挂起",Y96="暂停"),"暂停","未开始")</f>
        <v/>
      </c>
      <c r="G554" s="125" t="n">
        <v>46307</v>
      </c>
      <c r="H554" s="125" t="n">
        <v>46339</v>
      </c>
      <c r="I554" s="127" t="n">
        <v>40</v>
      </c>
      <c r="J554" s="124">
        <f>IF(I554="","待估算",IF(F554="已完成","已结束",IF(AND(ISNUMBER(G554),ISNUMBER(H554),G554&lt;='项目驾驶舱'!$B$3,H554&gt;='项目驾驶舱'!$B$3),"进行中","计划中")))</f>
        <v/>
      </c>
      <c r="K554" s="124">
        <f>IF(J554="待估算","补充投入工时",IF(AND(H554&lt;'项目驾驶舱'!$B$3,F554&lt;&gt;"已完成"),"确认延期和后续安排","按计划跟踪"))</f>
        <v/>
      </c>
      <c r="L554" s="127" t="n"/>
    </row>
    <row r="555">
      <c r="A555" s="22" t="n"/>
      <c r="B555" s="22" t="n"/>
      <c r="C555" s="124" t="inlineStr">
        <is>
          <t>T094</t>
        </is>
      </c>
      <c r="D555" s="124" t="inlineStr">
        <is>
          <t>数据展示</t>
        </is>
      </c>
      <c r="E555" s="124" t="inlineStr">
        <is>
          <t>第二批次</t>
        </is>
      </c>
      <c r="F555" s="124">
        <f>IF(OR(M97="挂起",M97="暂停",Q97="挂起",Q97="暂停",U97="挂起",U97="暂停",Y97="挂起",Y97="暂停"),"暂停","未开始")</f>
        <v/>
      </c>
      <c r="G555" s="125" t="n">
        <v>46307</v>
      </c>
      <c r="H555" s="125" t="n">
        <v>46339</v>
      </c>
      <c r="I555" s="127" t="n">
        <v>40</v>
      </c>
      <c r="J555" s="124">
        <f>IF(I555="","待估算",IF(F555="已完成","已结束",IF(AND(ISNUMBER(G555),ISNUMBER(H555),G555&lt;='项目驾驶舱'!$B$3,H555&gt;='项目驾驶舱'!$B$3),"进行中","计划中")))</f>
        <v/>
      </c>
      <c r="K555" s="124">
        <f>IF(J555="待估算","补充投入工时",IF(AND(H555&lt;'项目驾驶舱'!$B$3,F555&lt;&gt;"已完成"),"确认延期和后续安排","按计划跟踪"))</f>
        <v/>
      </c>
      <c r="L555" s="127" t="n"/>
    </row>
    <row r="556">
      <c r="A556" s="133" t="inlineStr">
        <is>
          <t>贺航</t>
        </is>
      </c>
      <c r="B556" s="133" t="inlineStr">
        <is>
          <t>前端</t>
        </is>
      </c>
      <c r="C556" s="124" t="inlineStr">
        <is>
          <t>T126</t>
        </is>
      </c>
      <c r="D556" s="124" t="inlineStr">
        <is>
          <t>停泊费（外贸）查询</t>
        </is>
      </c>
      <c r="E556" s="124" t="inlineStr">
        <is>
          <t>第二批次</t>
        </is>
      </c>
      <c r="F556" s="124">
        <f>IF(OR(M129="挂起",M129="暂停",Q129="挂起",Q129="暂停",U129="挂起",U129="暂停",Y129="挂起",Y129="暂停"),"暂停","未开始")</f>
        <v/>
      </c>
      <c r="G556" s="125" t="n">
        <v>46307</v>
      </c>
      <c r="H556" s="125" t="n">
        <v>46339</v>
      </c>
      <c r="I556" s="127" t="n">
        <v>40</v>
      </c>
      <c r="J556" s="124">
        <f>IF(I556="","待估算",IF(F556="已完成","已结束",IF(AND(ISNUMBER(G556),ISNUMBER(H556),G556&lt;='项目驾驶舱'!$B$3,H556&gt;='项目驾驶舱'!$B$3),"进行中","计划中")))</f>
        <v/>
      </c>
      <c r="K556" s="124">
        <f>IF(J556="待估算","补充投入工时",IF(AND(H556&lt;'项目驾驶舱'!$B$3,F556&lt;&gt;"已完成"),"确认延期和后续安排","按计划跟踪"))</f>
        <v/>
      </c>
      <c r="L556" s="127" t="n"/>
    </row>
    <row r="557">
      <c r="C557" s="124" t="inlineStr">
        <is>
          <t>T127</t>
        </is>
      </c>
      <c r="D557" s="124" t="inlineStr">
        <is>
          <t>锚泊费（外贸）查询</t>
        </is>
      </c>
      <c r="E557" s="124" t="inlineStr">
        <is>
          <t>第二批次</t>
        </is>
      </c>
      <c r="F557" s="124">
        <f>IF(OR(M130="挂起",M130="暂停",Q130="挂起",Q130="暂停",U130="挂起",U130="暂停",Y130="挂起",Y130="暂停"),"暂停","未开始")</f>
        <v/>
      </c>
      <c r="G557" s="125" t="n">
        <v>46307</v>
      </c>
      <c r="H557" s="125" t="n">
        <v>46339</v>
      </c>
      <c r="I557" s="127" t="n">
        <v>40</v>
      </c>
      <c r="J557" s="124">
        <f>IF(I557="","待估算",IF(F557="已完成","已结束",IF(AND(ISNUMBER(G557),ISNUMBER(H557),G557&lt;='项目驾驶舱'!$B$3,H557&gt;='项目驾驶舱'!$B$3),"进行中","计划中")))</f>
        <v/>
      </c>
      <c r="K557" s="124">
        <f>IF(J557="待估算","补充投入工时",IF(AND(H557&lt;'项目驾驶舱'!$B$3,F557&lt;&gt;"已完成"),"确认延期和后续安排","按计划跟踪"))</f>
        <v/>
      </c>
      <c r="L557" s="127" t="n"/>
    </row>
    <row r="558">
      <c r="C558" s="124" t="inlineStr">
        <is>
          <t>T128</t>
        </is>
      </c>
      <c r="D558" s="124" t="inlineStr">
        <is>
          <t>堆存费（外贸）查询</t>
        </is>
      </c>
      <c r="E558" s="124" t="inlineStr">
        <is>
          <t>第二批次</t>
        </is>
      </c>
      <c r="F558" s="124">
        <f>IF(OR(M131="挂起",M131="暂停",Q131="挂起",Q131="暂停",U131="挂起",U131="暂停",Y131="挂起",Y131="暂停"),"暂停","未开始")</f>
        <v/>
      </c>
      <c r="G558" s="125" t="n">
        <v>46307</v>
      </c>
      <c r="H558" s="125" t="n">
        <v>46339</v>
      </c>
      <c r="I558" s="127" t="n">
        <v>40</v>
      </c>
      <c r="J558" s="124">
        <f>IF(I558="","待估算",IF(F558="已完成","已结束",IF(AND(ISNUMBER(G558),ISNUMBER(H558),G558&lt;='项目驾驶舱'!$B$3,H558&gt;='项目驾驶舱'!$B$3),"进行中","计划中")))</f>
        <v/>
      </c>
      <c r="K558" s="124">
        <f>IF(J558="待估算","补充投入工时",IF(AND(H558&lt;'项目驾驶舱'!$B$3,F558&lt;&gt;"已完成"),"确认延期和后续安排","按计划跟踪"))</f>
        <v/>
      </c>
      <c r="L558" s="127" t="n"/>
    </row>
    <row r="559">
      <c r="C559" s="124" t="inlineStr">
        <is>
          <t>T129</t>
        </is>
      </c>
      <c r="D559" s="124" t="inlineStr">
        <is>
          <t>卸船费（外贸）查询</t>
        </is>
      </c>
      <c r="E559" s="124" t="inlineStr">
        <is>
          <t>第二批次</t>
        </is>
      </c>
      <c r="F559" s="124">
        <f>IF(OR(M132="挂起",M132="暂停",Q132="挂起",Q132="暂停",U132="挂起",U132="暂停",Y132="挂起",Y132="暂停"),"暂停","未开始")</f>
        <v/>
      </c>
      <c r="G559" s="125" t="n">
        <v>46307</v>
      </c>
      <c r="H559" s="125" t="n">
        <v>46339</v>
      </c>
      <c r="I559" s="127" t="n">
        <v>40</v>
      </c>
      <c r="J559" s="124">
        <f>IF(I559="","待估算",IF(F559="已完成","已结束",IF(AND(ISNUMBER(G559),ISNUMBER(H559),G559&lt;='项目驾驶舱'!$B$3,H559&gt;='项目驾驶舱'!$B$3),"进行中","计划中")))</f>
        <v/>
      </c>
      <c r="K559" s="124">
        <f>IF(J559="待估算","补充投入工时",IF(AND(H559&lt;'项目驾驶舱'!$B$3,F559&lt;&gt;"已完成"),"确认延期和后续安排","按计划跟踪"))</f>
        <v/>
      </c>
      <c r="L559" s="127" t="n"/>
    </row>
    <row r="560">
      <c r="C560" s="124" t="inlineStr">
        <is>
          <t>T130</t>
        </is>
      </c>
      <c r="D560" s="124" t="inlineStr">
        <is>
          <t>采样服务费（外贸）查询</t>
        </is>
      </c>
      <c r="E560" s="124" t="inlineStr">
        <is>
          <t>第二批次</t>
        </is>
      </c>
      <c r="F560" s="124">
        <f>IF(OR(M133="挂起",M133="暂停",Q133="挂起",Q133="暂停",U133="挂起",U133="暂停",Y133="挂起",Y133="暂停"),"暂停","未开始")</f>
        <v/>
      </c>
      <c r="G560" s="125" t="n">
        <v>46307</v>
      </c>
      <c r="H560" s="125" t="n">
        <v>46339</v>
      </c>
      <c r="I560" s="127" t="n">
        <v>40</v>
      </c>
      <c r="J560" s="124">
        <f>IF(I560="","待估算",IF(F560="已完成","已结束",IF(AND(ISNUMBER(G560),ISNUMBER(H560),G560&lt;='项目驾驶舱'!$B$3,H560&gt;='项目驾驶舱'!$B$3),"进行中","计划中")))</f>
        <v/>
      </c>
      <c r="K560" s="124">
        <f>IF(J560="待估算","补充投入工时",IF(AND(H560&lt;'项目驾驶舱'!$B$3,F560&lt;&gt;"已完成"),"确认延期和后续安排","按计划跟踪"))</f>
        <v/>
      </c>
      <c r="L560" s="127" t="n"/>
    </row>
    <row r="561">
      <c r="C561" s="124" t="inlineStr">
        <is>
          <t>T131</t>
        </is>
      </c>
      <c r="D561" s="124" t="inlineStr">
        <is>
          <t>船舶供应服务费（外贸）查询</t>
        </is>
      </c>
      <c r="E561" s="124" t="inlineStr">
        <is>
          <t>第二批次</t>
        </is>
      </c>
      <c r="F561" s="124">
        <f>IF(OR(M134="挂起",M134="暂停",Q134="挂起",Q134="暂停",U134="挂起",U134="暂停",Y134="挂起",Y134="暂停"),"暂停","未开始")</f>
        <v/>
      </c>
      <c r="G561" s="125" t="n">
        <v>46307</v>
      </c>
      <c r="H561" s="125" t="n">
        <v>46339</v>
      </c>
      <c r="I561" s="127" t="n">
        <v>40</v>
      </c>
      <c r="J561" s="124">
        <f>IF(I561="","待估算",IF(F561="已完成","已结束",IF(AND(ISNUMBER(G561),ISNUMBER(H561),G561&lt;='项目驾驶舱'!$B$3,H561&gt;='项目驾驶舱'!$B$3),"进行中","计划中")))</f>
        <v/>
      </c>
      <c r="K561" s="124">
        <f>IF(J561="待估算","补充投入工时",IF(AND(H561&lt;'项目驾驶舱'!$B$3,F561&lt;&gt;"已完成"),"确认延期和后续安排","按计划跟踪"))</f>
        <v/>
      </c>
      <c r="L561" s="127" t="n"/>
    </row>
    <row r="562">
      <c r="C562" s="124" t="inlineStr">
        <is>
          <t>T132</t>
        </is>
      </c>
      <c r="D562" s="124" t="inlineStr">
        <is>
          <t>新增船舶靠泊通知单</t>
        </is>
      </c>
      <c r="E562" s="124" t="inlineStr">
        <is>
          <t>第二批次</t>
        </is>
      </c>
      <c r="F562" s="124">
        <f>IF(OR(M135="挂起",M135="暂停",Q135="挂起",Q135="暂停",U135="挂起",U135="暂停",Y135="挂起",Y135="暂停"),"暂停","未开始")</f>
        <v/>
      </c>
      <c r="G562" s="125" t="n">
        <v>46307</v>
      </c>
      <c r="H562" s="125" t="n">
        <v>46339</v>
      </c>
      <c r="I562" s="127" t="n">
        <v>40</v>
      </c>
      <c r="J562" s="124">
        <f>IF(I562="","待估算",IF(F562="已完成","已结束",IF(AND(ISNUMBER(G562),ISNUMBER(H562),G562&lt;='项目驾驶舱'!$B$3,H562&gt;='项目驾驶舱'!$B$3),"进行中","计划中")))</f>
        <v/>
      </c>
      <c r="K562" s="124">
        <f>IF(J562="待估算","补充投入工时",IF(AND(H562&lt;'项目驾驶舱'!$B$3,F562&lt;&gt;"已完成"),"确认延期和后续安排","按计划跟踪"))</f>
        <v/>
      </c>
      <c r="L562" s="127" t="n"/>
    </row>
    <row r="563">
      <c r="C563" s="124" t="inlineStr">
        <is>
          <t>T133</t>
        </is>
      </c>
      <c r="D563" s="124" t="inlineStr">
        <is>
          <t>查询船舶靠泊通知单</t>
        </is>
      </c>
      <c r="E563" s="124" t="inlineStr">
        <is>
          <t>第二批次</t>
        </is>
      </c>
      <c r="F563" s="124">
        <f>IF(OR(M136="挂起",M136="暂停",Q136="挂起",Q136="暂停",U136="挂起",U136="暂停",Y136="挂起",Y136="暂停"),"暂停","未开始")</f>
        <v/>
      </c>
      <c r="G563" s="125" t="n">
        <v>46307</v>
      </c>
      <c r="H563" s="125" t="n">
        <v>46339</v>
      </c>
      <c r="I563" s="127" t="n">
        <v>40</v>
      </c>
      <c r="J563" s="124">
        <f>IF(I563="","待估算",IF(F563="已完成","已结束",IF(AND(ISNUMBER(G563),ISNUMBER(H563),G563&lt;='项目驾驶舱'!$B$3,H563&gt;='项目驾驶舱'!$B$3),"进行中","计划中")))</f>
        <v/>
      </c>
      <c r="K563" s="124">
        <f>IF(J563="待估算","补充投入工时",IF(AND(H563&lt;'项目驾驶舱'!$B$3,F563&lt;&gt;"已完成"),"确认延期和后续安排","按计划跟踪"))</f>
        <v/>
      </c>
      <c r="L563" s="127" t="n"/>
    </row>
    <row r="564">
      <c r="C564" s="124" t="inlineStr">
        <is>
          <t>T134</t>
        </is>
      </c>
      <c r="D564" s="124" t="inlineStr">
        <is>
          <t>卸船计划查询</t>
        </is>
      </c>
      <c r="E564" s="124" t="inlineStr">
        <is>
          <t>第二批次</t>
        </is>
      </c>
      <c r="F564" s="124">
        <f>IF(OR(M137="挂起",M137="暂停",Q137="挂起",Q137="暂停",U137="挂起",U137="暂停",Y137="挂起",Y137="暂停"),"暂停","未开始")</f>
        <v/>
      </c>
      <c r="G564" s="125" t="n">
        <v>46307</v>
      </c>
      <c r="H564" s="125" t="n">
        <v>46339</v>
      </c>
      <c r="I564" s="127" t="n">
        <v>40</v>
      </c>
      <c r="J564" s="124">
        <f>IF(I564="","待估算",IF(F564="已完成","已结束",IF(AND(ISNUMBER(G564),ISNUMBER(H564),G564&lt;='项目驾驶舱'!$B$3,H564&gt;='项目驾驶舱'!$B$3),"进行中","计划中")))</f>
        <v/>
      </c>
      <c r="K564" s="124">
        <f>IF(J564="待估算","补充投入工时",IF(AND(H564&lt;'项目驾驶舱'!$B$3,F564&lt;&gt;"已完成"),"确认延期和后续安排","按计划跟踪"))</f>
        <v/>
      </c>
      <c r="L564" s="127" t="n"/>
    </row>
    <row r="565">
      <c r="C565" s="124" t="inlineStr">
        <is>
          <t>T135</t>
        </is>
      </c>
      <c r="D565" s="124" t="inlineStr">
        <is>
          <t>卸船查询</t>
        </is>
      </c>
      <c r="E565" s="124" t="inlineStr">
        <is>
          <t>第二批次</t>
        </is>
      </c>
      <c r="F565" s="124">
        <f>IF(OR(M138="挂起",M138="暂停",Q138="挂起",Q138="暂停",U138="挂起",U138="暂停",Y138="挂起",Y138="暂停"),"暂停","未开始")</f>
        <v/>
      </c>
      <c r="G565" s="125" t="n">
        <v>46307</v>
      </c>
      <c r="H565" s="125" t="n">
        <v>46339</v>
      </c>
      <c r="I565" s="127" t="n">
        <v>40</v>
      </c>
      <c r="J565" s="124">
        <f>IF(I565="","待估算",IF(F565="已完成","已结束",IF(AND(ISNUMBER(G565),ISNUMBER(H565),G565&lt;='项目驾驶舱'!$B$3,H565&gt;='项目驾驶舱'!$B$3),"进行中","计划中")))</f>
        <v/>
      </c>
      <c r="K565" s="124">
        <f>IF(J565="待估算","补充投入工时",IF(AND(H565&lt;'项目驾驶舱'!$B$3,F565&lt;&gt;"已完成"),"确认延期和后续安排","按计划跟踪"))</f>
        <v/>
      </c>
      <c r="L565" s="127" t="n"/>
    </row>
    <row r="566">
      <c r="C566" s="124" t="inlineStr">
        <is>
          <t>T136</t>
        </is>
      </c>
      <c r="D566" s="124" t="inlineStr">
        <is>
          <t>卸船作业委托</t>
        </is>
      </c>
      <c r="E566" s="124" t="inlineStr">
        <is>
          <t>第二批次</t>
        </is>
      </c>
      <c r="F566" s="124">
        <f>IF(OR(M139="挂起",M139="暂停",Q139="挂起",Q139="暂停",U139="挂起",U139="暂停",Y139="挂起",Y139="暂停"),"暂停","未开始")</f>
        <v/>
      </c>
      <c r="G566" s="125" t="n">
        <v>46307</v>
      </c>
      <c r="H566" s="125" t="n">
        <v>46339</v>
      </c>
      <c r="I566" s="127" t="n">
        <v>40</v>
      </c>
      <c r="J566" s="124">
        <f>IF(I566="","待估算",IF(F566="已完成","已结束",IF(AND(ISNUMBER(G566),ISNUMBER(H566),G566&lt;='项目驾驶舱'!$B$3,H566&gt;='项目驾驶舱'!$B$3),"进行中","计划中")))</f>
        <v/>
      </c>
      <c r="K566" s="124">
        <f>IF(J566="待估算","补充投入工时",IF(AND(H566&lt;'项目驾驶舱'!$B$3,F566&lt;&gt;"已完成"),"确认延期和后续安排","按计划跟踪"))</f>
        <v/>
      </c>
      <c r="L566" s="127" t="n"/>
    </row>
    <row r="567">
      <c r="A567" s="22" t="n"/>
      <c r="B567" s="22" t="n"/>
      <c r="C567" s="124" t="inlineStr">
        <is>
          <t>T137</t>
        </is>
      </c>
      <c r="D567" s="124" t="inlineStr">
        <is>
          <t>外轮转内贸业务查询</t>
        </is>
      </c>
      <c r="E567" s="124" t="inlineStr">
        <is>
          <t>第二批次</t>
        </is>
      </c>
      <c r="F567" s="124">
        <f>IF(OR(M140="挂起",M140="暂停",Q140="挂起",Q140="暂停",U140="挂起",U140="暂停",Y140="挂起",Y140="暂停"),"暂停","未开始")</f>
        <v/>
      </c>
      <c r="G567" s="125" t="n">
        <v>46307</v>
      </c>
      <c r="H567" s="125" t="n">
        <v>46339</v>
      </c>
      <c r="I567" s="127" t="n">
        <v>40</v>
      </c>
      <c r="J567" s="124">
        <f>IF(I567="","待估算",IF(F567="已完成","已结束",IF(AND(ISNUMBER(G567),ISNUMBER(H567),G567&lt;='项目驾驶舱'!$B$3,H567&gt;='项目驾驶舱'!$B$3),"进行中","计划中")))</f>
        <v/>
      </c>
      <c r="K567" s="124">
        <f>IF(J567="待估算","补充投入工时",IF(AND(H567&lt;'项目驾驶舱'!$B$3,F567&lt;&gt;"已完成"),"确认延期和后续安排","按计划跟踪"))</f>
        <v/>
      </c>
      <c r="L567" s="127" t="n"/>
    </row>
    <row r="568">
      <c r="A568" s="133" t="inlineStr">
        <is>
          <t>贺航</t>
        </is>
      </c>
      <c r="B568" s="133" t="inlineStr">
        <is>
          <t>前端</t>
        </is>
      </c>
      <c r="C568" s="124" t="inlineStr">
        <is>
          <t>T142</t>
        </is>
      </c>
      <c r="D568" s="124" t="inlineStr">
        <is>
          <t>审批船舶靠泊通知单</t>
        </is>
      </c>
      <c r="E568" s="124" t="inlineStr">
        <is>
          <t>第二批次</t>
        </is>
      </c>
      <c r="F568" s="124">
        <f>IF(OR(M145="挂起",M145="暂停",Q145="挂起",Q145="暂停",U145="挂起",U145="暂停",Y145="挂起",Y145="暂停"),"暂停","未开始")</f>
        <v/>
      </c>
      <c r="G568" s="125" t="n">
        <v>46307</v>
      </c>
      <c r="H568" s="125" t="n">
        <v>46339</v>
      </c>
      <c r="I568" s="127" t="n">
        <v>40</v>
      </c>
      <c r="J568" s="124">
        <f>IF(I568="","待估算",IF(F568="已完成","已结束",IF(AND(ISNUMBER(G568),ISNUMBER(H568),G568&lt;='项目驾驶舱'!$B$3,H568&gt;='项目驾驶舱'!$B$3),"进行中","计划中")))</f>
        <v/>
      </c>
      <c r="K568" s="124">
        <f>IF(J568="待估算","补充投入工时",IF(AND(H568&lt;'项目驾驶舱'!$B$3,F568&lt;&gt;"已完成"),"确认延期和后续安排","按计划跟踪"))</f>
        <v/>
      </c>
      <c r="L568" s="127" t="n"/>
    </row>
    <row r="569">
      <c r="A569" s="129" t="inlineStr">
        <is>
          <t>郑士旺</t>
        </is>
      </c>
      <c r="B569" s="129" t="inlineStr">
        <is>
          <t>业务</t>
        </is>
      </c>
      <c r="C569" s="130" t="inlineStr">
        <is>
          <t>T058</t>
        </is>
      </c>
      <c r="D569" s="130" t="inlineStr">
        <is>
          <t>OCR识别及编辑</t>
        </is>
      </c>
      <c r="E569" s="130" t="inlineStr">
        <is>
          <t>第一批次</t>
        </is>
      </c>
      <c r="F569" s="130">
        <f>IF(OR(M61="挂起",M61="暂停",Q61="挂起",Q61="暂停",U61="挂起",U61="暂停",Y61="挂起",Y61="暂停"),"暂停","已完成")</f>
        <v/>
      </c>
      <c r="G569" s="131" t="inlineStr">
        <is>
          <t>/</t>
        </is>
      </c>
      <c r="H569" s="131" t="inlineStr">
        <is>
          <t>/</t>
        </is>
      </c>
      <c r="I569" s="132" t="n">
        <v>40</v>
      </c>
      <c r="J569" s="130">
        <f>IF(I569="","待估算",IF(F569="已完成","已结束",IF(AND(ISNUMBER(G569),ISNUMBER(H569),G569&lt;='项目驾驶舱'!$B$3,H569&gt;='项目驾驶舱'!$B$3),"进行中","计划中")))</f>
        <v/>
      </c>
      <c r="K569" s="130">
        <f>IF(J569="待估算","补充投入工时",IF(AND(H569&lt;'项目驾驶舱'!$B$3,F569&lt;&gt;"已完成"),"确认延期和后续安排","按计划跟踪"))</f>
        <v/>
      </c>
      <c r="L569" s="132" t="n"/>
    </row>
    <row r="570">
      <c r="C570" s="124" t="inlineStr">
        <is>
          <t>T069</t>
        </is>
      </c>
      <c r="D570" s="124" t="inlineStr">
        <is>
          <t>新增、详情、修改页内容调整</t>
        </is>
      </c>
      <c r="E570" s="124" t="inlineStr">
        <is>
          <t>第一批次</t>
        </is>
      </c>
      <c r="F570" s="124">
        <f>IF(OR(M72="挂起",M72="暂停",Q72="挂起",Q72="暂停",U72="挂起",U72="暂停",Y72="挂起",Y72="暂停"),"暂停","已完成")</f>
        <v/>
      </c>
      <c r="G570" s="125" t="inlineStr">
        <is>
          <t>/</t>
        </is>
      </c>
      <c r="H570" s="125" t="inlineStr">
        <is>
          <t>/</t>
        </is>
      </c>
      <c r="I570" s="127" t="n">
        <v>40</v>
      </c>
      <c r="J570" s="124">
        <f>IF(I570="","待估算",IF(F570="已完成","已结束",IF(AND(ISNUMBER(G570),ISNUMBER(H570),G570&lt;='项目驾驶舱'!$B$3,H570&gt;='项目驾驶舱'!$B$3),"进行中","计划中")))</f>
        <v/>
      </c>
      <c r="K570" s="124">
        <f>IF(J570="待估算","补充投入工时",IF(AND(H570&lt;'项目驾驶舱'!$B$3,F570&lt;&gt;"已完成"),"确认延期和后续安排","按计划跟踪"))</f>
        <v/>
      </c>
      <c r="L570" s="127" t="n"/>
    </row>
    <row r="571">
      <c r="C571" s="124" t="inlineStr">
        <is>
          <t>T070</t>
        </is>
      </c>
      <c r="D571" s="124" t="inlineStr">
        <is>
          <t>生成报告</t>
        </is>
      </c>
      <c r="E571" s="124" t="inlineStr">
        <is>
          <t>第一批次</t>
        </is>
      </c>
      <c r="F571" s="124">
        <f>IF(OR(M73="挂起",M73="暂停",Q73="挂起",Q73="暂停",U73="挂起",U73="暂停",Y73="挂起",Y73="暂停"),"暂停","已完成")</f>
        <v/>
      </c>
      <c r="G571" s="125" t="inlineStr">
        <is>
          <t>/</t>
        </is>
      </c>
      <c r="H571" s="125" t="inlineStr">
        <is>
          <t>/</t>
        </is>
      </c>
      <c r="I571" s="127" t="n">
        <v>40</v>
      </c>
      <c r="J571" s="124">
        <f>IF(I571="","待估算",IF(F571="已完成","已结束",IF(AND(ISNUMBER(G571),ISNUMBER(H571),G571&lt;='项目驾驶舱'!$B$3,H571&gt;='项目驾驶舱'!$B$3),"进行中","计划中")))</f>
        <v/>
      </c>
      <c r="K571" s="124">
        <f>IF(J571="待估算","补充投入工时",IF(AND(H571&lt;'项目驾驶舱'!$B$3,F571&lt;&gt;"已完成"),"确认延期和后续安排","按计划跟踪"))</f>
        <v/>
      </c>
      <c r="L571" s="127" t="n"/>
    </row>
    <row r="572">
      <c r="C572" s="124" t="inlineStr">
        <is>
          <t>T071</t>
        </is>
      </c>
      <c r="D572" s="124" t="inlineStr">
        <is>
          <t>装船作业信息录入优化（太仓）</t>
        </is>
      </c>
      <c r="E572" s="124" t="inlineStr">
        <is>
          <t>第一批次</t>
        </is>
      </c>
      <c r="F572" s="124">
        <f>IF(OR(M74="挂起",M74="暂停",Q74="挂起",Q74="暂停",U74="挂起",U74="暂停",Y74="挂起",Y74="暂停"),"暂停","已完成")</f>
        <v/>
      </c>
      <c r="G572" s="125" t="inlineStr">
        <is>
          <t>/</t>
        </is>
      </c>
      <c r="H572" s="125" t="inlineStr">
        <is>
          <t>/</t>
        </is>
      </c>
      <c r="I572" s="127" t="n">
        <v>40</v>
      </c>
      <c r="J572" s="124">
        <f>IF(I572="","待估算",IF(F572="已完成","已结束",IF(AND(ISNUMBER(G572),ISNUMBER(H572),G572&lt;='项目驾驶舱'!$B$3,H572&gt;='项目驾驶舱'!$B$3),"进行中","计划中")))</f>
        <v/>
      </c>
      <c r="K572" s="124">
        <f>IF(J572="待估算","补充投入工时",IF(AND(H572&lt;'项目驾驶舱'!$B$3,F572&lt;&gt;"已完成"),"确认延期和后续安排","按计划跟踪"))</f>
        <v/>
      </c>
      <c r="L572" s="127" t="n"/>
    </row>
    <row r="573">
      <c r="C573" s="124" t="inlineStr">
        <is>
          <t>T117</t>
        </is>
      </c>
      <c r="D573" s="124" t="inlineStr">
        <is>
          <t>经营任务情况分析报告</t>
        </is>
      </c>
      <c r="E573" s="124" t="inlineStr">
        <is>
          <t>第一批次</t>
        </is>
      </c>
      <c r="F573" s="124">
        <f>IF(OR(M120="挂起",M120="暂停",Q120="挂起",Q120="暂停",U120="挂起",U120="暂停",Y120="挂起",Y120="暂停"),"暂停","已完成")</f>
        <v/>
      </c>
      <c r="G573" s="125" t="inlineStr">
        <is>
          <t>/</t>
        </is>
      </c>
      <c r="H573" s="125" t="inlineStr">
        <is>
          <t>/</t>
        </is>
      </c>
      <c r="I573" s="127" t="n">
        <v>40</v>
      </c>
      <c r="J573" s="124">
        <f>IF(I573="","待估算",IF(F573="已完成","已结束",IF(AND(ISNUMBER(G573),ISNUMBER(H573),G573&lt;='项目驾驶舱'!$B$3,H573&gt;='项目驾驶舱'!$B$3),"进行中","计划中")))</f>
        <v/>
      </c>
      <c r="K573" s="124">
        <f>IF(J573="待估算","补充投入工时",IF(AND(H573&lt;'项目驾驶舱'!$B$3,F573&lt;&gt;"已完成"),"确认延期和后续安排","按计划跟踪"))</f>
        <v/>
      </c>
      <c r="L573" s="127" t="n"/>
    </row>
    <row r="574">
      <c r="C574" s="124" t="inlineStr">
        <is>
          <t>T118</t>
        </is>
      </c>
      <c r="D574" s="124" t="inlineStr">
        <is>
          <t>客户月报报告</t>
        </is>
      </c>
      <c r="E574" s="124" t="inlineStr">
        <is>
          <t>第一批次</t>
        </is>
      </c>
      <c r="F574" s="124">
        <f>IF(OR(M121="挂起",M121="暂停",Q121="挂起",Q121="暂停",U121="挂起",U121="暂停",Y121="挂起",Y121="暂停"),"暂停","已完成")</f>
        <v/>
      </c>
      <c r="G574" s="125" t="inlineStr">
        <is>
          <t>/</t>
        </is>
      </c>
      <c r="H574" s="125" t="inlineStr">
        <is>
          <t>/</t>
        </is>
      </c>
      <c r="I574" s="127" t="n">
        <v>40</v>
      </c>
      <c r="J574" s="124">
        <f>IF(I574="","待估算",IF(F574="已完成","已结束",IF(AND(ISNUMBER(G574),ISNUMBER(H574),G574&lt;='项目驾驶舱'!$B$3,H574&gt;='项目驾驶舱'!$B$3),"进行中","计划中")))</f>
        <v/>
      </c>
      <c r="K574" s="124">
        <f>IF(J574="待估算","补充投入工时",IF(AND(H574&lt;'项目驾驶舱'!$B$3,F574&lt;&gt;"已完成"),"确认延期和后续安排","按计划跟踪"))</f>
        <v/>
      </c>
      <c r="L574" s="127" t="n"/>
    </row>
    <row r="575">
      <c r="C575" s="124" t="inlineStr">
        <is>
          <t>T119</t>
        </is>
      </c>
      <c r="D575" s="124" t="inlineStr">
        <is>
          <t>月度客户情况报告</t>
        </is>
      </c>
      <c r="E575" s="124" t="inlineStr">
        <is>
          <t>第一批次</t>
        </is>
      </c>
      <c r="F575" s="124">
        <f>IF(OR(M122="挂起",M122="暂停",Q122="挂起",Q122="暂停",U122="挂起",U122="暂停",Y122="挂起",Y122="暂停"),"暂停","已完成")</f>
        <v/>
      </c>
      <c r="G575" s="125" t="inlineStr">
        <is>
          <t>/</t>
        </is>
      </c>
      <c r="H575" s="125" t="inlineStr">
        <is>
          <t>/</t>
        </is>
      </c>
      <c r="I575" s="127" t="n">
        <v>40</v>
      </c>
      <c r="J575" s="124">
        <f>IF(I575="","待估算",IF(F575="已完成","已结束",IF(AND(ISNUMBER(G575),ISNUMBER(H575),G575&lt;='项目驾驶舱'!$B$3,H575&gt;='项目驾驶舱'!$B$3),"进行中","计划中")))</f>
        <v/>
      </c>
      <c r="K575" s="124">
        <f>IF(J575="待估算","补充投入工时",IF(AND(H575&lt;'项目驾驶舱'!$B$3,F575&lt;&gt;"已完成"),"确认延期和后续安排","按计划跟踪"))</f>
        <v/>
      </c>
      <c r="L575" s="127" t="n"/>
    </row>
    <row r="576">
      <c r="C576" s="124" t="inlineStr">
        <is>
          <t>T120</t>
        </is>
      </c>
      <c r="D576" s="124" t="inlineStr">
        <is>
          <t>商务计划周报</t>
        </is>
      </c>
      <c r="E576" s="124" t="inlineStr">
        <is>
          <t>第一批次</t>
        </is>
      </c>
      <c r="F576" s="124">
        <f>IF(OR(M123="挂起",M123="暂停",Q123="挂起",Q123="暂停",U123="挂起",U123="暂停",Y123="挂起",Y123="暂停"),"暂停","已完成")</f>
        <v/>
      </c>
      <c r="G576" s="125" t="inlineStr">
        <is>
          <t>/</t>
        </is>
      </c>
      <c r="H576" s="125" t="inlineStr">
        <is>
          <t>/</t>
        </is>
      </c>
      <c r="I576" s="127" t="n">
        <v>40</v>
      </c>
      <c r="J576" s="124">
        <f>IF(I576="","待估算",IF(F576="已完成","已结束",IF(AND(ISNUMBER(G576),ISNUMBER(H576),G576&lt;='项目驾驶舱'!$B$3,H576&gt;='项目驾驶舱'!$B$3),"进行中","计划中")))</f>
        <v/>
      </c>
      <c r="K576" s="124">
        <f>IF(J576="待估算","补充投入工时",IF(AND(H576&lt;'项目驾驶舱'!$B$3,F576&lt;&gt;"已完成"),"确认延期和后续安排","按计划跟踪"))</f>
        <v/>
      </c>
      <c r="L576" s="127" t="n"/>
    </row>
    <row r="577">
      <c r="C577" s="124" t="inlineStr">
        <is>
          <t>T001</t>
        </is>
      </c>
      <c r="D577" s="124" t="inlineStr">
        <is>
          <t>新增车辆信息</t>
        </is>
      </c>
      <c r="E577" s="124" t="inlineStr">
        <is>
          <t>第一批次</t>
        </is>
      </c>
      <c r="F577" s="124">
        <f>IF(OR(M4="挂起",M4="暂停",Q4="挂起",Q4="暂停",U4="挂起",U4="暂停",Y4="挂起",Y4="暂停"),"暂停","已完成")</f>
        <v/>
      </c>
      <c r="G577" s="125" t="n">
        <v>46202</v>
      </c>
      <c r="H577" s="125" t="n">
        <v>46206</v>
      </c>
      <c r="I577" s="127" t="n">
        <v>40</v>
      </c>
      <c r="J577" s="124">
        <f>IF(I577="","待估算",IF(F577="已完成","已结束",IF(AND(ISNUMBER(G577),ISNUMBER(H577),G577&lt;='项目驾驶舱'!$B$3,H577&gt;='项目驾驶舱'!$B$3),"进行中","计划中")))</f>
        <v/>
      </c>
      <c r="K577" s="124">
        <f>IF(J577="待估算","补充投入工时",IF(AND(H577&lt;'项目驾驶舱'!$B$3,F577&lt;&gt;"已完成"),"确认延期和后续安排","按计划跟踪"))</f>
        <v/>
      </c>
      <c r="L577" s="127" t="n"/>
    </row>
    <row r="578">
      <c r="C578" s="124" t="inlineStr">
        <is>
          <t>T002</t>
        </is>
      </c>
      <c r="D578" s="124" t="inlineStr">
        <is>
          <t>修改车辆信息</t>
        </is>
      </c>
      <c r="E578" s="124" t="inlineStr">
        <is>
          <t>第一批次</t>
        </is>
      </c>
      <c r="F578" s="124">
        <f>IF(OR(M5="挂起",M5="暂停",Q5="挂起",Q5="暂停",U5="挂起",U5="暂停",Y5="挂起",Y5="暂停"),"暂停","已完成")</f>
        <v/>
      </c>
      <c r="G578" s="125" t="n">
        <v>46202</v>
      </c>
      <c r="H578" s="125" t="n">
        <v>46206</v>
      </c>
      <c r="I578" s="127" t="n">
        <v>40</v>
      </c>
      <c r="J578" s="124">
        <f>IF(I578="","待估算",IF(F578="已完成","已结束",IF(AND(ISNUMBER(G578),ISNUMBER(H578),G578&lt;='项目驾驶舱'!$B$3,H578&gt;='项目驾驶舱'!$B$3),"进行中","计划中")))</f>
        <v/>
      </c>
      <c r="K578" s="124">
        <f>IF(J578="待估算","补充投入工时",IF(AND(H578&lt;'项目驾驶舱'!$B$3,F578&lt;&gt;"已完成"),"确认延期和后续安排","按计划跟踪"))</f>
        <v/>
      </c>
      <c r="L578" s="127" t="n"/>
    </row>
    <row r="579">
      <c r="C579" s="124" t="inlineStr">
        <is>
          <t>T003</t>
        </is>
      </c>
      <c r="D579" s="124" t="inlineStr">
        <is>
          <t>删除车辆信息</t>
        </is>
      </c>
      <c r="E579" s="124" t="inlineStr">
        <is>
          <t>第一批次</t>
        </is>
      </c>
      <c r="F579" s="124">
        <f>IF(OR(M6="挂起",M6="暂停",Q6="挂起",Q6="暂停",U6="挂起",U6="暂停",Y6="挂起",Y6="暂停"),"暂停","已完成")</f>
        <v/>
      </c>
      <c r="G579" s="125" t="n">
        <v>46202</v>
      </c>
      <c r="H579" s="125" t="n">
        <v>46206</v>
      </c>
      <c r="I579" s="127" t="n">
        <v>40</v>
      </c>
      <c r="J579" s="124">
        <f>IF(I579="","待估算",IF(F579="已完成","已结束",IF(AND(ISNUMBER(G579),ISNUMBER(H579),G579&lt;='项目驾驶舱'!$B$3,H579&gt;='项目驾驶舱'!$B$3),"进行中","计划中")))</f>
        <v/>
      </c>
      <c r="K579" s="124">
        <f>IF(J579="待估算","补充投入工时",IF(AND(H579&lt;'项目驾驶舱'!$B$3,F579&lt;&gt;"已完成"),"确认延期和后续安排","按计划跟踪"))</f>
        <v/>
      </c>
      <c r="L579" s="127" t="n"/>
    </row>
    <row r="580">
      <c r="A580" s="22" t="n"/>
      <c r="B580" s="22" t="n"/>
      <c r="C580" s="124" t="inlineStr">
        <is>
          <t>T004</t>
        </is>
      </c>
      <c r="D580" s="124" t="inlineStr">
        <is>
          <t>查询展示车辆信息</t>
        </is>
      </c>
      <c r="E580" s="124" t="inlineStr">
        <is>
          <t>第一批次</t>
        </is>
      </c>
      <c r="F580" s="124">
        <f>IF(OR(M7="挂起",M7="暂停",Q7="挂起",Q7="暂停",U7="挂起",U7="暂停",Y7="挂起",Y7="暂停"),"暂停","已完成")</f>
        <v/>
      </c>
      <c r="G580" s="125" t="n">
        <v>46202</v>
      </c>
      <c r="H580" s="125" t="n">
        <v>46206</v>
      </c>
      <c r="I580" s="127" t="n">
        <v>40</v>
      </c>
      <c r="J580" s="124">
        <f>IF(I580="","待估算",IF(F580="已完成","已结束",IF(AND(ISNUMBER(G580),ISNUMBER(H580),G580&lt;='项目驾驶舱'!$B$3,H580&gt;='项目驾驶舱'!$B$3),"进行中","计划中")))</f>
        <v/>
      </c>
      <c r="K580" s="124">
        <f>IF(J580="待估算","补充投入工时",IF(AND(H580&lt;'项目驾驶舱'!$B$3,F580&lt;&gt;"已完成"),"确认延期和后续安排","按计划跟踪"))</f>
        <v/>
      </c>
      <c r="L580" s="127" t="n"/>
    </row>
    <row r="581">
      <c r="A581" s="133" t="inlineStr">
        <is>
          <t>郑士旺</t>
        </is>
      </c>
      <c r="B581" s="133" t="inlineStr">
        <is>
          <t>业务</t>
        </is>
      </c>
      <c r="C581" s="124" t="inlineStr">
        <is>
          <t>T006</t>
        </is>
      </c>
      <c r="D581" s="124" t="inlineStr">
        <is>
          <t>优化收费标准（装卸费）新增</t>
        </is>
      </c>
      <c r="E581" s="124" t="inlineStr">
        <is>
          <t>第一批次</t>
        </is>
      </c>
      <c r="F581" s="124">
        <f>IF(OR(M9="挂起",M9="暂停",Q9="挂起",Q9="暂停",U9="挂起",U9="暂停",Y9="挂起",Y9="暂停"),"暂停","已完成")</f>
        <v/>
      </c>
      <c r="G581" s="125" t="n">
        <v>46202</v>
      </c>
      <c r="H581" s="125" t="n">
        <v>46206</v>
      </c>
      <c r="I581" s="127" t="n">
        <v>40</v>
      </c>
      <c r="J581" s="124">
        <f>IF(I581="","待估算",IF(F581="已完成","已结束",IF(AND(ISNUMBER(G581),ISNUMBER(H581),G581&lt;='项目驾驶舱'!$B$3,H581&gt;='项目驾驶舱'!$B$3),"进行中","计划中")))</f>
        <v/>
      </c>
      <c r="K581" s="124">
        <f>IF(J581="待估算","补充投入工时",IF(AND(H581&lt;'项目驾驶舱'!$B$3,F581&lt;&gt;"已完成"),"确认延期和后续安排","按计划跟踪"))</f>
        <v/>
      </c>
      <c r="L581" s="127" t="n"/>
    </row>
    <row r="582">
      <c r="C582" s="124" t="inlineStr">
        <is>
          <t>T007</t>
        </is>
      </c>
      <c r="D582" s="124" t="inlineStr">
        <is>
          <t>优化收费标准（装卸费）编辑</t>
        </is>
      </c>
      <c r="E582" s="124" t="inlineStr">
        <is>
          <t>第一批次</t>
        </is>
      </c>
      <c r="F582" s="124">
        <f>IF(OR(M10="挂起",M10="暂停",Q10="挂起",Q10="暂停",U10="挂起",U10="暂停",Y10="挂起",Y10="暂停"),"暂停","已完成")</f>
        <v/>
      </c>
      <c r="G582" s="125" t="n">
        <v>46202</v>
      </c>
      <c r="H582" s="125" t="n">
        <v>46206</v>
      </c>
      <c r="I582" s="127" t="n">
        <v>40</v>
      </c>
      <c r="J582" s="124">
        <f>IF(I582="","待估算",IF(F582="已完成","已结束",IF(AND(ISNUMBER(G582),ISNUMBER(H582),G582&lt;='项目驾驶舱'!$B$3,H582&gt;='项目驾驶舱'!$B$3),"进行中","计划中")))</f>
        <v/>
      </c>
      <c r="K582" s="124">
        <f>IF(J582="待估算","补充投入工时",IF(AND(H582&lt;'项目驾驶舱'!$B$3,F582&lt;&gt;"已完成"),"确认延期和后续安排","按计划跟踪"))</f>
        <v/>
      </c>
      <c r="L582" s="127" t="n"/>
    </row>
    <row r="583">
      <c r="C583" s="124" t="inlineStr">
        <is>
          <t>T008</t>
        </is>
      </c>
      <c r="D583" s="124" t="inlineStr">
        <is>
          <t>优化收费标准（装卸费）详情</t>
        </is>
      </c>
      <c r="E583" s="124" t="inlineStr">
        <is>
          <t>第一批次</t>
        </is>
      </c>
      <c r="F583" s="124">
        <f>IF(OR(M11="挂起",M11="暂停",Q11="挂起",Q11="暂停",U11="挂起",U11="暂停",Y11="挂起",Y11="暂停"),"暂停","已完成")</f>
        <v/>
      </c>
      <c r="G583" s="125" t="n">
        <v>46202</v>
      </c>
      <c r="H583" s="125" t="n">
        <v>46206</v>
      </c>
      <c r="I583" s="127" t="n">
        <v>40</v>
      </c>
      <c r="J583" s="124">
        <f>IF(I583="","待估算",IF(F583="已完成","已结束",IF(AND(ISNUMBER(G583),ISNUMBER(H583),G583&lt;='项目驾驶舱'!$B$3,H583&gt;='项目驾驶舱'!$B$3),"进行中","计划中")))</f>
        <v/>
      </c>
      <c r="K583" s="124">
        <f>IF(J583="待估算","补充投入工时",IF(AND(H583&lt;'项目驾驶舱'!$B$3,F583&lt;&gt;"已完成"),"确认延期和后续安排","按计划跟踪"))</f>
        <v/>
      </c>
      <c r="L583" s="127" t="n"/>
    </row>
    <row r="584">
      <c r="C584" s="124" t="inlineStr">
        <is>
          <t>T009</t>
        </is>
      </c>
      <c r="D584" s="124" t="inlineStr">
        <is>
          <t>优化采样方式新增</t>
        </is>
      </c>
      <c r="E584" s="124" t="inlineStr">
        <is>
          <t>第一批次</t>
        </is>
      </c>
      <c r="F584" s="124">
        <f>IF(OR(M12="挂起",M12="暂停",Q12="挂起",Q12="暂停",U12="挂起",U12="暂停",Y12="挂起",Y12="暂停"),"暂停","已完成")</f>
        <v/>
      </c>
      <c r="G584" s="125" t="n">
        <v>46202</v>
      </c>
      <c r="H584" s="125" t="n">
        <v>46206</v>
      </c>
      <c r="I584" s="127" t="n">
        <v>40</v>
      </c>
      <c r="J584" s="124">
        <f>IF(I584="","待估算",IF(F584="已完成","已结束",IF(AND(ISNUMBER(G584),ISNUMBER(H584),G584&lt;='项目驾驶舱'!$B$3,H584&gt;='项目驾驶舱'!$B$3),"进行中","计划中")))</f>
        <v/>
      </c>
      <c r="K584" s="124">
        <f>IF(J584="待估算","补充投入工时",IF(AND(H584&lt;'项目驾驶舱'!$B$3,F584&lt;&gt;"已完成"),"确认延期和后续安排","按计划跟踪"))</f>
        <v/>
      </c>
      <c r="L584" s="127" t="n"/>
    </row>
    <row r="585">
      <c r="C585" s="124" t="inlineStr">
        <is>
          <t>T010</t>
        </is>
      </c>
      <c r="D585" s="124" t="inlineStr">
        <is>
          <t>优化采样方式编辑</t>
        </is>
      </c>
      <c r="E585" s="124" t="inlineStr">
        <is>
          <t>第一批次</t>
        </is>
      </c>
      <c r="F585" s="124">
        <f>IF(OR(M13="挂起",M13="暂停",Q13="挂起",Q13="暂停",U13="挂起",U13="暂停",Y13="挂起",Y13="暂停"),"暂停","已完成")</f>
        <v/>
      </c>
      <c r="G585" s="125" t="n">
        <v>46202</v>
      </c>
      <c r="H585" s="125" t="n">
        <v>46206</v>
      </c>
      <c r="I585" s="127" t="n">
        <v>40</v>
      </c>
      <c r="J585" s="124">
        <f>IF(I585="","待估算",IF(F585="已完成","已结束",IF(AND(ISNUMBER(G585),ISNUMBER(H585),G585&lt;='项目驾驶舱'!$B$3,H585&gt;='项目驾驶舱'!$B$3),"进行中","计划中")))</f>
        <v/>
      </c>
      <c r="K585" s="124">
        <f>IF(J585="待估算","补充投入工时",IF(AND(H585&lt;'项目驾驶舱'!$B$3,F585&lt;&gt;"已完成"),"确认延期和后续安排","按计划跟踪"))</f>
        <v/>
      </c>
      <c r="L585" s="127" t="n"/>
    </row>
    <row r="586">
      <c r="C586" s="124" t="inlineStr">
        <is>
          <t>T011</t>
        </is>
      </c>
      <c r="D586" s="124" t="inlineStr">
        <is>
          <t>获取报单数据及展示</t>
        </is>
      </c>
      <c r="E586" s="124" t="inlineStr">
        <is>
          <t>第一批次</t>
        </is>
      </c>
      <c r="F586" s="124">
        <f>IF(OR(M14="挂起",M14="暂停",Q14="挂起",Q14="暂停",U14="挂起",U14="暂停",Y14="挂起",Y14="暂停"),"暂停","已完成")</f>
        <v/>
      </c>
      <c r="G586" s="125" t="n">
        <v>46202</v>
      </c>
      <c r="H586" s="125" t="n">
        <v>46206</v>
      </c>
      <c r="I586" s="127" t="n">
        <v>40</v>
      </c>
      <c r="J586" s="124">
        <f>IF(I586="","待估算",IF(F586="已完成","已结束",IF(AND(ISNUMBER(G586),ISNUMBER(H586),G586&lt;='项目驾驶舱'!$B$3,H586&gt;='项目驾驶舱'!$B$3),"进行中","计划中")))</f>
        <v/>
      </c>
      <c r="K586" s="124">
        <f>IF(J586="待估算","补充投入工时",IF(AND(H586&lt;'项目驾驶舱'!$B$3,F586&lt;&gt;"已完成"),"确认延期和后续安排","按计划跟踪"))</f>
        <v/>
      </c>
      <c r="L586" s="127" t="n"/>
    </row>
    <row r="587">
      <c r="C587" s="124" t="inlineStr">
        <is>
          <t>T012</t>
        </is>
      </c>
      <c r="D587" s="124" t="inlineStr">
        <is>
          <t>应单入口</t>
        </is>
      </c>
      <c r="E587" s="124" t="inlineStr">
        <is>
          <t>第一批次</t>
        </is>
      </c>
      <c r="F587" s="124">
        <f>IF(OR(M15="挂起",M15="暂停",Q15="挂起",Q15="暂停",U15="挂起",U15="暂停",Y15="挂起",Y15="暂停"),"暂停","已完成")</f>
        <v/>
      </c>
      <c r="G587" s="125" t="n">
        <v>46202</v>
      </c>
      <c r="H587" s="125" t="n">
        <v>46206</v>
      </c>
      <c r="I587" s="127" t="n">
        <v>40</v>
      </c>
      <c r="J587" s="124">
        <f>IF(I587="","待估算",IF(F587="已完成","已结束",IF(AND(ISNUMBER(G587),ISNUMBER(H587),G587&lt;='项目驾驶舱'!$B$3,H587&gt;='项目驾驶舱'!$B$3),"进行中","计划中")))</f>
        <v/>
      </c>
      <c r="K587" s="124">
        <f>IF(J587="待估算","补充投入工时",IF(AND(H587&lt;'项目驾驶舱'!$B$3,F587&lt;&gt;"已完成"),"确认延期和后续安排","按计划跟踪"))</f>
        <v/>
      </c>
      <c r="L587" s="127" t="n"/>
    </row>
    <row r="588">
      <c r="C588" s="124" t="inlineStr">
        <is>
          <t>T050</t>
        </is>
      </c>
      <c r="D588" s="124" t="inlineStr">
        <is>
          <t>维护需跟踪船舶清单</t>
        </is>
      </c>
      <c r="E588" s="124" t="inlineStr">
        <is>
          <t>第一批次</t>
        </is>
      </c>
      <c r="F588" s="124">
        <f>IF(OR(M53="挂起",M53="暂停",Q53="挂起",Q53="暂停",U53="挂起",U53="暂停",Y53="挂起",Y53="暂停"),"暂停","进行中")</f>
        <v/>
      </c>
      <c r="G588" s="125" t="n">
        <v>46202</v>
      </c>
      <c r="H588" s="125" t="n">
        <v>46206</v>
      </c>
      <c r="I588" s="127" t="n">
        <v>40</v>
      </c>
      <c r="J588" s="124">
        <f>IF(I588="","待估算",IF(F588="已完成","已结束",IF(AND(ISNUMBER(G588),ISNUMBER(H588),G588&lt;='项目驾驶舱'!$B$3,H588&gt;='项目驾驶舱'!$B$3),"进行中","计划中")))</f>
        <v/>
      </c>
      <c r="K588" s="124">
        <f>IF(J588="待估算","补充投入工时",IF(AND(H588&lt;'项目驾驶舱'!$B$3,F588&lt;&gt;"已完成"),"确认延期和后续安排","按计划跟踪"))</f>
        <v/>
      </c>
      <c r="L588" s="127" t="n"/>
    </row>
    <row r="589">
      <c r="C589" s="124" t="inlineStr">
        <is>
          <t>T051</t>
        </is>
      </c>
      <c r="D589" s="124" t="inlineStr">
        <is>
          <t>根据船舶清单更新第三方系统推送数据船舶清单</t>
        </is>
      </c>
      <c r="E589" s="124" t="inlineStr">
        <is>
          <t>第一批次</t>
        </is>
      </c>
      <c r="F589" s="124">
        <f>IF(OR(M54="挂起",M54="暂停",Q54="挂起",Q54="暂停",U54="挂起",U54="暂停",Y54="挂起",Y54="暂停"),"暂停","进行中")</f>
        <v/>
      </c>
      <c r="G589" s="125" t="n">
        <v>46202</v>
      </c>
      <c r="H589" s="125" t="n">
        <v>46206</v>
      </c>
      <c r="I589" s="127" t="n">
        <v>40</v>
      </c>
      <c r="J589" s="124">
        <f>IF(I589="","待估算",IF(F589="已完成","已结束",IF(AND(ISNUMBER(G589),ISNUMBER(H589),G589&lt;='项目驾驶舱'!$B$3,H589&gt;='项目驾驶舱'!$B$3),"进行中","计划中")))</f>
        <v/>
      </c>
      <c r="K589" s="124">
        <f>IF(J589="待估算","补充投入工时",IF(AND(H589&lt;'项目驾驶舱'!$B$3,F589&lt;&gt;"已完成"),"确认延期和后续安排","按计划跟踪"))</f>
        <v/>
      </c>
      <c r="L589" s="127" t="n"/>
    </row>
    <row r="590">
      <c r="C590" s="124" t="inlineStr">
        <is>
          <t>T052</t>
        </is>
      </c>
      <c r="D590" s="124" t="inlineStr">
        <is>
          <t>船舶轨迹跟踪</t>
        </is>
      </c>
      <c r="E590" s="124" t="inlineStr">
        <is>
          <t>第一批次</t>
        </is>
      </c>
      <c r="F590" s="124">
        <f>IF(OR(M55="挂起",M55="暂停",Q55="挂起",Q55="暂停",U55="挂起",U55="暂停",Y55="挂起",Y55="暂停"),"暂停","进行中")</f>
        <v/>
      </c>
      <c r="G590" s="125" t="n">
        <v>46202</v>
      </c>
      <c r="H590" s="125" t="n">
        <v>46206</v>
      </c>
      <c r="I590" s="127" t="n">
        <v>40</v>
      </c>
      <c r="J590" s="124">
        <f>IF(I590="","待估算",IF(F590="已完成","已结束",IF(AND(ISNUMBER(G590),ISNUMBER(H590),G590&lt;='项目驾驶舱'!$B$3,H590&gt;='项目驾驶舱'!$B$3),"进行中","计划中")))</f>
        <v/>
      </c>
      <c r="K590" s="124">
        <f>IF(J590="待估算","补充投入工时",IF(AND(H590&lt;'项目驾驶舱'!$B$3,F590&lt;&gt;"已完成"),"确认延期和后续安排","按计划跟踪"))</f>
        <v/>
      </c>
      <c r="L590" s="127" t="n"/>
    </row>
    <row r="591">
      <c r="C591" s="124" t="inlineStr">
        <is>
          <t>T060</t>
        </is>
      </c>
      <c r="D591" s="124" t="inlineStr">
        <is>
          <t>货权录入</t>
        </is>
      </c>
      <c r="E591" s="124" t="inlineStr">
        <is>
          <t>第一批次</t>
        </is>
      </c>
      <c r="F591" s="124">
        <f>IF(OR(M63="挂起",M63="暂停",Q63="挂起",Q63="暂停",U63="挂起",U63="暂停",Y63="挂起",Y63="暂停"),"暂停","已完成")</f>
        <v/>
      </c>
      <c r="G591" s="125" t="n">
        <v>46202</v>
      </c>
      <c r="H591" s="125" t="n">
        <v>46206</v>
      </c>
      <c r="I591" s="127" t="n">
        <v>40</v>
      </c>
      <c r="J591" s="124">
        <f>IF(I591="","待估算",IF(F591="已完成","已结束",IF(AND(ISNUMBER(G591),ISNUMBER(H591),G591&lt;='项目驾驶舱'!$B$3,H591&gt;='项目驾驶舱'!$B$3),"进行中","计划中")))</f>
        <v/>
      </c>
      <c r="K591" s="124">
        <f>IF(J591="待估算","补充投入工时",IF(AND(H591&lt;'项目驾驶舱'!$B$3,F591&lt;&gt;"已完成"),"确认延期和后续安排","按计划跟踪"))</f>
        <v/>
      </c>
      <c r="L591" s="127" t="n"/>
    </row>
    <row r="592">
      <c r="A592" s="22" t="n"/>
      <c r="B592" s="22" t="n"/>
      <c r="C592" s="124" t="inlineStr">
        <is>
          <t>T061</t>
        </is>
      </c>
      <c r="D592" s="124" t="inlineStr">
        <is>
          <t>货权修改</t>
        </is>
      </c>
      <c r="E592" s="124" t="inlineStr">
        <is>
          <t>第一批次</t>
        </is>
      </c>
      <c r="F592" s="124">
        <f>IF(OR(M64="挂起",M64="暂停",Q64="挂起",Q64="暂停",U64="挂起",U64="暂停",Y64="挂起",Y64="暂停"),"暂停","已完成")</f>
        <v/>
      </c>
      <c r="G592" s="125" t="n">
        <v>46202</v>
      </c>
      <c r="H592" s="125" t="n">
        <v>46206</v>
      </c>
      <c r="I592" s="127" t="n">
        <v>40</v>
      </c>
      <c r="J592" s="124">
        <f>IF(I592="","待估算",IF(F592="已完成","已结束",IF(AND(ISNUMBER(G592),ISNUMBER(H592),G592&lt;='项目驾驶舱'!$B$3,H592&gt;='项目驾驶舱'!$B$3),"进行中","计划中")))</f>
        <v/>
      </c>
      <c r="K592" s="124">
        <f>IF(J592="待估算","补充投入工时",IF(AND(H592&lt;'项目驾驶舱'!$B$3,F592&lt;&gt;"已完成"),"确认延期和后续安排","按计划跟踪"))</f>
        <v/>
      </c>
      <c r="L592" s="127" t="n"/>
    </row>
    <row r="593">
      <c r="A593" s="133" t="inlineStr">
        <is>
          <t>郑士旺</t>
        </is>
      </c>
      <c r="B593" s="133" t="inlineStr">
        <is>
          <t>业务</t>
        </is>
      </c>
      <c r="C593" s="124" t="inlineStr">
        <is>
          <t>T062</t>
        </is>
      </c>
      <c r="D593" s="124" t="inlineStr">
        <is>
          <t>获取查询</t>
        </is>
      </c>
      <c r="E593" s="124" t="inlineStr">
        <is>
          <t>第一批次</t>
        </is>
      </c>
      <c r="F593" s="124">
        <f>IF(OR(M65="挂起",M65="暂停",Q65="挂起",Q65="暂停",U65="挂起",U65="暂停",Y65="挂起",Y65="暂停"),"暂停","已完成")</f>
        <v/>
      </c>
      <c r="G593" s="125" t="n">
        <v>46202</v>
      </c>
      <c r="H593" s="125" t="n">
        <v>46206</v>
      </c>
      <c r="I593" s="127" t="n">
        <v>40</v>
      </c>
      <c r="J593" s="124">
        <f>IF(I593="","待估算",IF(F593="已完成","已结束",IF(AND(ISNUMBER(G593),ISNUMBER(H593),G593&lt;='项目驾驶舱'!$B$3,H593&gt;='项目驾驶舱'!$B$3),"进行中","计划中")))</f>
        <v/>
      </c>
      <c r="K593" s="124">
        <f>IF(J593="待估算","补充投入工时",IF(AND(H593&lt;'项目驾驶舱'!$B$3,F593&lt;&gt;"已完成"),"确认延期和后续安排","按计划跟踪"))</f>
        <v/>
      </c>
      <c r="L593" s="127" t="n"/>
    </row>
    <row r="594">
      <c r="C594" s="124" t="inlineStr">
        <is>
          <t>T063</t>
        </is>
      </c>
      <c r="D594" s="124" t="inlineStr">
        <is>
          <t>卸船作业货权跟踪</t>
        </is>
      </c>
      <c r="E594" s="124" t="inlineStr">
        <is>
          <t>第一批次</t>
        </is>
      </c>
      <c r="F594" s="124">
        <f>IF(OR(M66="挂起",M66="暂停",Q66="挂起",Q66="暂停",U66="挂起",U66="暂停",Y66="挂起",Y66="暂停"),"暂停","已完成")</f>
        <v/>
      </c>
      <c r="G594" s="125" t="n">
        <v>46202</v>
      </c>
      <c r="H594" s="125" t="n">
        <v>46206</v>
      </c>
      <c r="I594" s="127" t="n">
        <v>40</v>
      </c>
      <c r="J594" s="124">
        <f>IF(I594="","待估算",IF(F594="已完成","已结束",IF(AND(ISNUMBER(G594),ISNUMBER(H594),G594&lt;='项目驾驶舱'!$B$3,H594&gt;='项目驾驶舱'!$B$3),"进行中","计划中")))</f>
        <v/>
      </c>
      <c r="K594" s="124">
        <f>IF(J594="待估算","补充投入工时",IF(AND(H594&lt;'项目驾驶舱'!$B$3,F594&lt;&gt;"已完成"),"确认延期和后续安排","按计划跟踪"))</f>
        <v/>
      </c>
      <c r="L594" s="127" t="n"/>
    </row>
    <row r="595">
      <c r="C595" s="124" t="inlineStr">
        <is>
          <t>T064</t>
        </is>
      </c>
      <c r="D595" s="124" t="inlineStr">
        <is>
          <t>卸船作业货权跟踪</t>
        </is>
      </c>
      <c r="E595" s="124" t="inlineStr">
        <is>
          <t>第一批次</t>
        </is>
      </c>
      <c r="F595" s="124">
        <f>IF(OR(M67="挂起",M67="暂停",Q67="挂起",Q67="暂停",U67="挂起",U67="暂停",Y67="挂起",Y67="暂停"),"暂停","已完成")</f>
        <v/>
      </c>
      <c r="G595" s="125" t="n">
        <v>46202</v>
      </c>
      <c r="H595" s="125" t="n">
        <v>46206</v>
      </c>
      <c r="I595" s="127" t="n">
        <v>40</v>
      </c>
      <c r="J595" s="124">
        <f>IF(I595="","待估算",IF(F595="已完成","已结束",IF(AND(ISNUMBER(G595),ISNUMBER(H595),G595&lt;='项目驾驶舱'!$B$3,H595&gt;='项目驾驶舱'!$B$3),"进行中","计划中")))</f>
        <v/>
      </c>
      <c r="K595" s="124">
        <f>IF(J595="待估算","补充投入工时",IF(AND(H595&lt;'项目驾驶舱'!$B$3,F595&lt;&gt;"已完成"),"确认延期和后续安排","按计划跟踪"))</f>
        <v/>
      </c>
      <c r="L595" s="127" t="n"/>
    </row>
    <row r="596">
      <c r="C596" s="124" t="inlineStr">
        <is>
          <t>T065</t>
        </is>
      </c>
      <c r="D596" s="124" t="inlineStr">
        <is>
          <t>装船作业货权跟踪</t>
        </is>
      </c>
      <c r="E596" s="124" t="inlineStr">
        <is>
          <t>第一批次</t>
        </is>
      </c>
      <c r="F596" s="124">
        <f>IF(OR(M68="挂起",M68="暂停",Q68="挂起",Q68="暂停",U68="挂起",U68="暂停",Y68="挂起",Y68="暂停"),"暂停","已完成")</f>
        <v/>
      </c>
      <c r="G596" s="125" t="n">
        <v>46202</v>
      </c>
      <c r="H596" s="125" t="n">
        <v>46206</v>
      </c>
      <c r="I596" s="127" t="n">
        <v>40</v>
      </c>
      <c r="J596" s="124">
        <f>IF(I596="","待估算",IF(F596="已完成","已结束",IF(AND(ISNUMBER(G596),ISNUMBER(H596),G596&lt;='项目驾驶舱'!$B$3,H596&gt;='项目驾驶舱'!$B$3),"进行中","计划中")))</f>
        <v/>
      </c>
      <c r="K596" s="124">
        <f>IF(J596="待估算","补充投入工时",IF(AND(H596&lt;'项目驾驶舱'!$B$3,F596&lt;&gt;"已完成"),"确认延期和后续安排","按计划跟踪"))</f>
        <v/>
      </c>
      <c r="L596" s="127" t="n"/>
    </row>
    <row r="597">
      <c r="C597" s="124" t="inlineStr">
        <is>
          <t>T066</t>
        </is>
      </c>
      <c r="D597" s="124" t="inlineStr">
        <is>
          <t>装船作业货权跟踪</t>
        </is>
      </c>
      <c r="E597" s="124" t="inlineStr">
        <is>
          <t>第一批次</t>
        </is>
      </c>
      <c r="F597" s="124">
        <f>IF(OR(M69="挂起",M69="暂停",Q69="挂起",Q69="暂停",U69="挂起",U69="暂停",Y69="挂起",Y69="暂停"),"暂停","已完成")</f>
        <v/>
      </c>
      <c r="G597" s="125" t="n">
        <v>46202</v>
      </c>
      <c r="H597" s="125" t="n">
        <v>46206</v>
      </c>
      <c r="I597" s="127" t="n">
        <v>40</v>
      </c>
      <c r="J597" s="124">
        <f>IF(I597="","待估算",IF(F597="已完成","已结束",IF(AND(ISNUMBER(G597),ISNUMBER(H597),G597&lt;='项目驾驶舱'!$B$3,H597&gt;='项目驾驶舱'!$B$3),"进行中","计划中")))</f>
        <v/>
      </c>
      <c r="K597" s="124">
        <f>IF(J597="待估算","补充投入工时",IF(AND(H597&lt;'项目驾驶舱'!$B$3,F597&lt;&gt;"已完成"),"确认延期和后续安排","按计划跟踪"))</f>
        <v/>
      </c>
      <c r="L597" s="127" t="n"/>
    </row>
    <row r="598">
      <c r="C598" s="124" t="inlineStr">
        <is>
          <t>T067</t>
        </is>
      </c>
      <c r="D598" s="124" t="inlineStr">
        <is>
          <t>装船作业货权跟踪</t>
        </is>
      </c>
      <c r="E598" s="124" t="inlineStr">
        <is>
          <t>第一批次</t>
        </is>
      </c>
      <c r="F598" s="124">
        <f>IF(OR(M70="挂起",M70="暂停",Q70="挂起",Q70="暂停",U70="挂起",U70="暂停",Y70="挂起",Y70="暂停"),"暂停","已完成")</f>
        <v/>
      </c>
      <c r="G598" s="125" t="n">
        <v>46202</v>
      </c>
      <c r="H598" s="125" t="n">
        <v>46206</v>
      </c>
      <c r="I598" s="127" t="n">
        <v>40</v>
      </c>
      <c r="J598" s="124">
        <f>IF(I598="","待估算",IF(F598="已完成","已结束",IF(AND(ISNUMBER(G598),ISNUMBER(H598),G598&lt;='项目驾驶舱'!$B$3,H598&gt;='项目驾驶舱'!$B$3),"进行中","计划中")))</f>
        <v/>
      </c>
      <c r="K598" s="124">
        <f>IF(J598="待估算","补充投入工时",IF(AND(H598&lt;'项目驾驶舱'!$B$3,F598&lt;&gt;"已完成"),"确认延期和后续安排","按计划跟踪"))</f>
        <v/>
      </c>
      <c r="L598" s="127" t="n"/>
    </row>
    <row r="599">
      <c r="C599" s="124" t="inlineStr">
        <is>
          <t>T068</t>
        </is>
      </c>
      <c r="D599" s="124" t="inlineStr">
        <is>
          <t>装船作业货权跟踪</t>
        </is>
      </c>
      <c r="E599" s="124" t="inlineStr">
        <is>
          <t>第一批次</t>
        </is>
      </c>
      <c r="F599" s="124">
        <f>IF(OR(M71="挂起",M71="暂停",Q71="挂起",Q71="暂停",U71="挂起",U71="暂停",Y71="挂起",Y71="暂停"),"暂停","已完成")</f>
        <v/>
      </c>
      <c r="G599" s="125" t="n">
        <v>46202</v>
      </c>
      <c r="H599" s="125" t="n">
        <v>46206</v>
      </c>
      <c r="I599" s="127" t="n">
        <v>40</v>
      </c>
      <c r="J599" s="124">
        <f>IF(I599="","待估算",IF(F599="已完成","已结束",IF(AND(ISNUMBER(G599),ISNUMBER(H599),G599&lt;='项目驾驶舱'!$B$3,H599&gt;='项目驾驶舱'!$B$3),"进行中","计划中")))</f>
        <v/>
      </c>
      <c r="K599" s="124">
        <f>IF(J599="待估算","补充投入工时",IF(AND(H599&lt;'项目驾驶舱'!$B$3,F599&lt;&gt;"已完成"),"确认延期和后续安排","按计划跟踪"))</f>
        <v/>
      </c>
      <c r="L599" s="127" t="n"/>
    </row>
    <row r="600">
      <c r="C600" s="124" t="inlineStr">
        <is>
          <t>T072</t>
        </is>
      </c>
      <c r="D600" s="124" t="inlineStr">
        <is>
          <t>OCR识别</t>
        </is>
      </c>
      <c r="E600" s="124" t="inlineStr">
        <is>
          <t>第一批次</t>
        </is>
      </c>
      <c r="F600" s="124">
        <f>IF(OR(M75="挂起",M75="暂停",Q75="挂起",Q75="暂停",U75="挂起",U75="暂停",Y75="挂起",Y75="暂停"),"暂停","已完成")</f>
        <v/>
      </c>
      <c r="G600" s="125" t="n">
        <v>46202</v>
      </c>
      <c r="H600" s="125" t="n">
        <v>46206</v>
      </c>
      <c r="I600" s="127" t="n">
        <v>40</v>
      </c>
      <c r="J600" s="124">
        <f>IF(I600="","待估算",IF(F600="已完成","已结束",IF(AND(ISNUMBER(G600),ISNUMBER(H600),G600&lt;='项目驾驶舱'!$B$3,H600&gt;='项目驾驶舱'!$B$3),"进行中","计划中")))</f>
        <v/>
      </c>
      <c r="K600" s="124">
        <f>IF(J600="待估算","补充投入工时",IF(AND(H600&lt;'项目驾驶舱'!$B$3,F600&lt;&gt;"已完成"),"确认延期和后续安排","按计划跟踪"))</f>
        <v/>
      </c>
      <c r="L600" s="127" t="n"/>
    </row>
    <row r="601">
      <c r="C601" s="124" t="inlineStr">
        <is>
          <t>T073</t>
        </is>
      </c>
      <c r="D601" s="124" t="inlineStr">
        <is>
          <t>采样作业信息录入新增</t>
        </is>
      </c>
      <c r="E601" s="124" t="inlineStr">
        <is>
          <t>第一批次</t>
        </is>
      </c>
      <c r="F601" s="124">
        <f>IF(OR(M76="挂起",M76="暂停",Q76="挂起",Q76="暂停",U76="挂起",U76="暂停",Y76="挂起",Y76="暂停"),"暂停","已完成")</f>
        <v/>
      </c>
      <c r="G601" s="125" t="n">
        <v>46202</v>
      </c>
      <c r="H601" s="125" t="n">
        <v>46206</v>
      </c>
      <c r="I601" s="127" t="n">
        <v>40</v>
      </c>
      <c r="J601" s="124">
        <f>IF(I601="","待估算",IF(F601="已完成","已结束",IF(AND(ISNUMBER(G601),ISNUMBER(H601),G601&lt;='项目驾驶舱'!$B$3,H601&gt;='项目驾驶舱'!$B$3),"进行中","计划中")))</f>
        <v/>
      </c>
      <c r="K601" s="124">
        <f>IF(J601="待估算","补充投入工时",IF(AND(H601&lt;'项目驾驶舱'!$B$3,F601&lt;&gt;"已完成"),"确认延期和后续安排","按计划跟踪"))</f>
        <v/>
      </c>
      <c r="L601" s="127" t="n"/>
    </row>
    <row r="602">
      <c r="C602" s="124" t="inlineStr">
        <is>
          <t>T074</t>
        </is>
      </c>
      <c r="D602" s="124" t="inlineStr">
        <is>
          <t>采样作业信息录入编辑</t>
        </is>
      </c>
      <c r="E602" s="124" t="inlineStr">
        <is>
          <t>第一批次</t>
        </is>
      </c>
      <c r="F602" s="124">
        <f>IF(OR(M77="挂起",M77="暂停",Q77="挂起",Q77="暂停",U77="挂起",U77="暂停",Y77="挂起",Y77="暂停"),"暂停","已完成")</f>
        <v/>
      </c>
      <c r="G602" s="125" t="n">
        <v>46202</v>
      </c>
      <c r="H602" s="125" t="n">
        <v>46206</v>
      </c>
      <c r="I602" s="127" t="n">
        <v>40</v>
      </c>
      <c r="J602" s="124">
        <f>IF(I602="","待估算",IF(F602="已完成","已结束",IF(AND(ISNUMBER(G602),ISNUMBER(H602),G602&lt;='项目驾驶舱'!$B$3,H602&gt;='项目驾驶舱'!$B$3),"进行中","计划中")))</f>
        <v/>
      </c>
      <c r="K602" s="124">
        <f>IF(J602="待估算","补充投入工时",IF(AND(H602&lt;'项目驾驶舱'!$B$3,F602&lt;&gt;"已完成"),"确认延期和后续安排","按计划跟踪"))</f>
        <v/>
      </c>
      <c r="L602" s="127" t="n"/>
    </row>
    <row r="603">
      <c r="C603" s="124" t="inlineStr">
        <is>
          <t>T075</t>
        </is>
      </c>
      <c r="D603" s="124" t="inlineStr">
        <is>
          <t>采样作业信息录入详情</t>
        </is>
      </c>
      <c r="E603" s="124" t="inlineStr">
        <is>
          <t>第一批次</t>
        </is>
      </c>
      <c r="F603" s="124">
        <f>IF(OR(M78="挂起",M78="暂停",Q78="挂起",Q78="暂停",U78="挂起",U78="暂停",Y78="挂起",Y78="暂停"),"暂停","已完成")</f>
        <v/>
      </c>
      <c r="G603" s="125" t="n">
        <v>46202</v>
      </c>
      <c r="H603" s="125" t="n">
        <v>46206</v>
      </c>
      <c r="I603" s="127" t="n">
        <v>40</v>
      </c>
      <c r="J603" s="124">
        <f>IF(I603="","待估算",IF(F603="已完成","已结束",IF(AND(ISNUMBER(G603),ISNUMBER(H603),G603&lt;='项目驾驶舱'!$B$3,H603&gt;='项目驾驶舱'!$B$3),"进行中","计划中")))</f>
        <v/>
      </c>
      <c r="K603" s="124">
        <f>IF(J603="待估算","补充投入工时",IF(AND(H603&lt;'项目驾驶舱'!$B$3,F603&lt;&gt;"已完成"),"确认延期和后续安排","按计划跟踪"))</f>
        <v/>
      </c>
      <c r="L603" s="127" t="n"/>
    </row>
    <row r="604">
      <c r="A604" s="22" t="n"/>
      <c r="B604" s="22" t="n"/>
      <c r="C604" s="124" t="inlineStr">
        <is>
          <t>T076</t>
        </is>
      </c>
      <c r="D604" s="124" t="inlineStr">
        <is>
          <t>采样作业信息录入删除</t>
        </is>
      </c>
      <c r="E604" s="124" t="inlineStr">
        <is>
          <t>第一批次</t>
        </is>
      </c>
      <c r="F604" s="124">
        <f>IF(OR(M79="挂起",M79="暂停",Q79="挂起",Q79="暂停",U79="挂起",U79="暂停",Y79="挂起",Y79="暂停"),"暂停","已完成")</f>
        <v/>
      </c>
      <c r="G604" s="125" t="n">
        <v>46202</v>
      </c>
      <c r="H604" s="125" t="n">
        <v>46206</v>
      </c>
      <c r="I604" s="127" t="n">
        <v>40</v>
      </c>
      <c r="J604" s="124">
        <f>IF(I604="","待估算",IF(F604="已完成","已结束",IF(AND(ISNUMBER(G604),ISNUMBER(H604),G604&lt;='项目驾驶舱'!$B$3,H604&gt;='项目驾驶舱'!$B$3),"进行中","计划中")))</f>
        <v/>
      </c>
      <c r="K604" s="124">
        <f>IF(J604="待估算","补充投入工时",IF(AND(H604&lt;'项目驾驶舱'!$B$3,F604&lt;&gt;"已完成"),"确认延期和后续安排","按计划跟踪"))</f>
        <v/>
      </c>
      <c r="L604" s="127" t="n"/>
    </row>
    <row r="605">
      <c r="A605" s="133" t="inlineStr">
        <is>
          <t>郑士旺</t>
        </is>
      </c>
      <c r="B605" s="133" t="inlineStr">
        <is>
          <t>业务</t>
        </is>
      </c>
      <c r="C605" s="124" t="inlineStr">
        <is>
          <t>T077</t>
        </is>
      </c>
      <c r="D605" s="124" t="inlineStr">
        <is>
          <t>采样作业信息录入列表</t>
        </is>
      </c>
      <c r="E605" s="124" t="inlineStr">
        <is>
          <t>第一批次</t>
        </is>
      </c>
      <c r="F605" s="124">
        <f>IF(OR(M80="挂起",M80="暂停",Q80="挂起",Q80="暂停",U80="挂起",U80="暂停",Y80="挂起",Y80="暂停"),"暂停","已完成")</f>
        <v/>
      </c>
      <c r="G605" s="125" t="n">
        <v>46202</v>
      </c>
      <c r="H605" s="125" t="n">
        <v>46206</v>
      </c>
      <c r="I605" s="127" t="n">
        <v>40</v>
      </c>
      <c r="J605" s="124">
        <f>IF(I605="","待估算",IF(F605="已完成","已结束",IF(AND(ISNUMBER(G605),ISNUMBER(H605),G605&lt;='项目驾驶舱'!$B$3,H605&gt;='项目驾驶舱'!$B$3),"进行中","计划中")))</f>
        <v/>
      </c>
      <c r="K605" s="124">
        <f>IF(J605="待估算","补充投入工时",IF(AND(H605&lt;'项目驾驶舱'!$B$3,F605&lt;&gt;"已完成"),"确认延期和后续安排","按计划跟踪"))</f>
        <v/>
      </c>
      <c r="L605" s="127" t="n"/>
    </row>
    <row r="606">
      <c r="C606" s="124" t="inlineStr">
        <is>
          <t>T095</t>
        </is>
      </c>
      <c r="D606" s="124" t="inlineStr">
        <is>
          <t>自动生成堆存费</t>
        </is>
      </c>
      <c r="E606" s="124" t="inlineStr">
        <is>
          <t>第一批次</t>
        </is>
      </c>
      <c r="F606" s="124">
        <f>IF(OR(M98="挂起",M98="暂停",Q98="挂起",Q98="暂停",U98="挂起",U98="暂停",Y98="挂起",Y98="暂停"),"暂停","进行中")</f>
        <v/>
      </c>
      <c r="G606" s="125" t="n">
        <v>46202</v>
      </c>
      <c r="H606" s="125" t="n">
        <v>46206</v>
      </c>
      <c r="I606" s="127" t="n">
        <v>40</v>
      </c>
      <c r="J606" s="124">
        <f>IF(I606="","待估算",IF(F606="已完成","已结束",IF(AND(ISNUMBER(G606),ISNUMBER(H606),G606&lt;='项目驾驶舱'!$B$3,H606&gt;='项目驾驶舱'!$B$3),"进行中","计划中")))</f>
        <v/>
      </c>
      <c r="K606" s="124">
        <f>IF(J606="待估算","补充投入工时",IF(AND(H606&lt;'项目驾驶舱'!$B$3,F606&lt;&gt;"已完成"),"确认延期和后续安排","按计划跟踪"))</f>
        <v/>
      </c>
      <c r="L606" s="127" t="n"/>
    </row>
    <row r="607">
      <c r="C607" s="124" t="inlineStr">
        <is>
          <t>T096</t>
        </is>
      </c>
      <c r="D607" s="124" t="inlineStr">
        <is>
          <t>自动生成装船港杂费</t>
        </is>
      </c>
      <c r="E607" s="124" t="inlineStr">
        <is>
          <t>第一批次</t>
        </is>
      </c>
      <c r="F607" s="124">
        <f>IF(OR(M99="挂起",M99="暂停",Q99="挂起",Q99="暂停",U99="挂起",U99="暂停",Y99="挂起",Y99="暂停"),"暂停","已完成")</f>
        <v/>
      </c>
      <c r="G607" s="125" t="n">
        <v>46202</v>
      </c>
      <c r="H607" s="125" t="n">
        <v>46206</v>
      </c>
      <c r="I607" s="127" t="n">
        <v>40</v>
      </c>
      <c r="J607" s="124">
        <f>IF(I607="","待估算",IF(F607="已完成","已结束",IF(AND(ISNUMBER(G607),ISNUMBER(H607),G607&lt;='项目驾驶舱'!$B$3,H607&gt;='项目驾驶舱'!$B$3),"进行中","计划中")))</f>
        <v/>
      </c>
      <c r="K607" s="124">
        <f>IF(J607="待估算","补充投入工时",IF(AND(H607&lt;'项目驾驶舱'!$B$3,F607&lt;&gt;"已完成"),"确认延期和后续安排","按计划跟踪"))</f>
        <v/>
      </c>
      <c r="L607" s="127" t="n"/>
    </row>
    <row r="608">
      <c r="C608" s="124" t="inlineStr">
        <is>
          <t>T097</t>
        </is>
      </c>
      <c r="D608" s="124" t="inlineStr">
        <is>
          <t>自动生成租赁费</t>
        </is>
      </c>
      <c r="E608" s="124" t="inlineStr">
        <is>
          <t>第一批次</t>
        </is>
      </c>
      <c r="F608" s="124">
        <f>IF(OR(M100="挂起",M100="暂停",Q100="挂起",Q100="暂停",U100="挂起",U100="暂停",Y100="挂起",Y100="暂停"),"暂停","已完成")</f>
        <v/>
      </c>
      <c r="G608" s="125" t="n">
        <v>46202</v>
      </c>
      <c r="H608" s="125" t="n">
        <v>46206</v>
      </c>
      <c r="I608" s="127" t="n">
        <v>40</v>
      </c>
      <c r="J608" s="124">
        <f>IF(I608="","待估算",IF(F608="已完成","已结束",IF(AND(ISNUMBER(G608),ISNUMBER(H608),G608&lt;='项目驾驶舱'!$B$3,H608&gt;='项目驾驶舱'!$B$3),"进行中","计划中")))</f>
        <v/>
      </c>
      <c r="K608" s="124">
        <f>IF(J608="待估算","补充投入工时",IF(AND(H608&lt;'项目驾驶舱'!$B$3,F608&lt;&gt;"已完成"),"确认延期和后续安排","按计划跟踪"))</f>
        <v/>
      </c>
      <c r="L608" s="127" t="n"/>
    </row>
    <row r="609">
      <c r="C609" s="124" t="inlineStr">
        <is>
          <t>T098</t>
        </is>
      </c>
      <c r="D609" s="124" t="inlineStr">
        <is>
          <t>优化装卸费新增</t>
        </is>
      </c>
      <c r="E609" s="124" t="inlineStr">
        <is>
          <t>第一批次</t>
        </is>
      </c>
      <c r="F609" s="124">
        <f>IF(OR(M101="挂起",M101="暂停",Q101="挂起",Q101="暂停",U101="挂起",U101="暂停",Y101="挂起",Y101="暂停"),"暂停","已完成")</f>
        <v/>
      </c>
      <c r="G609" s="125" t="n">
        <v>46202</v>
      </c>
      <c r="H609" s="125" t="n">
        <v>46206</v>
      </c>
      <c r="I609" s="127" t="n">
        <v>40</v>
      </c>
      <c r="J609" s="124">
        <f>IF(I609="","待估算",IF(F609="已完成","已结束",IF(AND(ISNUMBER(G609),ISNUMBER(H609),G609&lt;='项目驾驶舱'!$B$3,H609&gt;='项目驾驶舱'!$B$3),"进行中","计划中")))</f>
        <v/>
      </c>
      <c r="K609" s="124">
        <f>IF(J609="待估算","补充投入工时",IF(AND(H609&lt;'项目驾驶舱'!$B$3,F609&lt;&gt;"已完成"),"确认延期和后续安排","按计划跟踪"))</f>
        <v/>
      </c>
      <c r="L609" s="127" t="n"/>
    </row>
    <row r="610">
      <c r="C610" s="124" t="inlineStr">
        <is>
          <t>T099</t>
        </is>
      </c>
      <c r="D610" s="124" t="inlineStr">
        <is>
          <t>优化装卸费编辑</t>
        </is>
      </c>
      <c r="E610" s="124" t="inlineStr">
        <is>
          <t>第一批次</t>
        </is>
      </c>
      <c r="F610" s="124">
        <f>IF(OR(M102="挂起",M102="暂停",Q102="挂起",Q102="暂停",U102="挂起",U102="暂停",Y102="挂起",Y102="暂停"),"暂停","已完成")</f>
        <v/>
      </c>
      <c r="G610" s="125" t="n">
        <v>46202</v>
      </c>
      <c r="H610" s="125" t="n">
        <v>46206</v>
      </c>
      <c r="I610" s="127" t="n">
        <v>40</v>
      </c>
      <c r="J610" s="124">
        <f>IF(I610="","待估算",IF(F610="已完成","已结束",IF(AND(ISNUMBER(G610),ISNUMBER(H610),G610&lt;='项目驾驶舱'!$B$3,H610&gt;='项目驾驶舱'!$B$3),"进行中","计划中")))</f>
        <v/>
      </c>
      <c r="K610" s="124">
        <f>IF(J610="待估算","补充投入工时",IF(AND(H610&lt;'项目驾驶舱'!$B$3,F610&lt;&gt;"已完成"),"确认延期和后续安排","按计划跟踪"))</f>
        <v/>
      </c>
      <c r="L610" s="127" t="n"/>
    </row>
    <row r="611">
      <c r="C611" s="124" t="inlineStr">
        <is>
          <t>T037</t>
        </is>
      </c>
      <c r="D611" s="124" t="inlineStr">
        <is>
          <t>创建卸车流程</t>
        </is>
      </c>
      <c r="E611" s="124" t="inlineStr">
        <is>
          <t>第一批次</t>
        </is>
      </c>
      <c r="F611" s="124">
        <f>IF(OR(M40="挂起",M40="暂停",Q40="挂起",Q40="暂停",U40="挂起",U40="暂停",Y40="挂起",Y40="暂停"),"暂停","已完成")</f>
        <v/>
      </c>
      <c r="G611" s="125" t="n">
        <v>46209</v>
      </c>
      <c r="H611" s="125" t="n">
        <v>46213</v>
      </c>
      <c r="I611" s="127" t="n">
        <v>40</v>
      </c>
      <c r="J611" s="124">
        <f>IF(I611="","待估算",IF(F611="已完成","已结束",IF(AND(ISNUMBER(G611),ISNUMBER(H611),G611&lt;='项目驾驶舱'!$B$3,H611&gt;='项目驾驶舱'!$B$3),"进行中","计划中")))</f>
        <v/>
      </c>
      <c r="K611" s="124">
        <f>IF(J611="待估算","补充投入工时",IF(AND(H611&lt;'项目驾驶舱'!$B$3,F611&lt;&gt;"已完成"),"确认延期和后续安排","按计划跟踪"))</f>
        <v/>
      </c>
      <c r="L611" s="127" t="n"/>
    </row>
    <row r="612">
      <c r="C612" s="124" t="inlineStr">
        <is>
          <t>T038</t>
        </is>
      </c>
      <c r="D612" s="124" t="inlineStr">
        <is>
          <t>查询卸车流程</t>
        </is>
      </c>
      <c r="E612" s="124" t="inlineStr">
        <is>
          <t>第一批次</t>
        </is>
      </c>
      <c r="F612" s="124">
        <f>IF(OR(M41="挂起",M41="暂停",Q41="挂起",Q41="暂停",U41="挂起",U41="暂停",Y41="挂起",Y41="暂停"),"暂停","已完成")</f>
        <v/>
      </c>
      <c r="G612" s="125" t="n">
        <v>46209</v>
      </c>
      <c r="H612" s="125" t="n">
        <v>46213</v>
      </c>
      <c r="I612" s="127" t="n">
        <v>40</v>
      </c>
      <c r="J612" s="124">
        <f>IF(I612="","待估算",IF(F612="已完成","已结束",IF(AND(ISNUMBER(G612),ISNUMBER(H612),G612&lt;='项目驾驶舱'!$B$3,H612&gt;='项目驾驶舱'!$B$3),"进行中","计划中")))</f>
        <v/>
      </c>
      <c r="K612" s="124">
        <f>IF(J612="待估算","补充投入工时",IF(AND(H612&lt;'项目驾驶舱'!$B$3,F612&lt;&gt;"已完成"),"确认延期和后续安排","按计划跟踪"))</f>
        <v/>
      </c>
      <c r="L612" s="127" t="n"/>
    </row>
    <row r="613">
      <c r="C613" s="124" t="inlineStr">
        <is>
          <t>T039</t>
        </is>
      </c>
      <c r="D613" s="124" t="inlineStr">
        <is>
          <t>修改卸车流程</t>
        </is>
      </c>
      <c r="E613" s="124" t="inlineStr">
        <is>
          <t>第一批次</t>
        </is>
      </c>
      <c r="F613" s="124">
        <f>IF(OR(M42="挂起",M42="暂停",Q42="挂起",Q42="暂停",U42="挂起",U42="暂停",Y42="挂起",Y42="暂停"),"暂停","已完成")</f>
        <v/>
      </c>
      <c r="G613" s="125" t="n">
        <v>46209</v>
      </c>
      <c r="H613" s="125" t="n">
        <v>46213</v>
      </c>
      <c r="I613" s="127" t="n">
        <v>40</v>
      </c>
      <c r="J613" s="124">
        <f>IF(I613="","待估算",IF(F613="已完成","已结束",IF(AND(ISNUMBER(G613),ISNUMBER(H613),G613&lt;='项目驾驶舱'!$B$3,H613&gt;='项目驾驶舱'!$B$3),"进行中","计划中")))</f>
        <v/>
      </c>
      <c r="K613" s="124">
        <f>IF(J613="待估算","补充投入工时",IF(AND(H613&lt;'项目驾驶舱'!$B$3,F613&lt;&gt;"已完成"),"确认延期和后续安排","按计划跟踪"))</f>
        <v/>
      </c>
      <c r="L613" s="127" t="n"/>
    </row>
    <row r="614">
      <c r="C614" s="124" t="inlineStr">
        <is>
          <t>T040</t>
        </is>
      </c>
      <c r="D614" s="124" t="inlineStr">
        <is>
          <t>创建装船流程</t>
        </is>
      </c>
      <c r="E614" s="124" t="inlineStr">
        <is>
          <t>第一批次</t>
        </is>
      </c>
      <c r="F614" s="124">
        <f>IF(OR(M43="挂起",M43="暂停",Q43="挂起",Q43="暂停",U43="挂起",U43="暂停",Y43="挂起",Y43="暂停"),"暂停","已完成")</f>
        <v/>
      </c>
      <c r="G614" s="125" t="n">
        <v>46209</v>
      </c>
      <c r="H614" s="125" t="n">
        <v>46213</v>
      </c>
      <c r="I614" s="127" t="n">
        <v>40</v>
      </c>
      <c r="J614" s="124">
        <f>IF(I614="","待估算",IF(F614="已完成","已结束",IF(AND(ISNUMBER(G614),ISNUMBER(H614),G614&lt;='项目驾驶舱'!$B$3,H614&gt;='项目驾驶舱'!$B$3),"进行中","计划中")))</f>
        <v/>
      </c>
      <c r="K614" s="124">
        <f>IF(J614="待估算","补充投入工时",IF(AND(H614&lt;'项目驾驶舱'!$B$3,F614&lt;&gt;"已完成"),"确认延期和后续安排","按计划跟踪"))</f>
        <v/>
      </c>
      <c r="L614" s="127" t="n"/>
    </row>
    <row r="615">
      <c r="C615" s="124" t="inlineStr">
        <is>
          <t>T041</t>
        </is>
      </c>
      <c r="D615" s="124" t="inlineStr">
        <is>
          <t>查询装船流程</t>
        </is>
      </c>
      <c r="E615" s="124" t="inlineStr">
        <is>
          <t>第一批次</t>
        </is>
      </c>
      <c r="F615" s="124">
        <f>IF(OR(M44="挂起",M44="暂停",Q44="挂起",Q44="暂停",U44="挂起",U44="暂停",Y44="挂起",Y44="暂停"),"暂停","已完成")</f>
        <v/>
      </c>
      <c r="G615" s="125" t="n">
        <v>46209</v>
      </c>
      <c r="H615" s="125" t="n">
        <v>46213</v>
      </c>
      <c r="I615" s="127" t="n">
        <v>40</v>
      </c>
      <c r="J615" s="124">
        <f>IF(I615="","待估算",IF(F615="已完成","已结束",IF(AND(ISNUMBER(G615),ISNUMBER(H615),G615&lt;='项目驾驶舱'!$B$3,H615&gt;='项目驾驶舱'!$B$3),"进行中","计划中")))</f>
        <v/>
      </c>
      <c r="K615" s="124">
        <f>IF(J615="待估算","补充投入工时",IF(AND(H615&lt;'项目驾驶舱'!$B$3,F615&lt;&gt;"已完成"),"确认延期和后续安排","按计划跟踪"))</f>
        <v/>
      </c>
      <c r="L615" s="127" t="n"/>
    </row>
    <row r="616">
      <c r="A616" s="22" t="n"/>
      <c r="B616" s="22" t="n"/>
      <c r="C616" s="124" t="inlineStr">
        <is>
          <t>T042</t>
        </is>
      </c>
      <c r="D616" s="124" t="inlineStr">
        <is>
          <t>修改装船流程</t>
        </is>
      </c>
      <c r="E616" s="124" t="inlineStr">
        <is>
          <t>第一批次</t>
        </is>
      </c>
      <c r="F616" s="124">
        <f>IF(OR(M45="挂起",M45="暂停",Q45="挂起",Q45="暂停",U45="挂起",U45="暂停",Y45="挂起",Y45="暂停"),"暂停","已完成")</f>
        <v/>
      </c>
      <c r="G616" s="125" t="n">
        <v>46209</v>
      </c>
      <c r="H616" s="125" t="n">
        <v>46213</v>
      </c>
      <c r="I616" s="127" t="n">
        <v>40</v>
      </c>
      <c r="J616" s="124">
        <f>IF(I616="","待估算",IF(F616="已完成","已结束",IF(AND(ISNUMBER(G616),ISNUMBER(H616),G616&lt;='项目驾驶舱'!$B$3,H616&gt;='项目驾驶舱'!$B$3),"进行中","计划中")))</f>
        <v/>
      </c>
      <c r="K616" s="124">
        <f>IF(J616="待估算","补充投入工时",IF(AND(H616&lt;'项目驾驶舱'!$B$3,F616&lt;&gt;"已完成"),"确认延期和后续安排","按计划跟踪"))</f>
        <v/>
      </c>
      <c r="L616" s="127" t="n"/>
    </row>
    <row r="617">
      <c r="A617" s="133" t="inlineStr">
        <is>
          <t>郑士旺</t>
        </is>
      </c>
      <c r="B617" s="133" t="inlineStr">
        <is>
          <t>业务</t>
        </is>
      </c>
      <c r="C617" s="124" t="inlineStr">
        <is>
          <t>T043</t>
        </is>
      </c>
      <c r="D617" s="124" t="inlineStr">
        <is>
          <t>创建卸船流程</t>
        </is>
      </c>
      <c r="E617" s="124" t="inlineStr">
        <is>
          <t>第二批次</t>
        </is>
      </c>
      <c r="F617" s="124">
        <f>IF(OR(M46="挂起",M46="暂停",Q46="挂起",Q46="暂停",U46="挂起",U46="暂停",Y46="挂起",Y46="暂停"),"暂停","已完成")</f>
        <v/>
      </c>
      <c r="G617" s="125" t="n">
        <v>46209</v>
      </c>
      <c r="H617" s="125" t="n">
        <v>46213</v>
      </c>
      <c r="I617" s="127" t="n">
        <v>40</v>
      </c>
      <c r="J617" s="124">
        <f>IF(I617="","待估算",IF(F617="已完成","已结束",IF(AND(ISNUMBER(G617),ISNUMBER(H617),G617&lt;='项目驾驶舱'!$B$3,H617&gt;='项目驾驶舱'!$B$3),"进行中","计划中")))</f>
        <v/>
      </c>
      <c r="K617" s="124">
        <f>IF(J617="待估算","补充投入工时",IF(AND(H617&lt;'项目驾驶舱'!$B$3,F617&lt;&gt;"已完成"),"确认延期和后续安排","按计划跟踪"))</f>
        <v/>
      </c>
      <c r="L617" s="127" t="n"/>
    </row>
    <row r="618">
      <c r="C618" s="124" t="inlineStr">
        <is>
          <t>T044</t>
        </is>
      </c>
      <c r="D618" s="124" t="inlineStr">
        <is>
          <t>查询卸船流程</t>
        </is>
      </c>
      <c r="E618" s="124" t="inlineStr">
        <is>
          <t>第二批次</t>
        </is>
      </c>
      <c r="F618" s="124">
        <f>IF(OR(M47="挂起",M47="暂停",Q47="挂起",Q47="暂停",U47="挂起",U47="暂停",Y47="挂起",Y47="暂停"),"暂停","已完成")</f>
        <v/>
      </c>
      <c r="G618" s="125" t="n">
        <v>46209</v>
      </c>
      <c r="H618" s="125" t="n">
        <v>46213</v>
      </c>
      <c r="I618" s="127" t="n">
        <v>40</v>
      </c>
      <c r="J618" s="124">
        <f>IF(I618="","待估算",IF(F618="已完成","已结束",IF(AND(ISNUMBER(G618),ISNUMBER(H618),G618&lt;='项目驾驶舱'!$B$3,H618&gt;='项目驾驶舱'!$B$3),"进行中","计划中")))</f>
        <v/>
      </c>
      <c r="K618" s="124">
        <f>IF(J618="待估算","补充投入工时",IF(AND(H618&lt;'项目驾驶舱'!$B$3,F618&lt;&gt;"已完成"),"确认延期和后续安排","按计划跟踪"))</f>
        <v/>
      </c>
      <c r="L618" s="127" t="n"/>
    </row>
    <row r="619">
      <c r="C619" s="124" t="inlineStr">
        <is>
          <t>T045</t>
        </is>
      </c>
      <c r="D619" s="124" t="inlineStr">
        <is>
          <t>修改卸船流程</t>
        </is>
      </c>
      <c r="E619" s="124" t="inlineStr">
        <is>
          <t>第二批次</t>
        </is>
      </c>
      <c r="F619" s="124">
        <f>IF(OR(M48="挂起",M48="暂停",Q48="挂起",Q48="暂停",U48="挂起",U48="暂停",Y48="挂起",Y48="暂停"),"暂停","已完成")</f>
        <v/>
      </c>
      <c r="G619" s="125" t="n">
        <v>46209</v>
      </c>
      <c r="H619" s="125" t="n">
        <v>46213</v>
      </c>
      <c r="I619" s="127" t="n">
        <v>40</v>
      </c>
      <c r="J619" s="124">
        <f>IF(I619="","待估算",IF(F619="已完成","已结束",IF(AND(ISNUMBER(G619),ISNUMBER(H619),G619&lt;='项目驾驶舱'!$B$3,H619&gt;='项目驾驶舱'!$B$3),"进行中","计划中")))</f>
        <v/>
      </c>
      <c r="K619" s="124">
        <f>IF(J619="待估算","补充投入工时",IF(AND(H619&lt;'项目驾驶舱'!$B$3,F619&lt;&gt;"已完成"),"确认延期和后续安排","按计划跟踪"))</f>
        <v/>
      </c>
      <c r="L619" s="127" t="n"/>
    </row>
    <row r="620">
      <c r="C620" s="124" t="inlineStr">
        <is>
          <t>T100</t>
        </is>
      </c>
      <c r="D620" s="124" t="inlineStr">
        <is>
          <t>创建行业资讯数据</t>
        </is>
      </c>
      <c r="E620" s="124" t="inlineStr">
        <is>
          <t>第一批次</t>
        </is>
      </c>
      <c r="F620" s="124">
        <f>IF(OR(M103="挂起",M103="暂停",Q103="挂起",Q103="暂停",U103="挂起",U103="暂停",Y103="挂起",Y103="暂停"),"暂停","已完成")</f>
        <v/>
      </c>
      <c r="G620" s="125" t="n">
        <v>46209</v>
      </c>
      <c r="H620" s="125" t="n">
        <v>46213</v>
      </c>
      <c r="I620" s="127" t="n">
        <v>40</v>
      </c>
      <c r="J620" s="124">
        <f>IF(I620="","待估算",IF(F620="已完成","已结束",IF(AND(ISNUMBER(G620),ISNUMBER(H620),G620&lt;='项目驾驶舱'!$B$3,H620&gt;='项目驾驶舱'!$B$3),"进行中","计划中")))</f>
        <v/>
      </c>
      <c r="K620" s="124">
        <f>IF(J620="待估算","补充投入工时",IF(AND(H620&lt;'项目驾驶舱'!$B$3,F620&lt;&gt;"已完成"),"确认延期和后续安排","按计划跟踪"))</f>
        <v/>
      </c>
      <c r="L620" s="127" t="n"/>
    </row>
    <row r="621">
      <c r="C621" s="124" t="inlineStr">
        <is>
          <t>T101</t>
        </is>
      </c>
      <c r="D621" s="124" t="inlineStr">
        <is>
          <t>修改行业资讯数据</t>
        </is>
      </c>
      <c r="E621" s="124" t="inlineStr">
        <is>
          <t>第一批次</t>
        </is>
      </c>
      <c r="F621" s="124">
        <f>IF(OR(M104="挂起",M104="暂停",Q104="挂起",Q104="暂停",U104="挂起",U104="暂停",Y104="挂起",Y104="暂停"),"暂停","已完成")</f>
        <v/>
      </c>
      <c r="G621" s="125" t="n">
        <v>46209</v>
      </c>
      <c r="H621" s="125" t="n">
        <v>46213</v>
      </c>
      <c r="I621" s="127" t="n">
        <v>40</v>
      </c>
      <c r="J621" s="124">
        <f>IF(I621="","待估算",IF(F621="已完成","已结束",IF(AND(ISNUMBER(G621),ISNUMBER(H621),G621&lt;='项目驾驶舱'!$B$3,H621&gt;='项目驾驶舱'!$B$3),"进行中","计划中")))</f>
        <v/>
      </c>
      <c r="K621" s="124">
        <f>IF(J621="待估算","补充投入工时",IF(AND(H621&lt;'项目驾驶舱'!$B$3,F621&lt;&gt;"已完成"),"确认延期和后续安排","按计划跟踪"))</f>
        <v/>
      </c>
      <c r="L621" s="127" t="n"/>
    </row>
    <row r="622">
      <c r="C622" s="124" t="inlineStr">
        <is>
          <t>T102</t>
        </is>
      </c>
      <c r="D622" s="124" t="inlineStr">
        <is>
          <t>删除行业资讯数据</t>
        </is>
      </c>
      <c r="E622" s="124" t="inlineStr">
        <is>
          <t>第一批次</t>
        </is>
      </c>
      <c r="F622" s="124">
        <f>IF(OR(M105="挂起",M105="暂停",Q105="挂起",Q105="暂停",U105="挂起",U105="暂停",Y105="挂起",Y105="暂停"),"暂停","已完成")</f>
        <v/>
      </c>
      <c r="G622" s="125" t="n">
        <v>46209</v>
      </c>
      <c r="H622" s="125" t="n">
        <v>46213</v>
      </c>
      <c r="I622" s="127" t="n">
        <v>40</v>
      </c>
      <c r="J622" s="124">
        <f>IF(I622="","待估算",IF(F622="已完成","已结束",IF(AND(ISNUMBER(G622),ISNUMBER(H622),G622&lt;='项目驾驶舱'!$B$3,H622&gt;='项目驾驶舱'!$B$3),"进行中","计划中")))</f>
        <v/>
      </c>
      <c r="K622" s="124">
        <f>IF(J622="待估算","补充投入工时",IF(AND(H622&lt;'项目驾驶舱'!$B$3,F622&lt;&gt;"已完成"),"确认延期和后续安排","按计划跟踪"))</f>
        <v/>
      </c>
      <c r="L622" s="127" t="n"/>
    </row>
    <row r="623">
      <c r="C623" s="124" t="inlineStr">
        <is>
          <t>T103</t>
        </is>
      </c>
      <c r="D623" s="124" t="inlineStr">
        <is>
          <t>展示行业资讯数据</t>
        </is>
      </c>
      <c r="E623" s="124" t="inlineStr">
        <is>
          <t>第一批次</t>
        </is>
      </c>
      <c r="F623" s="124">
        <f>IF(OR(M106="挂起",M106="暂停",Q106="挂起",Q106="暂停",U106="挂起",U106="暂停",Y106="挂起",Y106="暂停"),"暂停","已完成")</f>
        <v/>
      </c>
      <c r="G623" s="125" t="n">
        <v>46209</v>
      </c>
      <c r="H623" s="125" t="n">
        <v>46213</v>
      </c>
      <c r="I623" s="127" t="n">
        <v>40</v>
      </c>
      <c r="J623" s="124">
        <f>IF(I623="","待估算",IF(F623="已完成","已结束",IF(AND(ISNUMBER(G623),ISNUMBER(H623),G623&lt;='项目驾驶舱'!$B$3,H623&gt;='项目驾驶舱'!$B$3),"进行中","计划中")))</f>
        <v/>
      </c>
      <c r="K623" s="124">
        <f>IF(J623="待估算","补充投入工时",IF(AND(H623&lt;'项目驾驶舱'!$B$3,F623&lt;&gt;"已完成"),"确认延期和后续安排","按计划跟踪"))</f>
        <v/>
      </c>
      <c r="L623" s="127" t="n"/>
    </row>
    <row r="624">
      <c r="C624" s="124" t="inlineStr">
        <is>
          <t>T104</t>
        </is>
      </c>
      <c r="D624" s="124" t="inlineStr">
        <is>
          <t>吞吐量统计（曹妃甸）</t>
        </is>
      </c>
      <c r="E624" s="124" t="inlineStr">
        <is>
          <t>第一批次</t>
        </is>
      </c>
      <c r="F624" s="124">
        <f>IF(OR(M107="挂起",M107="暂停",Q107="挂起",Q107="暂停",U107="挂起",U107="暂停",Y107="挂起",Y107="暂停"),"暂停","已完成")</f>
        <v/>
      </c>
      <c r="G624" s="125" t="n">
        <v>46209</v>
      </c>
      <c r="H624" s="125" t="n">
        <v>46213</v>
      </c>
      <c r="I624" s="127" t="n">
        <v>40</v>
      </c>
      <c r="J624" s="124">
        <f>IF(I624="","待估算",IF(F624="已完成","已结束",IF(AND(ISNUMBER(G624),ISNUMBER(H624),G624&lt;='项目驾驶舱'!$B$3,H624&gt;='项目驾驶舱'!$B$3),"进行中","计划中")))</f>
        <v/>
      </c>
      <c r="K624" s="124">
        <f>IF(J624="待估算","补充投入工时",IF(AND(H624&lt;'项目驾驶舱'!$B$3,F624&lt;&gt;"已完成"),"确认延期和后续安排","按计划跟踪"))</f>
        <v/>
      </c>
      <c r="L624" s="127" t="n"/>
    </row>
    <row r="625">
      <c r="C625" s="124" t="inlineStr">
        <is>
          <t>T105</t>
        </is>
      </c>
      <c r="D625" s="124" t="inlineStr">
        <is>
          <t>泊位占用率分析（曹妃甸）</t>
        </is>
      </c>
      <c r="E625" s="124" t="inlineStr">
        <is>
          <t>第一批次</t>
        </is>
      </c>
      <c r="F625" s="124">
        <f>IF(OR(M108="挂起",M108="暂停",Q108="挂起",Q108="暂停",U108="挂起",U108="暂停",Y108="挂起",Y108="暂停"),"暂停","已完成")</f>
        <v/>
      </c>
      <c r="G625" s="125" t="n">
        <v>46209</v>
      </c>
      <c r="H625" s="125" t="n">
        <v>46213</v>
      </c>
      <c r="I625" s="127" t="n">
        <v>40</v>
      </c>
      <c r="J625" s="124">
        <f>IF(I625="","待估算",IF(F625="已完成","已结束",IF(AND(ISNUMBER(G625),ISNUMBER(H625),G625&lt;='项目驾驶舱'!$B$3,H625&gt;='项目驾驶舱'!$B$3),"进行中","计划中")))</f>
        <v/>
      </c>
      <c r="K625" s="124">
        <f>IF(J625="待估算","补充投入工时",IF(AND(H625&lt;'项目驾驶舱'!$B$3,F625&lt;&gt;"已完成"),"确认延期和后续安排","按计划跟踪"))</f>
        <v/>
      </c>
      <c r="L625" s="127" t="n"/>
    </row>
    <row r="626">
      <c r="C626" s="124" t="inlineStr">
        <is>
          <t>T106</t>
        </is>
      </c>
      <c r="D626" s="124" t="inlineStr">
        <is>
          <t>堆存库存统计（曹妃甸）</t>
        </is>
      </c>
      <c r="E626" s="124" t="inlineStr">
        <is>
          <t>第一批次</t>
        </is>
      </c>
      <c r="F626" s="124">
        <f>IF(OR(M109="挂起",M109="暂停",Q109="挂起",Q109="暂停",U109="挂起",U109="暂停",Y109="挂起",Y109="暂停"),"暂停","已完成")</f>
        <v/>
      </c>
      <c r="G626" s="125" t="n">
        <v>46209</v>
      </c>
      <c r="H626" s="125" t="n">
        <v>46213</v>
      </c>
      <c r="I626" s="127" t="n">
        <v>40</v>
      </c>
      <c r="J626" s="124">
        <f>IF(I626="","待估算",IF(F626="已完成","已结束",IF(AND(ISNUMBER(G626),ISNUMBER(H626),G626&lt;='项目驾驶舱'!$B$3,H626&gt;='项目驾驶舱'!$B$3),"进行中","计划中")))</f>
        <v/>
      </c>
      <c r="K626" s="124">
        <f>IF(J626="待估算","补充投入工时",IF(AND(H626&lt;'项目驾驶舱'!$B$3,F626&lt;&gt;"已完成"),"确认延期和后续安排","按计划跟踪"))</f>
        <v/>
      </c>
      <c r="L626" s="127" t="n"/>
    </row>
    <row r="627">
      <c r="C627" s="124" t="inlineStr">
        <is>
          <t>T107</t>
        </is>
      </c>
      <c r="D627" s="124" t="inlineStr">
        <is>
          <t>分货主实时统计表（曹妃甸）</t>
        </is>
      </c>
      <c r="E627" s="124" t="inlineStr">
        <is>
          <t>第一批次</t>
        </is>
      </c>
      <c r="F627" s="124">
        <f>IF(OR(M110="挂起",M110="暂停",Q110="挂起",Q110="暂停",U110="挂起",U110="暂停",Y110="挂起",Y110="暂停"),"暂停","已完成")</f>
        <v/>
      </c>
      <c r="G627" s="125" t="n">
        <v>46209</v>
      </c>
      <c r="H627" s="125" t="n">
        <v>46213</v>
      </c>
      <c r="I627" s="127" t="n">
        <v>40</v>
      </c>
      <c r="J627" s="124">
        <f>IF(I627="","待估算",IF(F627="已完成","已结束",IF(AND(ISNUMBER(G627),ISNUMBER(H627),G627&lt;='项目驾驶舱'!$B$3,H627&gt;='项目驾驶舱'!$B$3),"进行中","计划中")))</f>
        <v/>
      </c>
      <c r="K627" s="124">
        <f>IF(J627="待估算","补充投入工时",IF(AND(H627&lt;'项目驾驶舱'!$B$3,F627&lt;&gt;"已完成"),"确认延期和后续安排","按计划跟踪"))</f>
        <v/>
      </c>
      <c r="L627" s="127" t="n"/>
    </row>
    <row r="628">
      <c r="A628" s="22" t="n"/>
      <c r="B628" s="22" t="n"/>
      <c r="C628" s="124" t="inlineStr">
        <is>
          <t>T108</t>
        </is>
      </c>
      <c r="D628" s="124" t="inlineStr">
        <is>
          <t>综合装船效率分析（曹妃甸）</t>
        </is>
      </c>
      <c r="E628" s="124" t="inlineStr">
        <is>
          <t>第一批次</t>
        </is>
      </c>
      <c r="F628" s="124">
        <f>IF(OR(M111="挂起",M111="暂停",Q111="挂起",Q111="暂停",U111="挂起",U111="暂停",Y111="挂起",Y111="暂停"),"暂停","已完成")</f>
        <v/>
      </c>
      <c r="G628" s="125" t="n">
        <v>46209</v>
      </c>
      <c r="H628" s="125" t="n">
        <v>46213</v>
      </c>
      <c r="I628" s="127" t="n">
        <v>40</v>
      </c>
      <c r="J628" s="124">
        <f>IF(I628="","待估算",IF(F628="已完成","已结束",IF(AND(ISNUMBER(G628),ISNUMBER(H628),G628&lt;='项目驾驶舱'!$B$3,H628&gt;='项目驾驶舱'!$B$3),"进行中","计划中")))</f>
        <v/>
      </c>
      <c r="K628" s="124">
        <f>IF(J628="待估算","补充投入工时",IF(AND(H628&lt;'项目驾驶舱'!$B$3,F628&lt;&gt;"已完成"),"确认延期和后续安排","按计划跟踪"))</f>
        <v/>
      </c>
      <c r="L628" s="127" t="n"/>
    </row>
    <row r="629">
      <c r="A629" s="133" t="inlineStr">
        <is>
          <t>郑士旺</t>
        </is>
      </c>
      <c r="B629" s="133" t="inlineStr">
        <is>
          <t>业务</t>
        </is>
      </c>
      <c r="C629" s="124" t="inlineStr">
        <is>
          <t>T109</t>
        </is>
      </c>
      <c r="D629" s="124" t="inlineStr">
        <is>
          <t>综合卸车效率分析（曹妃甸）</t>
        </is>
      </c>
      <c r="E629" s="124" t="inlineStr">
        <is>
          <t>第一批次</t>
        </is>
      </c>
      <c r="F629" s="124">
        <f>IF(OR(M112="挂起",M112="暂停",Q112="挂起",Q112="暂停",U112="挂起",U112="暂停",Y112="挂起",Y112="暂停"),"暂停","已完成")</f>
        <v/>
      </c>
      <c r="G629" s="125" t="n">
        <v>46209</v>
      </c>
      <c r="H629" s="125" t="n">
        <v>46213</v>
      </c>
      <c r="I629" s="127" t="n">
        <v>40</v>
      </c>
      <c r="J629" s="124">
        <f>IF(I629="","待估算",IF(F629="已完成","已结束",IF(AND(ISNUMBER(G629),ISNUMBER(H629),G629&lt;='项目驾驶舱'!$B$3,H629&gt;='项目驾驶舱'!$B$3),"进行中","计划中")))</f>
        <v/>
      </c>
      <c r="K629" s="124">
        <f>IF(J629="待估算","补充投入工时",IF(AND(H629&lt;'项目驾驶舱'!$B$3,F629&lt;&gt;"已完成"),"确认延期和后续安排","按计划跟踪"))</f>
        <v/>
      </c>
      <c r="L629" s="127" t="n"/>
    </row>
    <row r="630">
      <c r="C630" s="124" t="inlineStr">
        <is>
          <t>T110</t>
        </is>
      </c>
      <c r="D630" s="124" t="inlineStr">
        <is>
          <t>综合卸船效率分析（曹妃甸）</t>
        </is>
      </c>
      <c r="E630" s="124" t="inlineStr">
        <is>
          <t>第二批次</t>
        </is>
      </c>
      <c r="F630" s="124">
        <f>IF(OR(M113="挂起",M113="暂停",Q113="挂起",Q113="暂停",U113="挂起",U113="暂停",Y113="挂起",Y113="暂停"),"暂停","已完成")</f>
        <v/>
      </c>
      <c r="G630" s="125" t="n">
        <v>46209</v>
      </c>
      <c r="H630" s="125" t="n">
        <v>46213</v>
      </c>
      <c r="I630" s="127" t="n">
        <v>40</v>
      </c>
      <c r="J630" s="124">
        <f>IF(I630="","待估算",IF(F630="已完成","已结束",IF(AND(ISNUMBER(G630),ISNUMBER(H630),G630&lt;='项目驾驶舱'!$B$3,H630&gt;='项目驾驶舱'!$B$3),"进行中","计划中")))</f>
        <v/>
      </c>
      <c r="K630" s="124">
        <f>IF(J630="待估算","补充投入工时",IF(AND(H630&lt;'项目驾驶舱'!$B$3,F630&lt;&gt;"已完成"),"确认延期和后续安排","按计划跟踪"))</f>
        <v/>
      </c>
      <c r="L630" s="127" t="n"/>
    </row>
    <row r="631">
      <c r="C631" s="124" t="inlineStr">
        <is>
          <t>T138</t>
        </is>
      </c>
      <c r="D631" s="124" t="inlineStr">
        <is>
          <t>查询卸车流程</t>
        </is>
      </c>
      <c r="E631" s="124" t="inlineStr">
        <is>
          <t>第二批次</t>
        </is>
      </c>
      <c r="F631" s="124">
        <f>IF(OR(M141="挂起",M141="暂停",Q141="挂起",Q141="暂停",U141="挂起",U141="暂停",Y141="挂起",Y141="暂停"),"暂停","已完成")</f>
        <v/>
      </c>
      <c r="G631" s="125" t="n">
        <v>46209</v>
      </c>
      <c r="H631" s="125" t="n">
        <v>46213</v>
      </c>
      <c r="I631" s="127" t="n">
        <v>40</v>
      </c>
      <c r="J631" s="124">
        <f>IF(I631="","待估算",IF(F631="已完成","已结束",IF(AND(ISNUMBER(G631),ISNUMBER(H631),G631&lt;='项目驾驶舱'!$B$3,H631&gt;='项目驾驶舱'!$B$3),"进行中","计划中")))</f>
        <v/>
      </c>
      <c r="K631" s="124">
        <f>IF(J631="待估算","补充投入工时",IF(AND(H631&lt;'项目驾驶舱'!$B$3,F631&lt;&gt;"已完成"),"确认延期和后续安排","按计划跟踪"))</f>
        <v/>
      </c>
      <c r="L631" s="127" t="n"/>
    </row>
    <row r="632">
      <c r="C632" s="124" t="inlineStr">
        <is>
          <t>T139</t>
        </is>
      </c>
      <c r="D632" s="124" t="inlineStr">
        <is>
          <t>查询装船流程</t>
        </is>
      </c>
      <c r="E632" s="124" t="inlineStr">
        <is>
          <t>第二批次</t>
        </is>
      </c>
      <c r="F632" s="124">
        <f>IF(OR(M142="挂起",M142="暂停",Q142="挂起",Q142="暂停",U142="挂起",U142="暂停",Y142="挂起",Y142="暂停"),"暂停","已完成")</f>
        <v/>
      </c>
      <c r="G632" s="125" t="n">
        <v>46209</v>
      </c>
      <c r="H632" s="125" t="n">
        <v>46213</v>
      </c>
      <c r="I632" s="127" t="n">
        <v>40</v>
      </c>
      <c r="J632" s="124">
        <f>IF(I632="","待估算",IF(F632="已完成","已结束",IF(AND(ISNUMBER(G632),ISNUMBER(H632),G632&lt;='项目驾驶舱'!$B$3,H632&gt;='项目驾驶舱'!$B$3),"进行中","计划中")))</f>
        <v/>
      </c>
      <c r="K632" s="124">
        <f>IF(J632="待估算","补充投入工时",IF(AND(H632&lt;'项目驾驶舱'!$B$3,F632&lt;&gt;"已完成"),"确认延期和后续安排","按计划跟踪"))</f>
        <v/>
      </c>
      <c r="L632" s="127" t="n"/>
    </row>
    <row r="633">
      <c r="C633" s="124" t="inlineStr">
        <is>
          <t>T140</t>
        </is>
      </c>
      <c r="D633" s="124" t="inlineStr">
        <is>
          <t>查询卸船流程</t>
        </is>
      </c>
      <c r="E633" s="124" t="inlineStr">
        <is>
          <t>第二批次</t>
        </is>
      </c>
      <c r="F633" s="124">
        <f>IF(OR(M143="挂起",M143="暂停",Q143="挂起",Q143="暂停",U143="挂起",U143="暂停",Y143="挂起",Y143="暂停"),"暂停","已完成")</f>
        <v/>
      </c>
      <c r="G633" s="125" t="n">
        <v>46209</v>
      </c>
      <c r="H633" s="125" t="n">
        <v>46213</v>
      </c>
      <c r="I633" s="127" t="n">
        <v>40</v>
      </c>
      <c r="J633" s="124">
        <f>IF(I633="","待估算",IF(F633="已完成","已结束",IF(AND(ISNUMBER(G633),ISNUMBER(H633),G633&lt;='项目驾驶舱'!$B$3,H633&gt;='项目驾驶舱'!$B$3),"进行中","计划中")))</f>
        <v/>
      </c>
      <c r="K633" s="124">
        <f>IF(J633="待估算","补充投入工时",IF(AND(H633&lt;'项目驾驶舱'!$B$3,F633&lt;&gt;"已完成"),"确认延期和后续安排","按计划跟踪"))</f>
        <v/>
      </c>
      <c r="L633" s="127" t="n"/>
    </row>
    <row r="634">
      <c r="C634" s="124" t="inlineStr">
        <is>
          <t>T143</t>
        </is>
      </c>
      <c r="D634" s="124" t="inlineStr">
        <is>
          <t>图片上传</t>
        </is>
      </c>
      <c r="E634" s="124" t="inlineStr">
        <is>
          <t>第一批次</t>
        </is>
      </c>
      <c r="F634" s="124">
        <f>IF(OR(M146="挂起",M146="暂停",Q146="挂起",Q146="暂停",U146="挂起",U146="暂停",Y146="挂起",Y146="暂停"),"暂停","已完成")</f>
        <v/>
      </c>
      <c r="G634" s="125" t="n">
        <v>46209</v>
      </c>
      <c r="H634" s="125" t="n">
        <v>46213</v>
      </c>
      <c r="I634" s="127" t="n">
        <v>40</v>
      </c>
      <c r="J634" s="124">
        <f>IF(I634="","待估算",IF(F634="已完成","已结束",IF(AND(ISNUMBER(G634),ISNUMBER(H634),G634&lt;='项目驾驶舱'!$B$3,H634&gt;='项目驾驶舱'!$B$3),"进行中","计划中")))</f>
        <v/>
      </c>
      <c r="K634" s="124">
        <f>IF(J634="待估算","补充投入工时",IF(AND(H634&lt;'项目驾驶舱'!$B$3,F634&lt;&gt;"已完成"),"确认延期和后续安排","按计划跟踪"))</f>
        <v/>
      </c>
      <c r="L634" s="127" t="n"/>
    </row>
    <row r="635">
      <c r="C635" s="124" t="inlineStr">
        <is>
          <t>T144</t>
        </is>
      </c>
      <c r="D635" s="124" t="inlineStr">
        <is>
          <t>图片上传</t>
        </is>
      </c>
      <c r="E635" s="124" t="inlineStr">
        <is>
          <t>第一批次</t>
        </is>
      </c>
      <c r="F635" s="124">
        <f>IF(OR(M147="挂起",M147="暂停",Q147="挂起",Q147="暂停",U147="挂起",U147="暂停",Y147="挂起",Y147="暂停"),"暂停","已完成")</f>
        <v/>
      </c>
      <c r="G635" s="125" t="n">
        <v>46209</v>
      </c>
      <c r="H635" s="125" t="n">
        <v>46213</v>
      </c>
      <c r="I635" s="127" t="n">
        <v>40</v>
      </c>
      <c r="J635" s="124">
        <f>IF(I635="","待估算",IF(F635="已完成","已结束",IF(AND(ISNUMBER(G635),ISNUMBER(H635),G635&lt;='项目驾驶舱'!$B$3,H635&gt;='项目驾驶舱'!$B$3),"进行中","计划中")))</f>
        <v/>
      </c>
      <c r="K635" s="124">
        <f>IF(J635="待估算","补充投入工时",IF(AND(H635&lt;'项目驾驶舱'!$B$3,F635&lt;&gt;"已完成"),"确认延期和后续安排","按计划跟踪"))</f>
        <v/>
      </c>
      <c r="L635" s="127" t="n"/>
    </row>
    <row r="636">
      <c r="C636" s="124" t="inlineStr">
        <is>
          <t>T145</t>
        </is>
      </c>
      <c r="D636" s="124" t="inlineStr">
        <is>
          <t>图片上传</t>
        </is>
      </c>
      <c r="E636" s="124" t="inlineStr">
        <is>
          <t>第二批次</t>
        </is>
      </c>
      <c r="F636" s="124">
        <f>IF(OR(M148="挂起",M148="暂停",Q148="挂起",Q148="暂停",U148="挂起",U148="暂停",Y148="挂起",Y148="暂停"),"暂停","已完成")</f>
        <v/>
      </c>
      <c r="G636" s="125" t="n">
        <v>46209</v>
      </c>
      <c r="H636" s="125" t="n">
        <v>46213</v>
      </c>
      <c r="I636" s="127" t="n">
        <v>40</v>
      </c>
      <c r="J636" s="124">
        <f>IF(I636="","待估算",IF(F636="已完成","已结束",IF(AND(ISNUMBER(G636),ISNUMBER(H636),G636&lt;='项目驾驶舱'!$B$3,H636&gt;='项目驾驶舱'!$B$3),"进行中","计划中")))</f>
        <v/>
      </c>
      <c r="K636" s="124">
        <f>IF(J636="待估算","补充投入工时",IF(AND(H636&lt;'项目驾驶舱'!$B$3,F636&lt;&gt;"已完成"),"确认延期和后续安排","按计划跟踪"))</f>
        <v/>
      </c>
      <c r="L636" s="127" t="n"/>
    </row>
    <row r="637">
      <c r="C637" s="124" t="inlineStr">
        <is>
          <t>T121</t>
        </is>
      </c>
      <c r="D637" s="124" t="inlineStr">
        <is>
          <t>船舶供应服务查询</t>
        </is>
      </c>
      <c r="E637" s="124" t="inlineStr">
        <is>
          <t>第二批次</t>
        </is>
      </c>
      <c r="F637" s="124">
        <f>IF(OR(M124="挂起",M124="暂停",Q124="挂起",Q124="暂停",U124="挂起",U124="暂停",Y124="挂起",Y124="暂停"),"暂停","已完成")</f>
        <v/>
      </c>
      <c r="G637" s="125" t="n">
        <v>46216</v>
      </c>
      <c r="H637" s="125" t="n">
        <v>46220</v>
      </c>
      <c r="I637" s="127" t="n">
        <v>40</v>
      </c>
      <c r="J637" s="124">
        <f>IF(I637="","待估算",IF(F637="已完成","已结束",IF(AND(ISNUMBER(G637),ISNUMBER(H637),G637&lt;='项目驾驶舱'!$B$3,H637&gt;='项目驾驶舱'!$B$3),"进行中","计划中")))</f>
        <v/>
      </c>
      <c r="K637" s="124">
        <f>IF(J637="待估算","补充投入工时",IF(AND(H637&lt;'项目驾驶舱'!$B$3,F637&lt;&gt;"已完成"),"确认延期和后续安排","按计划跟踪"))</f>
        <v/>
      </c>
      <c r="L637" s="127" t="n"/>
    </row>
    <row r="638">
      <c r="C638" s="124" t="inlineStr">
        <is>
          <t>T122</t>
        </is>
      </c>
      <c r="D638" s="124" t="inlineStr">
        <is>
          <t>船舶预到（内贸）查询</t>
        </is>
      </c>
      <c r="E638" s="124" t="inlineStr">
        <is>
          <t>第二批次</t>
        </is>
      </c>
      <c r="F638" s="124">
        <f>IF(OR(M125="挂起",M125="暂停",Q125="挂起",Q125="暂停",U125="挂起",U125="暂停",Y125="挂起",Y125="暂停"),"暂停","已完成")</f>
        <v/>
      </c>
      <c r="G638" s="125" t="n">
        <v>46216</v>
      </c>
      <c r="H638" s="125" t="n">
        <v>46220</v>
      </c>
      <c r="I638" s="127" t="n">
        <v>40</v>
      </c>
      <c r="J638" s="124">
        <f>IF(I638="","待估算",IF(F638="已完成","已结束",IF(AND(ISNUMBER(G638),ISNUMBER(H638),G638&lt;='项目驾驶舱'!$B$3,H638&gt;='项目驾驶舱'!$B$3),"进行中","计划中")))</f>
        <v/>
      </c>
      <c r="K638" s="124">
        <f>IF(J638="待估算","补充投入工时",IF(AND(H638&lt;'项目驾驶舱'!$B$3,F638&lt;&gt;"已完成"),"确认延期和后续安排","按计划跟踪"))</f>
        <v/>
      </c>
      <c r="L638" s="127" t="n"/>
    </row>
    <row r="639">
      <c r="C639" s="124" t="inlineStr">
        <is>
          <t>T123</t>
        </is>
      </c>
      <c r="D639" s="124" t="inlineStr">
        <is>
          <t>台账查询</t>
        </is>
      </c>
      <c r="E639" s="124" t="inlineStr">
        <is>
          <t>第二批次</t>
        </is>
      </c>
      <c r="F639" s="124">
        <f>IF(OR(M126="挂起",M126="暂停",Q126="挂起",Q126="暂停",U126="挂起",U126="暂停",Y126="挂起",Y126="暂停"),"暂停","已完成")</f>
        <v/>
      </c>
      <c r="G639" s="125" t="n">
        <v>46216</v>
      </c>
      <c r="H639" s="125" t="n">
        <v>46220</v>
      </c>
      <c r="I639" s="127" t="n">
        <v>40</v>
      </c>
      <c r="J639" s="124">
        <f>IF(I639="","待估算",IF(F639="已完成","已结束",IF(AND(ISNUMBER(G639),ISNUMBER(H639),G639&lt;='项目驾驶舱'!$B$3,H639&gt;='项目驾驶舱'!$B$3),"进行中","计划中")))</f>
        <v/>
      </c>
      <c r="K639" s="124">
        <f>IF(J639="待估算","补充投入工时",IF(AND(H639&lt;'项目驾驶舱'!$B$3,F639&lt;&gt;"已完成"),"确认延期和后续安排","按计划跟踪"))</f>
        <v/>
      </c>
      <c r="L639" s="127" t="n"/>
    </row>
    <row r="640">
      <c r="A640" s="22" t="n"/>
      <c r="B640" s="22" t="n"/>
      <c r="C640" s="124" t="inlineStr">
        <is>
          <t>T124</t>
        </is>
      </c>
      <c r="D640" s="124" t="inlineStr">
        <is>
          <t>停泊费（内贸）查询</t>
        </is>
      </c>
      <c r="E640" s="124" t="inlineStr">
        <is>
          <t>第二批次</t>
        </is>
      </c>
      <c r="F640" s="124">
        <f>IF(OR(M127="挂起",M127="暂停",Q127="挂起",Q127="暂停",U127="挂起",U127="暂停",Y127="挂起",Y127="暂停"),"暂停","已完成")</f>
        <v/>
      </c>
      <c r="G640" s="125" t="n">
        <v>46216</v>
      </c>
      <c r="H640" s="125" t="n">
        <v>46220</v>
      </c>
      <c r="I640" s="127" t="n">
        <v>40</v>
      </c>
      <c r="J640" s="124">
        <f>IF(I640="","待估算",IF(F640="已完成","已结束",IF(AND(ISNUMBER(G640),ISNUMBER(H640),G640&lt;='项目驾驶舱'!$B$3,H640&gt;='项目驾驶舱'!$B$3),"进行中","计划中")))</f>
        <v/>
      </c>
      <c r="K640" s="124">
        <f>IF(J640="待估算","补充投入工时",IF(AND(H640&lt;'项目驾驶舱'!$B$3,F640&lt;&gt;"已完成"),"确认延期和后续安排","按计划跟踪"))</f>
        <v/>
      </c>
      <c r="L640" s="127" t="n"/>
    </row>
    <row r="641">
      <c r="A641" s="133" t="inlineStr">
        <is>
          <t>郑士旺</t>
        </is>
      </c>
      <c r="B641" s="133" t="inlineStr">
        <is>
          <t>业务</t>
        </is>
      </c>
      <c r="C641" s="124" t="inlineStr">
        <is>
          <t>T125</t>
        </is>
      </c>
      <c r="D641" s="124" t="inlineStr">
        <is>
          <t>船舶供应服务费（内贸）查询</t>
        </is>
      </c>
      <c r="E641" s="124" t="inlineStr">
        <is>
          <t>第二批次</t>
        </is>
      </c>
      <c r="F641" s="124">
        <f>IF(OR(M128="挂起",M128="暂停",Q128="挂起",Q128="暂停",U128="挂起",U128="暂停",Y128="挂起",Y128="暂停"),"暂停","已完成")</f>
        <v/>
      </c>
      <c r="G641" s="125" t="n">
        <v>46216</v>
      </c>
      <c r="H641" s="125" t="n">
        <v>46220</v>
      </c>
      <c r="I641" s="127" t="n">
        <v>40</v>
      </c>
      <c r="J641" s="124">
        <f>IF(I641="","待估算",IF(F641="已完成","已结束",IF(AND(ISNUMBER(G641),ISNUMBER(H641),G641&lt;='项目驾驶舱'!$B$3,H641&gt;='项目驾驶舱'!$B$3),"进行中","计划中")))</f>
        <v/>
      </c>
      <c r="K641" s="124">
        <f>IF(J641="待估算","补充投入工时",IF(AND(H641&lt;'项目驾驶舱'!$B$3,F641&lt;&gt;"已完成"),"确认延期和后续安排","按计划跟踪"))</f>
        <v/>
      </c>
      <c r="L641" s="127" t="n"/>
    </row>
    <row r="642">
      <c r="C642" s="124" t="inlineStr">
        <is>
          <t>T013</t>
        </is>
      </c>
      <c r="D642" s="124" t="inlineStr">
        <is>
          <t>新增结算条款</t>
        </is>
      </c>
      <c r="E642" s="124" t="inlineStr">
        <is>
          <t>第二批次</t>
        </is>
      </c>
      <c r="F642" s="124">
        <f>IF(OR(M16="挂起",M16="暂停",Q16="挂起",Q16="暂停",U16="挂起",U16="暂停",Y16="挂起",Y16="暂停"),"暂停","未开始")</f>
        <v/>
      </c>
      <c r="G642" s="125" t="n">
        <v>46223</v>
      </c>
      <c r="H642" s="125" t="n">
        <v>46227</v>
      </c>
      <c r="I642" s="127" t="n">
        <v>40</v>
      </c>
      <c r="J642" s="124">
        <f>IF(I642="","待估算",IF(F642="已完成","已结束",IF(AND(ISNUMBER(G642),ISNUMBER(H642),G642&lt;='项目驾驶舱'!$B$3,H642&gt;='项目驾驶舱'!$B$3),"进行中","计划中")))</f>
        <v/>
      </c>
      <c r="K642" s="124">
        <f>IF(J642="待估算","补充投入工时",IF(AND(H642&lt;'项目驾驶舱'!$B$3,F642&lt;&gt;"已完成"),"确认延期和后续安排","按计划跟踪"))</f>
        <v/>
      </c>
      <c r="L642" s="127" t="n"/>
    </row>
    <row r="643">
      <c r="C643" s="124" t="inlineStr">
        <is>
          <t>T014</t>
        </is>
      </c>
      <c r="D643" s="124" t="inlineStr">
        <is>
          <t>结算条款审批</t>
        </is>
      </c>
      <c r="E643" s="124" t="inlineStr">
        <is>
          <t>第二批次</t>
        </is>
      </c>
      <c r="F643" s="124">
        <f>IF(OR(M17="挂起",M17="暂停",Q17="挂起",Q17="暂停",U17="挂起",U17="暂停",Y17="挂起",Y17="暂停"),"暂停","未开始")</f>
        <v/>
      </c>
      <c r="G643" s="125" t="n">
        <v>46223</v>
      </c>
      <c r="H643" s="125" t="n">
        <v>46227</v>
      </c>
      <c r="I643" s="127" t="n">
        <v>40</v>
      </c>
      <c r="J643" s="124">
        <f>IF(I643="","待估算",IF(F643="已完成","已结束",IF(AND(ISNUMBER(G643),ISNUMBER(H643),G643&lt;='项目驾驶舱'!$B$3,H643&gt;='项目驾驶舱'!$B$3),"进行中","计划中")))</f>
        <v/>
      </c>
      <c r="K643" s="124">
        <f>IF(J643="待估算","补充投入工时",IF(AND(H643&lt;'项目驾驶舱'!$B$3,F643&lt;&gt;"已完成"),"确认延期和后续安排","按计划跟踪"))</f>
        <v/>
      </c>
      <c r="L643" s="127" t="n"/>
    </row>
    <row r="644">
      <c r="C644" s="124" t="inlineStr">
        <is>
          <t>T015</t>
        </is>
      </c>
      <c r="D644" s="124" t="inlineStr">
        <is>
          <t>修改结算条款</t>
        </is>
      </c>
      <c r="E644" s="124" t="inlineStr">
        <is>
          <t>第二批次</t>
        </is>
      </c>
      <c r="F644" s="124">
        <f>IF(OR(M18="挂起",M18="暂停",Q18="挂起",Q18="暂停",U18="挂起",U18="暂停",Y18="挂起",Y18="暂停"),"暂停","未开始")</f>
        <v/>
      </c>
      <c r="G644" s="125" t="n">
        <v>46223</v>
      </c>
      <c r="H644" s="125" t="n">
        <v>46227</v>
      </c>
      <c r="I644" s="127" t="n">
        <v>40</v>
      </c>
      <c r="J644" s="124">
        <f>IF(I644="","待估算",IF(F644="已完成","已结束",IF(AND(ISNUMBER(G644),ISNUMBER(H644),G644&lt;='项目驾驶舱'!$B$3,H644&gt;='项目驾驶舱'!$B$3),"进行中","计划中")))</f>
        <v/>
      </c>
      <c r="K644" s="124">
        <f>IF(J644="待估算","补充投入工时",IF(AND(H644&lt;'项目驾驶舱'!$B$3,F644&lt;&gt;"已完成"),"确认延期和后续安排","按计划跟踪"))</f>
        <v/>
      </c>
      <c r="L644" s="127" t="n"/>
    </row>
    <row r="645">
      <c r="C645" s="124" t="inlineStr">
        <is>
          <t>T016</t>
        </is>
      </c>
      <c r="D645" s="124" t="inlineStr">
        <is>
          <t>删除结算条款</t>
        </is>
      </c>
      <c r="E645" s="124" t="inlineStr">
        <is>
          <t>第二批次</t>
        </is>
      </c>
      <c r="F645" s="124">
        <f>IF(OR(M19="挂起",M19="暂停",Q19="挂起",Q19="暂停",U19="挂起",U19="暂停",Y19="挂起",Y19="暂停"),"暂停","未开始")</f>
        <v/>
      </c>
      <c r="G645" s="125" t="n">
        <v>46223</v>
      </c>
      <c r="H645" s="125" t="n">
        <v>46227</v>
      </c>
      <c r="I645" s="127" t="n">
        <v>40</v>
      </c>
      <c r="J645" s="124">
        <f>IF(I645="","待估算",IF(F645="已完成","已结束",IF(AND(ISNUMBER(G645),ISNUMBER(H645),G645&lt;='项目驾驶舱'!$B$3,H645&gt;='项目驾驶舱'!$B$3),"进行中","计划中")))</f>
        <v/>
      </c>
      <c r="K645" s="124">
        <f>IF(J645="待估算","补充投入工时",IF(AND(H645&lt;'项目驾驶舱'!$B$3,F645&lt;&gt;"已完成"),"确认延期和后续安排","按计划跟踪"))</f>
        <v/>
      </c>
      <c r="L645" s="127" t="n"/>
    </row>
    <row r="646">
      <c r="C646" s="124" t="inlineStr">
        <is>
          <t>T017</t>
        </is>
      </c>
      <c r="D646" s="124" t="inlineStr">
        <is>
          <t>查询展示结算条款</t>
        </is>
      </c>
      <c r="E646" s="124" t="inlineStr">
        <is>
          <t>第二批次</t>
        </is>
      </c>
      <c r="F646" s="124">
        <f>IF(OR(M20="挂起",M20="暂停",Q20="挂起",Q20="暂停",U20="挂起",U20="暂停",Y20="挂起",Y20="暂停"),"暂停","未开始")</f>
        <v/>
      </c>
      <c r="G646" s="125" t="n">
        <v>46223</v>
      </c>
      <c r="H646" s="125" t="n">
        <v>46227</v>
      </c>
      <c r="I646" s="127" t="n">
        <v>40</v>
      </c>
      <c r="J646" s="124">
        <f>IF(I646="","待估算",IF(F646="已完成","已结束",IF(AND(ISNUMBER(G646),ISNUMBER(H646),G646&lt;='项目驾驶舱'!$B$3,H646&gt;='项目驾驶舱'!$B$3),"进行中","计划中")))</f>
        <v/>
      </c>
      <c r="K646" s="124">
        <f>IF(J646="待估算","补充投入工时",IF(AND(H646&lt;'项目驾驶舱'!$B$3,F646&lt;&gt;"已完成"),"确认延期和后续安排","按计划跟踪"))</f>
        <v/>
      </c>
      <c r="L646" s="127" t="n"/>
    </row>
    <row r="647">
      <c r="C647" s="124" t="inlineStr">
        <is>
          <t>T018</t>
        </is>
      </c>
      <c r="D647" s="124" t="inlineStr">
        <is>
          <t>结算条款推送法务系统</t>
        </is>
      </c>
      <c r="E647" s="124" t="inlineStr">
        <is>
          <t>第二批次</t>
        </is>
      </c>
      <c r="F647" s="124">
        <f>IF(OR(M21="挂起",M21="暂停",Q21="挂起",Q21="暂停",U21="挂起",U21="暂停",Y21="挂起",Y21="暂停"),"暂停","未开始")</f>
        <v/>
      </c>
      <c r="G647" s="125" t="n">
        <v>46223</v>
      </c>
      <c r="H647" s="125" t="n">
        <v>46227</v>
      </c>
      <c r="I647" s="127" t="n">
        <v>40</v>
      </c>
      <c r="J647" s="124">
        <f>IF(I647="","待估算",IF(F647="已完成","已结束",IF(AND(ISNUMBER(G647),ISNUMBER(H647),G647&lt;='项目驾驶舱'!$B$3,H647&gt;='项目驾驶舱'!$B$3),"进行中","计划中")))</f>
        <v/>
      </c>
      <c r="K647" s="124">
        <f>IF(J647="待估算","补充投入工时",IF(AND(H647&lt;'项目驾驶舱'!$B$3,F647&lt;&gt;"已完成"),"确认延期和后续安排","按计划跟踪"))</f>
        <v/>
      </c>
      <c r="L647" s="127" t="n"/>
    </row>
    <row r="648">
      <c r="C648" s="124" t="inlineStr">
        <is>
          <t>T053</t>
        </is>
      </c>
      <c r="D648" s="124" t="inlineStr">
        <is>
          <t>接入港口侧视频监控</t>
        </is>
      </c>
      <c r="E648" s="124" t="inlineStr">
        <is>
          <t>第二批次</t>
        </is>
      </c>
      <c r="F648" s="124">
        <f>IF(OR(M56="挂起",M56="暂停",Q56="挂起",Q56="暂停",U56="挂起",U56="暂停",Y56="挂起",Y56="暂停"),"暂停","未开始")</f>
        <v/>
      </c>
      <c r="G648" s="125" t="n">
        <v>46223</v>
      </c>
      <c r="H648" s="125" t="n">
        <v>46227</v>
      </c>
      <c r="I648" s="127" t="n">
        <v>40</v>
      </c>
      <c r="J648" s="124">
        <f>IF(I648="","待估算",IF(F648="已完成","已结束",IF(AND(ISNUMBER(G648),ISNUMBER(H648),G648&lt;='项目驾驶舱'!$B$3,H648&gt;='项目驾驶舱'!$B$3),"进行中","计划中")))</f>
        <v/>
      </c>
      <c r="K648" s="124">
        <f>IF(J648="待估算","补充投入工时",IF(AND(H648&lt;'项目驾驶舱'!$B$3,F648&lt;&gt;"已完成"),"确认延期和后续安排","按计划跟踪"))</f>
        <v/>
      </c>
      <c r="L648" s="127" t="n"/>
    </row>
    <row r="649">
      <c r="C649" s="124" t="inlineStr">
        <is>
          <t>T054</t>
        </is>
      </c>
      <c r="D649" s="124" t="inlineStr">
        <is>
          <t>视频查看权限申请</t>
        </is>
      </c>
      <c r="E649" s="124" t="inlineStr">
        <is>
          <t>第二批次</t>
        </is>
      </c>
      <c r="F649" s="124">
        <f>IF(OR(M57="挂起",M57="暂停",Q57="挂起",Q57="暂停",U57="挂起",U57="暂停",Y57="挂起",Y57="暂停"),"暂停","未开始")</f>
        <v/>
      </c>
      <c r="G649" s="125" t="n">
        <v>46223</v>
      </c>
      <c r="H649" s="125" t="n">
        <v>46227</v>
      </c>
      <c r="I649" s="127" t="n">
        <v>40</v>
      </c>
      <c r="J649" s="124">
        <f>IF(I649="","待估算",IF(F649="已完成","已结束",IF(AND(ISNUMBER(G649),ISNUMBER(H649),G649&lt;='项目驾驶舱'!$B$3,H649&gt;='项目驾驶舱'!$B$3),"进行中","计划中")))</f>
        <v/>
      </c>
      <c r="K649" s="124">
        <f>IF(J649="待估算","补充投入工时",IF(AND(H649&lt;'项目驾驶舱'!$B$3,F649&lt;&gt;"已完成"),"确认延期和后续安排","按计划跟踪"))</f>
        <v/>
      </c>
      <c r="L649" s="127" t="n"/>
    </row>
    <row r="650">
      <c r="C650" s="124" t="inlineStr">
        <is>
          <t>T055</t>
        </is>
      </c>
      <c r="D650" s="124" t="inlineStr">
        <is>
          <t>视频查看权限审批</t>
        </is>
      </c>
      <c r="E650" s="124" t="inlineStr">
        <is>
          <t>第二批次</t>
        </is>
      </c>
      <c r="F650" s="124">
        <f>IF(OR(M58="挂起",M58="暂停",Q58="挂起",Q58="暂停",U58="挂起",U58="暂停",Y58="挂起",Y58="暂停"),"暂停","未开始")</f>
        <v/>
      </c>
      <c r="G650" s="125" t="n">
        <v>46223</v>
      </c>
      <c r="H650" s="125" t="n">
        <v>46227</v>
      </c>
      <c r="I650" s="127" t="n">
        <v>40</v>
      </c>
      <c r="J650" s="124">
        <f>IF(I650="","待估算",IF(F650="已完成","已结束",IF(AND(ISNUMBER(G650),ISNUMBER(H650),G650&lt;='项目驾驶舱'!$B$3,H650&gt;='项目驾驶舱'!$B$3),"进行中","计划中")))</f>
        <v/>
      </c>
      <c r="K650" s="124">
        <f>IF(J650="待估算","补充投入工时",IF(AND(H650&lt;'项目驾驶舱'!$B$3,F650&lt;&gt;"已完成"),"确认延期和后续安排","按计划跟踪"))</f>
        <v/>
      </c>
      <c r="L650" s="127" t="n"/>
    </row>
    <row r="651">
      <c r="C651" s="124" t="inlineStr">
        <is>
          <t>T056</t>
        </is>
      </c>
      <c r="D651" s="124" t="inlineStr">
        <is>
          <t>视频查看权限有效期控制</t>
        </is>
      </c>
      <c r="E651" s="124" t="inlineStr">
        <is>
          <t>第二批次</t>
        </is>
      </c>
      <c r="F651" s="124">
        <f>IF(OR(M59="挂起",M59="暂停",Q59="挂起",Q59="暂停",U59="挂起",U59="暂停",Y59="挂起",Y59="暂停"),"暂停","未开始")</f>
        <v/>
      </c>
      <c r="G651" s="125" t="n">
        <v>46223</v>
      </c>
      <c r="H651" s="125" t="n">
        <v>46227</v>
      </c>
      <c r="I651" s="127" t="n">
        <v>40</v>
      </c>
      <c r="J651" s="124">
        <f>IF(I651="","待估算",IF(F651="已完成","已结束",IF(AND(ISNUMBER(G651),ISNUMBER(H651),G651&lt;='项目驾驶舱'!$B$3,H651&gt;='项目驾驶舱'!$B$3),"进行中","计划中")))</f>
        <v/>
      </c>
      <c r="K651" s="124">
        <f>IF(J651="待估算","补充投入工时",IF(AND(H651&lt;'项目驾驶舱'!$B$3,F651&lt;&gt;"已完成"),"确认延期和后续安排","按计划跟踪"))</f>
        <v/>
      </c>
      <c r="L651" s="127" t="n"/>
    </row>
    <row r="652">
      <c r="A652" s="22" t="n"/>
      <c r="B652" s="22" t="n"/>
      <c r="C652" s="124" t="inlineStr">
        <is>
          <t>T057</t>
        </is>
      </c>
      <c r="D652" s="124" t="inlineStr">
        <is>
          <t>外网PC端视频监控查询</t>
        </is>
      </c>
      <c r="E652" s="124" t="inlineStr">
        <is>
          <t>第二批次</t>
        </is>
      </c>
      <c r="F652" s="124">
        <f>IF(OR(M60="挂起",M60="暂停",Q60="挂起",Q60="暂停",U60="挂起",U60="暂停",Y60="挂起",Y60="暂停"),"暂停","未开始")</f>
        <v/>
      </c>
      <c r="G652" s="125" t="n">
        <v>46223</v>
      </c>
      <c r="H652" s="125" t="n">
        <v>46227</v>
      </c>
      <c r="I652" s="127" t="n">
        <v>40</v>
      </c>
      <c r="J652" s="124">
        <f>IF(I652="","待估算",IF(F652="已完成","已结束",IF(AND(ISNUMBER(G652),ISNUMBER(H652),G652&lt;='项目驾驶舱'!$B$3,H652&gt;='项目驾驶舱'!$B$3),"进行中","计划中")))</f>
        <v/>
      </c>
      <c r="K652" s="124">
        <f>IF(J652="待估算","补充投入工时",IF(AND(H652&lt;'项目驾驶舱'!$B$3,F652&lt;&gt;"已完成"),"确认延期和后续安排","按计划跟踪"))</f>
        <v/>
      </c>
      <c r="L652" s="127" t="n"/>
    </row>
    <row r="653">
      <c r="A653" s="133" t="inlineStr">
        <is>
          <t>郑士旺</t>
        </is>
      </c>
      <c r="B653" s="133" t="inlineStr">
        <is>
          <t>业务</t>
        </is>
      </c>
      <c r="C653" s="124" t="inlineStr">
        <is>
          <t>T078</t>
        </is>
      </c>
      <c r="D653" s="124" t="inlineStr">
        <is>
          <t>业务数据合同签订校验</t>
        </is>
      </c>
      <c r="E653" s="124" t="inlineStr">
        <is>
          <t>第二批次</t>
        </is>
      </c>
      <c r="F653" s="124">
        <f>IF(OR(M81="挂起",M81="暂停",Q81="挂起",Q81="暂停",U81="挂起",U81="暂停",Y81="挂起",Y81="暂停"),"暂停","未开始")</f>
        <v/>
      </c>
      <c r="G653" s="125" t="n">
        <v>46223</v>
      </c>
      <c r="H653" s="125" t="n">
        <v>46227</v>
      </c>
      <c r="I653" s="127" t="n">
        <v>40</v>
      </c>
      <c r="J653" s="124">
        <f>IF(I653="","待估算",IF(F653="已完成","已结束",IF(AND(ISNUMBER(G653),ISNUMBER(H653),G653&lt;='项目驾驶舱'!$B$3,H653&gt;='项目驾驶舱'!$B$3),"进行中","计划中")))</f>
        <v/>
      </c>
      <c r="K653" s="124">
        <f>IF(J653="待估算","补充投入工时",IF(AND(H653&lt;'项目驾驶舱'!$B$3,F653&lt;&gt;"已完成"),"确认延期和后续安排","按计划跟踪"))</f>
        <v/>
      </c>
      <c r="L653" s="127" t="n"/>
    </row>
    <row r="654">
      <c r="C654" s="124" t="inlineStr">
        <is>
          <t>T079</t>
        </is>
      </c>
      <c r="D654" s="124" t="inlineStr">
        <is>
          <t>结算数据合同签订校验</t>
        </is>
      </c>
      <c r="E654" s="124" t="inlineStr">
        <is>
          <t>第二批次</t>
        </is>
      </c>
      <c r="F654" s="124">
        <f>IF(OR(M82="挂起",M82="暂停",Q82="挂起",Q82="暂停",U82="挂起",U82="暂停",Y82="挂起",Y82="暂停"),"暂停","未开始")</f>
        <v/>
      </c>
      <c r="G654" s="125" t="n">
        <v>46223</v>
      </c>
      <c r="H654" s="125" t="n">
        <v>46227</v>
      </c>
      <c r="I654" s="127" t="n">
        <v>40</v>
      </c>
      <c r="J654" s="124">
        <f>IF(I654="","待估算",IF(F654="已完成","已结束",IF(AND(ISNUMBER(G654),ISNUMBER(H654),G654&lt;='项目驾驶舱'!$B$3,H654&gt;='项目驾驶舱'!$B$3),"进行中","计划中")))</f>
        <v/>
      </c>
      <c r="K654" s="124">
        <f>IF(J654="待估算","补充投入工时",IF(AND(H654&lt;'项目驾驶舱'!$B$3,F654&lt;&gt;"已完成"),"确认延期和后续安排","按计划跟踪"))</f>
        <v/>
      </c>
      <c r="L654" s="127" t="n"/>
    </row>
    <row r="655">
      <c r="C655" s="124" t="inlineStr">
        <is>
          <t>T080</t>
        </is>
      </c>
      <c r="D655" s="124" t="inlineStr">
        <is>
          <t>合同校验结果查询</t>
        </is>
      </c>
      <c r="E655" s="124" t="inlineStr">
        <is>
          <t>第二批次</t>
        </is>
      </c>
      <c r="F655" s="124">
        <f>IF(OR(M83="挂起",M83="暂停",Q83="挂起",Q83="暂停",U83="挂起",U83="暂停",Y83="挂起",Y83="暂停"),"暂停","未开始")</f>
        <v/>
      </c>
      <c r="G655" s="125" t="n">
        <v>46223</v>
      </c>
      <c r="H655" s="125" t="n">
        <v>46227</v>
      </c>
      <c r="I655" s="127" t="n">
        <v>40</v>
      </c>
      <c r="J655" s="124">
        <f>IF(I655="","待估算",IF(F655="已完成","已结束",IF(AND(ISNUMBER(G655),ISNUMBER(H655),G655&lt;='项目驾驶舱'!$B$3,H655&gt;='项目驾驶舱'!$B$3),"进行中","计划中")))</f>
        <v/>
      </c>
      <c r="K655" s="124">
        <f>IF(J655="待估算","补充投入工时",IF(AND(H655&lt;'项目驾驶舱'!$B$3,F655&lt;&gt;"已完成"),"确认延期和后续安排","按计划跟踪"))</f>
        <v/>
      </c>
      <c r="L655" s="127" t="n"/>
    </row>
    <row r="656">
      <c r="C656" s="124" t="inlineStr">
        <is>
          <t>T141</t>
        </is>
      </c>
      <c r="D656" s="124" t="inlineStr">
        <is>
          <t>视频监控查询</t>
        </is>
      </c>
      <c r="E656" s="124" t="inlineStr">
        <is>
          <t>第二批次</t>
        </is>
      </c>
      <c r="F656" s="124">
        <f>IF(OR(M144="挂起",M144="暂停",Q144="挂起",Q144="暂停",U144="挂起",U144="暂停",Y144="挂起",Y144="暂停"),"暂停","未开始")</f>
        <v/>
      </c>
      <c r="G656" s="125" t="n">
        <v>46223</v>
      </c>
      <c r="H656" s="125" t="n">
        <v>46227</v>
      </c>
      <c r="I656" s="127" t="n">
        <v>40</v>
      </c>
      <c r="J656" s="124">
        <f>IF(I656="","待估算",IF(F656="已完成","已结束",IF(AND(ISNUMBER(G656),ISNUMBER(H656),G656&lt;='项目驾驶舱'!$B$3,H656&gt;='项目驾驶舱'!$B$3),"进行中","计划中")))</f>
        <v/>
      </c>
      <c r="K656" s="124">
        <f>IF(J656="待估算","补充投入工时",IF(AND(H656&lt;'项目驾驶舱'!$B$3,F656&lt;&gt;"已完成"),"确认延期和后续安排","按计划跟踪"))</f>
        <v/>
      </c>
      <c r="L656" s="127" t="n"/>
    </row>
    <row r="657">
      <c r="C657" s="124" t="inlineStr">
        <is>
          <t>T005</t>
        </is>
      </c>
      <c r="D657" s="124" t="inlineStr">
        <is>
          <t>船舶唯一性校验</t>
        </is>
      </c>
      <c r="E657" s="124" t="inlineStr">
        <is>
          <t>第二批次</t>
        </is>
      </c>
      <c r="F657" s="124">
        <f>IF(OR(M8="挂起",M8="暂停",Q8="挂起",Q8="暂停",U8="挂起",U8="暂停",Y8="挂起",Y8="暂停"),"暂停","已完成")</f>
        <v/>
      </c>
      <c r="G657" s="125" t="n">
        <v>46230</v>
      </c>
      <c r="H657" s="125" t="n">
        <v>46241</v>
      </c>
      <c r="I657" s="127" t="n">
        <v>40</v>
      </c>
      <c r="J657" s="124">
        <f>IF(I657="","待估算",IF(F657="已完成","已结束",IF(AND(ISNUMBER(G657),ISNUMBER(H657),G657&lt;='项目驾驶舱'!$B$3,H657&gt;='项目驾驶舱'!$B$3),"进行中","计划中")))</f>
        <v/>
      </c>
      <c r="K657" s="124">
        <f>IF(J657="待估算","补充投入工时",IF(AND(H657&lt;'项目驾驶舱'!$B$3,F657&lt;&gt;"已完成"),"确认延期和后续安排","按计划跟踪"))</f>
        <v/>
      </c>
      <c r="L657" s="127" t="n"/>
    </row>
    <row r="658">
      <c r="C658" s="124" t="inlineStr">
        <is>
          <t>T019</t>
        </is>
      </c>
      <c r="D658" s="124" t="inlineStr">
        <is>
          <t>对接卸船计划</t>
        </is>
      </c>
      <c r="E658" s="124" t="inlineStr">
        <is>
          <t>第二批次</t>
        </is>
      </c>
      <c r="F658" s="124">
        <f>IF(OR(M22="挂起",M22="暂停",Q22="挂起",Q22="暂停",U22="挂起",U22="暂停",Y22="挂起",Y22="暂停"),"暂停","进行中")</f>
        <v/>
      </c>
      <c r="G658" s="125" t="n">
        <v>46230</v>
      </c>
      <c r="H658" s="125" t="n">
        <v>46241</v>
      </c>
      <c r="I658" s="127" t="n">
        <v>40</v>
      </c>
      <c r="J658" s="124">
        <f>IF(I658="","待估算",IF(F658="已完成","已结束",IF(AND(ISNUMBER(G658),ISNUMBER(H658),G658&lt;='项目驾驶舱'!$B$3,H658&gt;='项目驾驶舱'!$B$3),"进行中","计划中")))</f>
        <v/>
      </c>
      <c r="K658" s="124">
        <f>IF(J658="待估算","补充投入工时",IF(AND(H658&lt;'项目驾驶舱'!$B$3,F658&lt;&gt;"已完成"),"确认延期和后续安排","按计划跟踪"))</f>
        <v/>
      </c>
      <c r="L658" s="127" t="n"/>
    </row>
    <row r="659">
      <c r="C659" s="124" t="inlineStr">
        <is>
          <t>T020</t>
        </is>
      </c>
      <c r="D659" s="124" t="inlineStr">
        <is>
          <t>查询卸车计划</t>
        </is>
      </c>
      <c r="E659" s="124" t="inlineStr">
        <is>
          <t>第二批次</t>
        </is>
      </c>
      <c r="F659" s="124">
        <f>IF(OR(M23="挂起",M23="暂停",Q23="挂起",Q23="暂停",U23="挂起",U23="暂停",Y23="挂起",Y23="暂停"),"暂停","进行中")</f>
        <v/>
      </c>
      <c r="G659" s="125" t="n">
        <v>46230</v>
      </c>
      <c r="H659" s="125" t="n">
        <v>46241</v>
      </c>
      <c r="I659" s="127" t="n">
        <v>40</v>
      </c>
      <c r="J659" s="124">
        <f>IF(I659="","待估算",IF(F659="已完成","已结束",IF(AND(ISNUMBER(G659),ISNUMBER(H659),G659&lt;='项目驾驶舱'!$B$3,H659&gt;='项目驾驶舱'!$B$3),"进行中","计划中")))</f>
        <v/>
      </c>
      <c r="K659" s="124">
        <f>IF(J659="待估算","补充投入工时",IF(AND(H659&lt;'项目驾驶舱'!$B$3,F659&lt;&gt;"已完成"),"确认延期和后续安排","按计划跟踪"))</f>
        <v/>
      </c>
      <c r="L659" s="127" t="n"/>
    </row>
    <row r="660">
      <c r="C660" s="124" t="inlineStr">
        <is>
          <t>T021</t>
        </is>
      </c>
      <c r="D660" s="124" t="inlineStr">
        <is>
          <t>外部客户确认</t>
        </is>
      </c>
      <c r="E660" s="124" t="inlineStr">
        <is>
          <t>第二批次</t>
        </is>
      </c>
      <c r="F660" s="124">
        <f>IF(OR(M24="挂起",M24="暂停",Q24="挂起",Q24="暂停",U24="挂起",U24="暂停",Y24="挂起",Y24="暂停"),"暂停","进行中")</f>
        <v/>
      </c>
      <c r="G660" s="125" t="n">
        <v>46230</v>
      </c>
      <c r="H660" s="125" t="n">
        <v>46241</v>
      </c>
      <c r="I660" s="127" t="n">
        <v>40</v>
      </c>
      <c r="J660" s="124">
        <f>IF(I660="","待估算",IF(F660="已完成","已结束",IF(AND(ISNUMBER(G660),ISNUMBER(H660),G660&lt;='项目驾驶舱'!$B$3,H660&gt;='项目驾驶舱'!$B$3),"进行中","计划中")))</f>
        <v/>
      </c>
      <c r="K660" s="124">
        <f>IF(J660="待估算","补充投入工时",IF(AND(H660&lt;'项目驾驶舱'!$B$3,F660&lt;&gt;"已完成"),"确认延期和后续安排","按计划跟踪"))</f>
        <v/>
      </c>
      <c r="L660" s="127" t="n"/>
    </row>
    <row r="661">
      <c r="C661" s="124" t="inlineStr">
        <is>
          <t>T022</t>
        </is>
      </c>
      <c r="D661" s="124" t="inlineStr">
        <is>
          <t>对接卸船作业信息</t>
        </is>
      </c>
      <c r="E661" s="124" t="inlineStr">
        <is>
          <t>第二批次</t>
        </is>
      </c>
      <c r="F661" s="124">
        <f>IF(OR(M25="挂起",M25="暂停",Q25="挂起",Q25="暂停",U25="挂起",U25="暂停",Y25="挂起",Y25="暂停"),"暂停","未开始")</f>
        <v/>
      </c>
      <c r="G661" s="125" t="n">
        <v>46230</v>
      </c>
      <c r="H661" s="125" t="n">
        <v>46241</v>
      </c>
      <c r="I661" s="127" t="n">
        <v>40</v>
      </c>
      <c r="J661" s="124">
        <f>IF(I661="","待估算",IF(F661="已完成","已结束",IF(AND(ISNUMBER(G661),ISNUMBER(H661),G661&lt;='项目驾驶舱'!$B$3,H661&gt;='项目驾驶舱'!$B$3),"进行中","计划中")))</f>
        <v/>
      </c>
      <c r="K661" s="124">
        <f>IF(J661="待估算","补充投入工时",IF(AND(H661&lt;'项目驾驶舱'!$B$3,F661&lt;&gt;"已完成"),"确认延期和后续安排","按计划跟踪"))</f>
        <v/>
      </c>
      <c r="L661" s="127" t="n"/>
    </row>
    <row r="662">
      <c r="C662" s="124" t="inlineStr">
        <is>
          <t>T023</t>
        </is>
      </c>
      <c r="D662" s="124" t="inlineStr">
        <is>
          <t>查询卸船作业信息</t>
        </is>
      </c>
      <c r="E662" s="124" t="inlineStr">
        <is>
          <t>第二批次</t>
        </is>
      </c>
      <c r="F662" s="124">
        <f>IF(OR(M26="挂起",M26="暂停",Q26="挂起",Q26="暂停",U26="挂起",U26="暂停",Y26="挂起",Y26="暂停"),"暂停","未开始")</f>
        <v/>
      </c>
      <c r="G662" s="125" t="n">
        <v>46230</v>
      </c>
      <c r="H662" s="125" t="n">
        <v>46241</v>
      </c>
      <c r="I662" s="127" t="n">
        <v>40</v>
      </c>
      <c r="J662" s="124">
        <f>IF(I662="","待估算",IF(F662="已完成","已结束",IF(AND(ISNUMBER(G662),ISNUMBER(H662),G662&lt;='项目驾驶舱'!$B$3,H662&gt;='项目驾驶舱'!$B$3),"进行中","计划中")))</f>
        <v/>
      </c>
      <c r="K662" s="124">
        <f>IF(J662="待估算","补充投入工时",IF(AND(H662&lt;'项目驾驶舱'!$B$3,F662&lt;&gt;"已完成"),"确认延期和后续安排","按计划跟踪"))</f>
        <v/>
      </c>
      <c r="L662" s="127" t="n"/>
    </row>
    <row r="663">
      <c r="C663" s="124" t="inlineStr">
        <is>
          <t>T024</t>
        </is>
      </c>
      <c r="D663" s="124" t="inlineStr">
        <is>
          <t>卸船查询列表</t>
        </is>
      </c>
      <c r="E663" s="124" t="inlineStr">
        <is>
          <t>第二批次</t>
        </is>
      </c>
      <c r="F663" s="124">
        <f>IF(OR(M27="挂起",M27="暂停",Q27="挂起",Q27="暂停",U27="挂起",U27="暂停",Y27="挂起",Y27="暂停"),"暂停","未开始")</f>
        <v/>
      </c>
      <c r="G663" s="125" t="n">
        <v>46230</v>
      </c>
      <c r="H663" s="125" t="n">
        <v>46241</v>
      </c>
      <c r="I663" s="127" t="n">
        <v>40</v>
      </c>
      <c r="J663" s="124">
        <f>IF(I663="","待估算",IF(F663="已完成","已结束",IF(AND(ISNUMBER(G663),ISNUMBER(H663),G663&lt;='项目驾驶舱'!$B$3,H663&gt;='项目驾驶舱'!$B$3),"进行中","计划中")))</f>
        <v/>
      </c>
      <c r="K663" s="124">
        <f>IF(J663="待估算","补充投入工时",IF(AND(H663&lt;'项目驾驶舱'!$B$3,F663&lt;&gt;"已完成"),"确认延期和后续安排","按计划跟踪"))</f>
        <v/>
      </c>
      <c r="L663" s="127" t="n"/>
    </row>
    <row r="664">
      <c r="A664" s="22" t="n"/>
      <c r="B664" s="22" t="n"/>
      <c r="C664" s="124" t="inlineStr">
        <is>
          <t>T025</t>
        </is>
      </c>
      <c r="D664" s="124" t="inlineStr">
        <is>
          <t>卸船查询详情</t>
        </is>
      </c>
      <c r="E664" s="124" t="inlineStr">
        <is>
          <t>第二批次</t>
        </is>
      </c>
      <c r="F664" s="124">
        <f>IF(OR(M28="挂起",M28="暂停",Q28="挂起",Q28="暂停",U28="挂起",U28="暂停",Y28="挂起",Y28="暂停"),"暂停","未开始")</f>
        <v/>
      </c>
      <c r="G664" s="125" t="n">
        <v>46230</v>
      </c>
      <c r="H664" s="125" t="n">
        <v>46241</v>
      </c>
      <c r="I664" s="127" t="n">
        <v>40</v>
      </c>
      <c r="J664" s="124">
        <f>IF(I664="","待估算",IF(F664="已完成","已结束",IF(AND(ISNUMBER(G664),ISNUMBER(H664),G664&lt;='项目驾驶舱'!$B$3,H664&gt;='项目驾驶舱'!$B$3),"进行中","计划中")))</f>
        <v/>
      </c>
      <c r="K664" s="124">
        <f>IF(J664="待估算","补充投入工时",IF(AND(H664&lt;'项目驾驶舱'!$B$3,F664&lt;&gt;"已完成"),"确认延期和后续安排","按计划跟踪"))</f>
        <v/>
      </c>
      <c r="L664" s="127" t="n"/>
    </row>
    <row r="665">
      <c r="A665" s="133" t="inlineStr">
        <is>
          <t>郑士旺</t>
        </is>
      </c>
      <c r="B665" s="133" t="inlineStr">
        <is>
          <t>业务</t>
        </is>
      </c>
      <c r="C665" s="124" t="inlineStr">
        <is>
          <t>T026</t>
        </is>
      </c>
      <c r="D665" s="124" t="inlineStr">
        <is>
          <t>创建卸船作业委托信息</t>
        </is>
      </c>
      <c r="E665" s="124" t="inlineStr">
        <is>
          <t>第二批次</t>
        </is>
      </c>
      <c r="F665" s="124">
        <f>IF(OR(M29="挂起",M29="暂停",Q29="挂起",Q29="暂停",U29="挂起",U29="暂停",Y29="挂起",Y29="暂停"),"暂停","进行中")</f>
        <v/>
      </c>
      <c r="G665" s="125" t="n">
        <v>46230</v>
      </c>
      <c r="H665" s="125" t="n">
        <v>46241</v>
      </c>
      <c r="I665" s="127" t="n">
        <v>40</v>
      </c>
      <c r="J665" s="124">
        <f>IF(I665="","待估算",IF(F665="已完成","已结束",IF(AND(ISNUMBER(G665),ISNUMBER(H665),G665&lt;='项目驾驶舱'!$B$3,H665&gt;='项目驾驶舱'!$B$3),"进行中","计划中")))</f>
        <v/>
      </c>
      <c r="K665" s="124">
        <f>IF(J665="待估算","补充投入工时",IF(AND(H665&lt;'项目驾驶舱'!$B$3,F665&lt;&gt;"已完成"),"确认延期和后续安排","按计划跟踪"))</f>
        <v/>
      </c>
      <c r="L665" s="127" t="n"/>
    </row>
    <row r="666">
      <c r="C666" s="124" t="inlineStr">
        <is>
          <t>T027</t>
        </is>
      </c>
      <c r="D666" s="124" t="inlineStr">
        <is>
          <t>修改卸船作业委托信息</t>
        </is>
      </c>
      <c r="E666" s="124" t="inlineStr">
        <is>
          <t>第二批次</t>
        </is>
      </c>
      <c r="F666" s="124">
        <f>IF(OR(M30="挂起",M30="暂停",Q30="挂起",Q30="暂停",U30="挂起",U30="暂停",Y30="挂起",Y30="暂停"),"暂停","进行中")</f>
        <v/>
      </c>
      <c r="G666" s="125" t="n">
        <v>46230</v>
      </c>
      <c r="H666" s="125" t="n">
        <v>46241</v>
      </c>
      <c r="I666" s="127" t="n">
        <v>40</v>
      </c>
      <c r="J666" s="124">
        <f>IF(I666="","待估算",IF(F666="已完成","已结束",IF(AND(ISNUMBER(G666),ISNUMBER(H666),G666&lt;='项目驾驶舱'!$B$3,H666&gt;='项目驾驶舱'!$B$3),"进行中","计划中")))</f>
        <v/>
      </c>
      <c r="K666" s="124">
        <f>IF(J666="待估算","补充投入工时",IF(AND(H666&lt;'项目驾驶舱'!$B$3,F666&lt;&gt;"已完成"),"确认延期和后续安排","按计划跟踪"))</f>
        <v/>
      </c>
      <c r="L666" s="127" t="n"/>
    </row>
    <row r="667">
      <c r="C667" s="124" t="inlineStr">
        <is>
          <t>T028</t>
        </is>
      </c>
      <c r="D667" s="124" t="inlineStr">
        <is>
          <t>作废卸船作业委托信息</t>
        </is>
      </c>
      <c r="E667" s="124" t="inlineStr">
        <is>
          <t>第二批次</t>
        </is>
      </c>
      <c r="F667" s="124">
        <f>IF(OR(M31="挂起",M31="暂停",Q31="挂起",Q31="暂停",U31="挂起",U31="暂停",Y31="挂起",Y31="暂停"),"暂停","进行中")</f>
        <v/>
      </c>
      <c r="G667" s="125" t="n">
        <v>46230</v>
      </c>
      <c r="H667" s="125" t="n">
        <v>46241</v>
      </c>
      <c r="I667" s="127" t="n">
        <v>40</v>
      </c>
      <c r="J667" s="124">
        <f>IF(I667="","待估算",IF(F667="已完成","已结束",IF(AND(ISNUMBER(G667),ISNUMBER(H667),G667&lt;='项目驾驶舱'!$B$3,H667&gt;='项目驾驶舱'!$B$3),"进行中","计划中")))</f>
        <v/>
      </c>
      <c r="K667" s="124">
        <f>IF(J667="待估算","补充投入工时",IF(AND(H667&lt;'项目驾驶舱'!$B$3,F667&lt;&gt;"已完成"),"确认延期和后续安排","按计划跟踪"))</f>
        <v/>
      </c>
      <c r="L667" s="127" t="n"/>
    </row>
    <row r="668">
      <c r="C668" s="124" t="inlineStr">
        <is>
          <t>T029</t>
        </is>
      </c>
      <c r="D668" s="124" t="inlineStr">
        <is>
          <t>推送卸船作业委托信息</t>
        </is>
      </c>
      <c r="E668" s="124" t="inlineStr">
        <is>
          <t>第二批次</t>
        </is>
      </c>
      <c r="F668" s="124">
        <f>IF(OR(M32="挂起",M32="暂停",Q32="挂起",Q32="暂停",U32="挂起",U32="暂停",Y32="挂起",Y32="暂停"),"暂停","进行中")</f>
        <v/>
      </c>
      <c r="G668" s="125" t="n">
        <v>46230</v>
      </c>
      <c r="H668" s="125" t="n">
        <v>46241</v>
      </c>
      <c r="I668" s="127" t="n">
        <v>40</v>
      </c>
      <c r="J668" s="124">
        <f>IF(I668="","待估算",IF(F668="已完成","已结束",IF(AND(ISNUMBER(G668),ISNUMBER(H668),G668&lt;='项目驾驶舱'!$B$3,H668&gt;='项目驾驶舱'!$B$3),"进行中","计划中")))</f>
        <v/>
      </c>
      <c r="K668" s="124">
        <f>IF(J668="待估算","补充投入工时",IF(AND(H668&lt;'项目驾驶舱'!$B$3,F668&lt;&gt;"已完成"),"确认延期和后续安排","按计划跟踪"))</f>
        <v/>
      </c>
      <c r="L668" s="127" t="n"/>
    </row>
    <row r="669">
      <c r="C669" s="124" t="inlineStr">
        <is>
          <t>T030</t>
        </is>
      </c>
      <c r="D669" s="124" t="inlineStr">
        <is>
          <t>查询卸船作业委托信息</t>
        </is>
      </c>
      <c r="E669" s="124" t="inlineStr">
        <is>
          <t>第二批次</t>
        </is>
      </c>
      <c r="F669" s="124">
        <f>IF(OR(M33="挂起",M33="暂停",Q33="挂起",Q33="暂停",U33="挂起",U33="暂停",Y33="挂起",Y33="暂停"),"暂停","进行中")</f>
        <v/>
      </c>
      <c r="G669" s="125" t="n">
        <v>46230</v>
      </c>
      <c r="H669" s="125" t="n">
        <v>46241</v>
      </c>
      <c r="I669" s="127" t="n">
        <v>40</v>
      </c>
      <c r="J669" s="124">
        <f>IF(I669="","待估算",IF(F669="已完成","已结束",IF(AND(ISNUMBER(G669),ISNUMBER(H669),G669&lt;='项目驾驶舱'!$B$3,H669&gt;='项目驾驶舱'!$B$3),"进行中","计划中")))</f>
        <v/>
      </c>
      <c r="K669" s="124">
        <f>IF(J669="待估算","补充投入工时",IF(AND(H669&lt;'项目驾驶舱'!$B$3,F669&lt;&gt;"已完成"),"确认延期和后续安排","按计划跟踪"))</f>
        <v/>
      </c>
      <c r="L669" s="127" t="n"/>
    </row>
    <row r="670">
      <c r="C670" s="124" t="inlineStr">
        <is>
          <t>T031</t>
        </is>
      </c>
      <c r="D670" s="124" t="inlineStr">
        <is>
          <t>创建外轮转内贸业务信息</t>
        </is>
      </c>
      <c r="E670" s="124" t="inlineStr">
        <is>
          <t>第二批次</t>
        </is>
      </c>
      <c r="F670" s="124">
        <f>IF(OR(M34="挂起",M34="暂停",Q34="挂起",Q34="暂停",U34="挂起",U34="暂停",Y34="挂起",Y34="暂停"),"暂停","未开始")</f>
        <v/>
      </c>
      <c r="G670" s="125" t="n">
        <v>46230</v>
      </c>
      <c r="H670" s="125" t="n">
        <v>46241</v>
      </c>
      <c r="I670" s="127" t="n">
        <v>40</v>
      </c>
      <c r="J670" s="124">
        <f>IF(I670="","待估算",IF(F670="已完成","已结束",IF(AND(ISNUMBER(G670),ISNUMBER(H670),G670&lt;='项目驾驶舱'!$B$3,H670&gt;='项目驾驶舱'!$B$3),"进行中","计划中")))</f>
        <v/>
      </c>
      <c r="K670" s="124">
        <f>IF(J670="待估算","补充投入工时",IF(AND(H670&lt;'项目驾驶舱'!$B$3,F670&lt;&gt;"已完成"),"确认延期和后续安排","按计划跟踪"))</f>
        <v/>
      </c>
      <c r="L670" s="127" t="n"/>
    </row>
    <row r="671">
      <c r="C671" s="124" t="inlineStr">
        <is>
          <t>T032</t>
        </is>
      </c>
      <c r="D671" s="124" t="inlineStr">
        <is>
          <t>作废外轮转内贸业务信息</t>
        </is>
      </c>
      <c r="E671" s="124" t="inlineStr">
        <is>
          <t>第二批次</t>
        </is>
      </c>
      <c r="F671" s="124">
        <f>IF(OR(M35="挂起",M35="暂停",Q35="挂起",Q35="暂停",U35="挂起",U35="暂停",Y35="挂起",Y35="暂停"),"暂停","未开始")</f>
        <v/>
      </c>
      <c r="G671" s="125" t="n">
        <v>46230</v>
      </c>
      <c r="H671" s="125" t="n">
        <v>46241</v>
      </c>
      <c r="I671" s="127" t="n">
        <v>40</v>
      </c>
      <c r="J671" s="124">
        <f>IF(I671="","待估算",IF(F671="已完成","已结束",IF(AND(ISNUMBER(G671),ISNUMBER(H671),G671&lt;='项目驾驶舱'!$B$3,H671&gt;='项目驾驶舱'!$B$3),"进行中","计划中")))</f>
        <v/>
      </c>
      <c r="K671" s="124">
        <f>IF(J671="待估算","补充投入工时",IF(AND(H671&lt;'项目驾驶舱'!$B$3,F671&lt;&gt;"已完成"),"确认延期和后续安排","按计划跟踪"))</f>
        <v/>
      </c>
      <c r="L671" s="127" t="n"/>
    </row>
    <row r="672">
      <c r="C672" s="124" t="inlineStr">
        <is>
          <t>T033</t>
        </is>
      </c>
      <c r="D672" s="124" t="inlineStr">
        <is>
          <t>查询外轮转内贸业务信息</t>
        </is>
      </c>
      <c r="E672" s="124" t="inlineStr">
        <is>
          <t>第二批次</t>
        </is>
      </c>
      <c r="F672" s="124">
        <f>IF(OR(M36="挂起",M36="暂停",Q36="挂起",Q36="暂停",U36="挂起",U36="暂停",Y36="挂起",Y36="暂停"),"暂停","未开始")</f>
        <v/>
      </c>
      <c r="G672" s="125" t="n">
        <v>46230</v>
      </c>
      <c r="H672" s="125" t="n">
        <v>46241</v>
      </c>
      <c r="I672" s="127" t="n">
        <v>40</v>
      </c>
      <c r="J672" s="124">
        <f>IF(I672="","待估算",IF(F672="已完成","已结束",IF(AND(ISNUMBER(G672),ISNUMBER(H672),G672&lt;='项目驾驶舱'!$B$3,H672&gt;='项目驾驶舱'!$B$3),"进行中","计划中")))</f>
        <v/>
      </c>
      <c r="K672" s="124">
        <f>IF(J672="待估算","补充投入工时",IF(AND(H672&lt;'项目驾驶舱'!$B$3,F672&lt;&gt;"已完成"),"确认延期和后续安排","按计划跟踪"))</f>
        <v/>
      </c>
      <c r="L672" s="127" t="n"/>
    </row>
    <row r="673">
      <c r="C673" s="124" t="inlineStr">
        <is>
          <t>T034</t>
        </is>
      </c>
      <c r="D673" s="124" t="inlineStr">
        <is>
          <t>新增船舶靠泊通知单</t>
        </is>
      </c>
      <c r="E673" s="124" t="inlineStr">
        <is>
          <t>第二批次</t>
        </is>
      </c>
      <c r="F673" s="124">
        <f>IF(OR(M37="挂起",M37="暂停",Q37="挂起",Q37="暂停",U37="挂起",U37="暂停",Y37="挂起",Y37="暂停"),"暂停","进行中")</f>
        <v/>
      </c>
      <c r="G673" s="125" t="n">
        <v>46230</v>
      </c>
      <c r="H673" s="125" t="n">
        <v>46241</v>
      </c>
      <c r="I673" s="127" t="n">
        <v>40</v>
      </c>
      <c r="J673" s="124">
        <f>IF(I673="","待估算",IF(F673="已完成","已结束",IF(AND(ISNUMBER(G673),ISNUMBER(H673),G673&lt;='项目驾驶舱'!$B$3,H673&gt;='项目驾驶舱'!$B$3),"进行中","计划中")))</f>
        <v/>
      </c>
      <c r="K673" s="124">
        <f>IF(J673="待估算","补充投入工时",IF(AND(H673&lt;'项目驾驶舱'!$B$3,F673&lt;&gt;"已完成"),"确认延期和后续安排","按计划跟踪"))</f>
        <v/>
      </c>
      <c r="L673" s="127" t="n"/>
    </row>
    <row r="674">
      <c r="C674" s="124" t="inlineStr">
        <is>
          <t>T035</t>
        </is>
      </c>
      <c r="D674" s="124" t="inlineStr">
        <is>
          <t>审批船舶靠泊通知单</t>
        </is>
      </c>
      <c r="E674" s="124" t="inlineStr">
        <is>
          <t>第二批次</t>
        </is>
      </c>
      <c r="F674" s="124">
        <f>IF(OR(M38="挂起",M38="暂停",Q38="挂起",Q38="暂停",U38="挂起",U38="暂停",Y38="挂起",Y38="暂停"),"暂停","进行中")</f>
        <v/>
      </c>
      <c r="G674" s="125" t="n">
        <v>46230</v>
      </c>
      <c r="H674" s="125" t="n">
        <v>46241</v>
      </c>
      <c r="I674" s="127" t="n">
        <v>40</v>
      </c>
      <c r="J674" s="124">
        <f>IF(I674="","待估算",IF(F674="已完成","已结束",IF(AND(ISNUMBER(G674),ISNUMBER(H674),G674&lt;='项目驾驶舱'!$B$3,H674&gt;='项目驾驶舱'!$B$3),"进行中","计划中")))</f>
        <v/>
      </c>
      <c r="K674" s="124">
        <f>IF(J674="待估算","补充投入工时",IF(AND(H674&lt;'项目驾驶舱'!$B$3,F674&lt;&gt;"已完成"),"确认延期和后续安排","按计划跟踪"))</f>
        <v/>
      </c>
      <c r="L674" s="127" t="n"/>
    </row>
    <row r="675">
      <c r="C675" s="124" t="inlineStr">
        <is>
          <t>T036</t>
        </is>
      </c>
      <c r="D675" s="124" t="inlineStr">
        <is>
          <t>查询船舶靠泊通知单</t>
        </is>
      </c>
      <c r="E675" s="124" t="inlineStr">
        <is>
          <t>第二批次</t>
        </is>
      </c>
      <c r="F675" s="124">
        <f>IF(OR(M39="挂起",M39="暂停",Q39="挂起",Q39="暂停",U39="挂起",U39="暂停",Y39="挂起",Y39="暂停"),"暂停","进行中")</f>
        <v/>
      </c>
      <c r="G675" s="125" t="n">
        <v>46230</v>
      </c>
      <c r="H675" s="125" t="n">
        <v>46241</v>
      </c>
      <c r="I675" s="127" t="n">
        <v>40</v>
      </c>
      <c r="J675" s="124">
        <f>IF(I675="","待估算",IF(F675="已完成","已结束",IF(AND(ISNUMBER(G675),ISNUMBER(H675),G675&lt;='项目驾驶舱'!$B$3,H675&gt;='项目驾驶舱'!$B$3),"进行中","计划中")))</f>
        <v/>
      </c>
      <c r="K675" s="124">
        <f>IF(J675="待估算","补充投入工时",IF(AND(H675&lt;'项目驾驶舱'!$B$3,F675&lt;&gt;"已完成"),"确认延期和后续安排","按计划跟踪"))</f>
        <v/>
      </c>
      <c r="L675" s="127" t="n"/>
    </row>
    <row r="676">
      <c r="A676" s="22" t="n"/>
      <c r="B676" s="22" t="n"/>
      <c r="C676" s="124" t="inlineStr">
        <is>
          <t>T046</t>
        </is>
      </c>
      <c r="D676" s="124" t="inlineStr">
        <is>
          <t>新增船舶预到（外贸）</t>
        </is>
      </c>
      <c r="E676" s="124" t="inlineStr">
        <is>
          <t>第二批次</t>
        </is>
      </c>
      <c r="F676" s="124">
        <f>IF(OR(M49="挂起",M49="暂停",Q49="挂起",Q49="暂停",U49="挂起",U49="暂停",Y49="挂起",Y49="暂停"),"暂停","已完成")</f>
        <v/>
      </c>
      <c r="G676" s="125" t="n">
        <v>46230</v>
      </c>
      <c r="H676" s="125" t="n">
        <v>46241</v>
      </c>
      <c r="I676" s="127" t="n">
        <v>40</v>
      </c>
      <c r="J676" s="124">
        <f>IF(I676="","待估算",IF(F676="已完成","已结束",IF(AND(ISNUMBER(G676),ISNUMBER(H676),G676&lt;='项目驾驶舱'!$B$3,H676&gt;='项目驾驶舱'!$B$3),"进行中","计划中")))</f>
        <v/>
      </c>
      <c r="K676" s="124">
        <f>IF(J676="待估算","补充投入工时",IF(AND(H676&lt;'项目驾驶舱'!$B$3,F676&lt;&gt;"已完成"),"确认延期和后续安排","按计划跟踪"))</f>
        <v/>
      </c>
      <c r="L676" s="127" t="n"/>
    </row>
    <row r="677">
      <c r="A677" s="133" t="inlineStr">
        <is>
          <t>郑士旺</t>
        </is>
      </c>
      <c r="B677" s="133" t="inlineStr">
        <is>
          <t>业务</t>
        </is>
      </c>
      <c r="C677" s="124" t="inlineStr">
        <is>
          <t>T047</t>
        </is>
      </c>
      <c r="D677" s="124" t="inlineStr">
        <is>
          <t>退回船舶预到（外贸）</t>
        </is>
      </c>
      <c r="E677" s="124" t="inlineStr">
        <is>
          <t>第二批次</t>
        </is>
      </c>
      <c r="F677" s="124">
        <f>IF(OR(M50="挂起",M50="暂停",Q50="挂起",Q50="暂停",U50="挂起",U50="暂停",Y50="挂起",Y50="暂停"),"暂停","未开始")</f>
        <v/>
      </c>
      <c r="G677" s="125" t="n">
        <v>46230</v>
      </c>
      <c r="H677" s="125" t="n">
        <v>46241</v>
      </c>
      <c r="I677" s="127" t="n">
        <v>40</v>
      </c>
      <c r="J677" s="124">
        <f>IF(I677="","待估算",IF(F677="已完成","已结束",IF(AND(ISNUMBER(G677),ISNUMBER(H677),G677&lt;='项目驾驶舱'!$B$3,H677&gt;='项目驾驶舱'!$B$3),"进行中","计划中")))</f>
        <v/>
      </c>
      <c r="K677" s="124">
        <f>IF(J677="待估算","补充投入工时",IF(AND(H677&lt;'项目驾驶舱'!$B$3,F677&lt;&gt;"已完成"),"确认延期和后续安排","按计划跟踪"))</f>
        <v/>
      </c>
      <c r="L677" s="127" t="n"/>
    </row>
    <row r="678">
      <c r="C678" s="124" t="inlineStr">
        <is>
          <t>T048</t>
        </is>
      </c>
      <c r="D678" s="124" t="inlineStr">
        <is>
          <t>退回船舶预到（外贸）</t>
        </is>
      </c>
      <c r="E678" s="124" t="inlineStr">
        <is>
          <t>第二批次</t>
        </is>
      </c>
      <c r="F678" s="124">
        <f>IF(OR(M51="挂起",M51="暂停",Q51="挂起",Q51="暂停",U51="挂起",U51="暂停",Y51="挂起",Y51="暂停"),"暂停","未开始")</f>
        <v/>
      </c>
      <c r="G678" s="125" t="n">
        <v>46230</v>
      </c>
      <c r="H678" s="125" t="n">
        <v>46241</v>
      </c>
      <c r="I678" s="127" t="n">
        <v>40</v>
      </c>
      <c r="J678" s="124">
        <f>IF(I678="","待估算",IF(F678="已完成","已结束",IF(AND(ISNUMBER(G678),ISNUMBER(H678),G678&lt;='项目驾驶舱'!$B$3,H678&gt;='项目驾驶舱'!$B$3),"进行中","计划中")))</f>
        <v/>
      </c>
      <c r="K678" s="124">
        <f>IF(J678="待估算","补充投入工时",IF(AND(H678&lt;'项目驾驶舱'!$B$3,F678&lt;&gt;"已完成"),"确认延期和后续安排","按计划跟踪"))</f>
        <v/>
      </c>
      <c r="L678" s="127" t="n"/>
    </row>
    <row r="679">
      <c r="C679" s="124" t="inlineStr">
        <is>
          <t>T049</t>
        </is>
      </c>
      <c r="D679" s="124" t="inlineStr">
        <is>
          <t>申请采样申请（外贸）</t>
        </is>
      </c>
      <c r="E679" s="124" t="inlineStr">
        <is>
          <t>第二批次</t>
        </is>
      </c>
      <c r="F679" s="124">
        <f>IF(OR(M52="挂起",M52="暂停",Q52="挂起",Q52="暂停",U52="挂起",U52="暂停",Y52="挂起",Y52="暂停"),"暂停","已完成")</f>
        <v/>
      </c>
      <c r="G679" s="125" t="n">
        <v>46230</v>
      </c>
      <c r="H679" s="125" t="n">
        <v>46241</v>
      </c>
      <c r="I679" s="127" t="n">
        <v>40</v>
      </c>
      <c r="J679" s="124">
        <f>IF(I679="","待估算",IF(F679="已完成","已结束",IF(AND(ISNUMBER(G679),ISNUMBER(H679),G679&lt;='项目驾驶舱'!$B$3,H679&gt;='项目驾驶舱'!$B$3),"进行中","计划中")))</f>
        <v/>
      </c>
      <c r="K679" s="124">
        <f>IF(J679="待估算","补充投入工时",IF(AND(H679&lt;'项目驾驶舱'!$B$3,F679&lt;&gt;"已完成"),"确认延期和后续安排","按计划跟踪"))</f>
        <v/>
      </c>
      <c r="L679" s="127" t="n"/>
    </row>
    <row r="680">
      <c r="C680" s="124" t="inlineStr">
        <is>
          <t>T059</t>
        </is>
      </c>
      <c r="D680" s="124" t="inlineStr">
        <is>
          <t>优化新增装车作业信息</t>
        </is>
      </c>
      <c r="E680" s="124" t="inlineStr">
        <is>
          <t>第一批次</t>
        </is>
      </c>
      <c r="F680" s="124">
        <f>IF(OR(M62="挂起",M62="暂停",Q62="挂起",Q62="暂停",U62="挂起",U62="暂停",Y62="挂起",Y62="暂停"),"暂停","已完成")</f>
        <v/>
      </c>
      <c r="G680" s="125" t="n">
        <v>46230</v>
      </c>
      <c r="H680" s="125" t="n">
        <v>46241</v>
      </c>
      <c r="I680" s="127" t="n">
        <v>40</v>
      </c>
      <c r="J680" s="124">
        <f>IF(I680="","待估算",IF(F680="已完成","已结束",IF(AND(ISNUMBER(G680),ISNUMBER(H680),G680&lt;='项目驾驶舱'!$B$3,H680&gt;='项目驾驶舱'!$B$3),"进行中","计划中")))</f>
        <v/>
      </c>
      <c r="K680" s="124">
        <f>IF(J680="待估算","补充投入工时",IF(AND(H680&lt;'项目驾驶舱'!$B$3,F680&lt;&gt;"已完成"),"确认延期和后续安排","按计划跟踪"))</f>
        <v/>
      </c>
      <c r="L680" s="127" t="n"/>
    </row>
    <row r="681">
      <c r="C681" s="124" t="inlineStr">
        <is>
          <t>T081</t>
        </is>
      </c>
      <c r="D681" s="124" t="inlineStr">
        <is>
          <t>数据对接</t>
        </is>
      </c>
      <c r="E681" s="124" t="inlineStr">
        <is>
          <t>第二批次</t>
        </is>
      </c>
      <c r="F681" s="124">
        <f>IF(OR(M84="挂起",M84="暂停",Q84="挂起",Q84="暂停",U84="挂起",U84="暂停",Y84="挂起",Y84="暂停"),"暂停","未开始")</f>
        <v/>
      </c>
      <c r="G681" s="125" t="n">
        <v>46230</v>
      </c>
      <c r="H681" s="125" t="n">
        <v>46241</v>
      </c>
      <c r="I681" s="127" t="n">
        <v>40</v>
      </c>
      <c r="J681" s="124">
        <f>IF(I681="","待估算",IF(F681="已完成","已结束",IF(AND(ISNUMBER(G681),ISNUMBER(H681),G681&lt;='项目驾驶舱'!$B$3,H681&gt;='项目驾驶舱'!$B$3),"进行中","计划中")))</f>
        <v/>
      </c>
      <c r="K681" s="124">
        <f>IF(J681="待估算","补充投入工时",IF(AND(H681&lt;'项目驾驶舱'!$B$3,F681&lt;&gt;"已完成"),"确认延期和后续安排","按计划跟踪"))</f>
        <v/>
      </c>
      <c r="L681" s="127" t="n"/>
    </row>
    <row r="682">
      <c r="C682" s="124" t="inlineStr">
        <is>
          <t>T082</t>
        </is>
      </c>
      <c r="D682" s="124" t="inlineStr">
        <is>
          <t>数据展示</t>
        </is>
      </c>
      <c r="E682" s="124" t="inlineStr">
        <is>
          <t>第二批次</t>
        </is>
      </c>
      <c r="F682" s="124">
        <f>IF(OR(M85="挂起",M85="暂停",Q85="挂起",Q85="暂停",U85="挂起",U85="暂停",Y85="挂起",Y85="暂停"),"暂停","未开始")</f>
        <v/>
      </c>
      <c r="G682" s="125" t="n">
        <v>46230</v>
      </c>
      <c r="H682" s="125" t="n">
        <v>46241</v>
      </c>
      <c r="I682" s="127" t="n">
        <v>40</v>
      </c>
      <c r="J682" s="124">
        <f>IF(I682="","待估算",IF(F682="已完成","已结束",IF(AND(ISNUMBER(G682),ISNUMBER(H682),G682&lt;='项目驾驶舱'!$B$3,H682&gt;='项目驾驶舱'!$B$3),"进行中","计划中")))</f>
        <v/>
      </c>
      <c r="K682" s="124">
        <f>IF(J682="待估算","补充投入工时",IF(AND(H682&lt;'项目驾驶舱'!$B$3,F682&lt;&gt;"已完成"),"确认延期和后续安排","按计划跟踪"))</f>
        <v/>
      </c>
      <c r="L682" s="127" t="n"/>
    </row>
    <row r="683">
      <c r="C683" s="124" t="inlineStr">
        <is>
          <t>T083</t>
        </is>
      </c>
      <c r="D683" s="124" t="inlineStr">
        <is>
          <t>数据对接</t>
        </is>
      </c>
      <c r="E683" s="124" t="inlineStr">
        <is>
          <t>第二批次</t>
        </is>
      </c>
      <c r="F683" s="124">
        <f>IF(OR(M86="挂起",M86="暂停",Q86="挂起",Q86="暂停",U86="挂起",U86="暂停",Y86="挂起",Y86="暂停"),"暂停","未开始")</f>
        <v/>
      </c>
      <c r="G683" s="125" t="n">
        <v>46230</v>
      </c>
      <c r="H683" s="125" t="n">
        <v>46241</v>
      </c>
      <c r="I683" s="127" t="n">
        <v>40</v>
      </c>
      <c r="J683" s="124">
        <f>IF(I683="","待估算",IF(F683="已完成","已结束",IF(AND(ISNUMBER(G683),ISNUMBER(H683),G683&lt;='项目驾驶舱'!$B$3,H683&gt;='项目驾驶舱'!$B$3),"进行中","计划中")))</f>
        <v/>
      </c>
      <c r="K683" s="124">
        <f>IF(J683="待估算","补充投入工时",IF(AND(H683&lt;'项目驾驶舱'!$B$3,F683&lt;&gt;"已完成"),"确认延期和后续安排","按计划跟踪"))</f>
        <v/>
      </c>
      <c r="L683" s="127" t="n"/>
    </row>
    <row r="684">
      <c r="C684" s="124" t="inlineStr">
        <is>
          <t>T084</t>
        </is>
      </c>
      <c r="D684" s="124" t="inlineStr">
        <is>
          <t>数据产生</t>
        </is>
      </c>
      <c r="E684" s="124" t="inlineStr">
        <is>
          <t>第二批次</t>
        </is>
      </c>
      <c r="F684" s="124">
        <f>IF(OR(M87="挂起",M87="暂停",Q87="挂起",Q87="暂停",U87="挂起",U87="暂停",Y87="挂起",Y87="暂停"),"暂停","未开始")</f>
        <v/>
      </c>
      <c r="G684" s="125" t="n">
        <v>46230</v>
      </c>
      <c r="H684" s="125" t="n">
        <v>46241</v>
      </c>
      <c r="I684" s="127" t="n">
        <v>40</v>
      </c>
      <c r="J684" s="124">
        <f>IF(I684="","待估算",IF(F684="已完成","已结束",IF(AND(ISNUMBER(G684),ISNUMBER(H684),G684&lt;='项目驾驶舱'!$B$3,H684&gt;='项目驾驶舱'!$B$3),"进行中","计划中")))</f>
        <v/>
      </c>
      <c r="K684" s="124">
        <f>IF(J684="待估算","补充投入工时",IF(AND(H684&lt;'项目驾驶舱'!$B$3,F684&lt;&gt;"已完成"),"确认延期和后续安排","按计划跟踪"))</f>
        <v/>
      </c>
      <c r="L684" s="127" t="n"/>
    </row>
    <row r="685">
      <c r="C685" s="124" t="inlineStr">
        <is>
          <t>T085</t>
        </is>
      </c>
      <c r="D685" s="124" t="inlineStr">
        <is>
          <t>数据对接</t>
        </is>
      </c>
      <c r="E685" s="124" t="inlineStr">
        <is>
          <t>第二批次</t>
        </is>
      </c>
      <c r="F685" s="124">
        <f>IF(OR(M88="挂起",M88="暂停",Q88="挂起",Q88="暂停",U88="挂起",U88="暂停",Y88="挂起",Y88="暂停"),"暂停","未开始")</f>
        <v/>
      </c>
      <c r="G685" s="125" t="n">
        <v>46230</v>
      </c>
      <c r="H685" s="125" t="n">
        <v>46241</v>
      </c>
      <c r="I685" s="127" t="n">
        <v>40</v>
      </c>
      <c r="J685" s="124">
        <f>IF(I685="","待估算",IF(F685="已完成","已结束",IF(AND(ISNUMBER(G685),ISNUMBER(H685),G685&lt;='项目驾驶舱'!$B$3,H685&gt;='项目驾驶舱'!$B$3),"进行中","计划中")))</f>
        <v/>
      </c>
      <c r="K685" s="124">
        <f>IF(J685="待估算","补充投入工时",IF(AND(H685&lt;'项目驾驶舱'!$B$3,F685&lt;&gt;"已完成"),"确认延期和后续安排","按计划跟踪"))</f>
        <v/>
      </c>
      <c r="L685" s="127" t="n"/>
    </row>
    <row r="686">
      <c r="C686" s="124" t="inlineStr">
        <is>
          <t>T086</t>
        </is>
      </c>
      <c r="D686" s="124" t="inlineStr">
        <is>
          <t>数据展示</t>
        </is>
      </c>
      <c r="E686" s="124" t="inlineStr">
        <is>
          <t>第二批次</t>
        </is>
      </c>
      <c r="F686" s="124">
        <f>IF(OR(M89="挂起",M89="暂停",Q89="挂起",Q89="暂停",U89="挂起",U89="暂停",Y89="挂起",Y89="暂停"),"暂停","未开始")</f>
        <v/>
      </c>
      <c r="G686" s="125" t="n">
        <v>46230</v>
      </c>
      <c r="H686" s="125" t="n">
        <v>46241</v>
      </c>
      <c r="I686" s="127" t="n">
        <v>40</v>
      </c>
      <c r="J686" s="124">
        <f>IF(I686="","待估算",IF(F686="已完成","已结束",IF(AND(ISNUMBER(G686),ISNUMBER(H686),G686&lt;='项目驾驶舱'!$B$3,H686&gt;='项目驾驶舱'!$B$3),"进行中","计划中")))</f>
        <v/>
      </c>
      <c r="K686" s="124">
        <f>IF(J686="待估算","补充投入工时",IF(AND(H686&lt;'项目驾驶舱'!$B$3,F686&lt;&gt;"已完成"),"确认延期和后续安排","按计划跟踪"))</f>
        <v/>
      </c>
      <c r="L686" s="127" t="n"/>
    </row>
    <row r="687">
      <c r="C687" s="124" t="inlineStr">
        <is>
          <t>T087</t>
        </is>
      </c>
      <c r="D687" s="124" t="inlineStr">
        <is>
          <t>数据对接</t>
        </is>
      </c>
      <c r="E687" s="124" t="inlineStr">
        <is>
          <t>第二批次</t>
        </is>
      </c>
      <c r="F687" s="124">
        <f>IF(OR(M90="挂起",M90="暂停",Q90="挂起",Q90="暂停",U90="挂起",U90="暂停",Y90="挂起",Y90="暂停"),"暂停","未开始")</f>
        <v/>
      </c>
      <c r="G687" s="125" t="n">
        <v>46230</v>
      </c>
      <c r="H687" s="125" t="n">
        <v>46241</v>
      </c>
      <c r="I687" s="127" t="n">
        <v>40</v>
      </c>
      <c r="J687" s="124">
        <f>IF(I687="","待估算",IF(F687="已完成","已结束",IF(AND(ISNUMBER(G687),ISNUMBER(H687),G687&lt;='项目驾驶舱'!$B$3,H687&gt;='项目驾驶舱'!$B$3),"进行中","计划中")))</f>
        <v/>
      </c>
      <c r="K687" s="124">
        <f>IF(J687="待估算","补充投入工时",IF(AND(H687&lt;'项目驾驶舱'!$B$3,F687&lt;&gt;"已完成"),"确认延期和后续安排","按计划跟踪"))</f>
        <v/>
      </c>
      <c r="L687" s="127" t="n"/>
    </row>
    <row r="688">
      <c r="A688" s="22" t="n"/>
      <c r="B688" s="22" t="n"/>
      <c r="C688" s="124" t="inlineStr">
        <is>
          <t>T088</t>
        </is>
      </c>
      <c r="D688" s="124" t="inlineStr">
        <is>
          <t>数据展示</t>
        </is>
      </c>
      <c r="E688" s="124" t="inlineStr">
        <is>
          <t>第二批次</t>
        </is>
      </c>
      <c r="F688" s="124">
        <f>IF(OR(M91="挂起",M91="暂停",Q91="挂起",Q91="暂停",U91="挂起",U91="暂停",Y91="挂起",Y91="暂停"),"暂停","未开始")</f>
        <v/>
      </c>
      <c r="G688" s="125" t="n">
        <v>46230</v>
      </c>
      <c r="H688" s="125" t="n">
        <v>46241</v>
      </c>
      <c r="I688" s="127" t="n">
        <v>40</v>
      </c>
      <c r="J688" s="124">
        <f>IF(I688="","待估算",IF(F688="已完成","已结束",IF(AND(ISNUMBER(G688),ISNUMBER(H688),G688&lt;='项目驾驶舱'!$B$3,H688&gt;='项目驾驶舱'!$B$3),"进行中","计划中")))</f>
        <v/>
      </c>
      <c r="K688" s="124">
        <f>IF(J688="待估算","补充投入工时",IF(AND(H688&lt;'项目驾驶舱'!$B$3,F688&lt;&gt;"已完成"),"确认延期和后续安排","按计划跟踪"))</f>
        <v/>
      </c>
      <c r="L688" s="127" t="n"/>
    </row>
    <row r="689">
      <c r="A689" s="133" t="inlineStr">
        <is>
          <t>郑士旺</t>
        </is>
      </c>
      <c r="B689" s="133" t="inlineStr">
        <is>
          <t>业务</t>
        </is>
      </c>
      <c r="C689" s="124" t="inlineStr">
        <is>
          <t>T089</t>
        </is>
      </c>
      <c r="D689" s="124" t="inlineStr">
        <is>
          <t>新增采样服务费（外贸）</t>
        </is>
      </c>
      <c r="E689" s="124" t="inlineStr">
        <is>
          <t>第二批次</t>
        </is>
      </c>
      <c r="F689" s="124">
        <f>IF(OR(M92="挂起",M92="暂停",Q92="挂起",Q92="暂停",U92="挂起",U92="暂停",Y92="挂起",Y92="暂停"),"暂停","未开始")</f>
        <v/>
      </c>
      <c r="G689" s="125" t="n">
        <v>46230</v>
      </c>
      <c r="H689" s="125" t="n">
        <v>46241</v>
      </c>
      <c r="I689" s="127" t="n">
        <v>40</v>
      </c>
      <c r="J689" s="124">
        <f>IF(I689="","待估算",IF(F689="已完成","已结束",IF(AND(ISNUMBER(G689),ISNUMBER(H689),G689&lt;='项目驾驶舱'!$B$3,H689&gt;='项目驾驶舱'!$B$3),"进行中","计划中")))</f>
        <v/>
      </c>
      <c r="K689" s="124">
        <f>IF(J689="待估算","补充投入工时",IF(AND(H689&lt;'项目驾驶舱'!$B$3,F689&lt;&gt;"已完成"),"确认延期和后续安排","按计划跟踪"))</f>
        <v/>
      </c>
      <c r="L689" s="127" t="n"/>
    </row>
    <row r="690">
      <c r="C690" s="124" t="inlineStr">
        <is>
          <t>T090</t>
        </is>
      </c>
      <c r="D690" s="124" t="inlineStr">
        <is>
          <t>审批采样服务费（外贸）</t>
        </is>
      </c>
      <c r="E690" s="124" t="inlineStr">
        <is>
          <t>第二批次</t>
        </is>
      </c>
      <c r="F690" s="124">
        <f>IF(OR(M93="挂起",M93="暂停",Q93="挂起",Q93="暂停",U93="挂起",U93="暂停",Y93="挂起",Y93="暂停"),"暂停","未开始")</f>
        <v/>
      </c>
      <c r="G690" s="125" t="n">
        <v>46230</v>
      </c>
      <c r="H690" s="125" t="n">
        <v>46241</v>
      </c>
      <c r="I690" s="127" t="n">
        <v>40</v>
      </c>
      <c r="J690" s="124">
        <f>IF(I690="","待估算",IF(F690="已完成","已结束",IF(AND(ISNUMBER(G690),ISNUMBER(H690),G690&lt;='项目驾驶舱'!$B$3,H690&gt;='项目驾驶舱'!$B$3),"进行中","计划中")))</f>
        <v/>
      </c>
      <c r="K690" s="124">
        <f>IF(J690="待估算","补充投入工时",IF(AND(H690&lt;'项目驾驶舱'!$B$3,F690&lt;&gt;"已完成"),"确认延期和后续安排","按计划跟踪"))</f>
        <v/>
      </c>
      <c r="L690" s="127" t="n"/>
    </row>
    <row r="691">
      <c r="C691" s="124" t="inlineStr">
        <is>
          <t>T091</t>
        </is>
      </c>
      <c r="D691" s="124" t="inlineStr">
        <is>
          <t>单据签章</t>
        </is>
      </c>
      <c r="E691" s="124" t="inlineStr">
        <is>
          <t>第二批次</t>
        </is>
      </c>
      <c r="F691" s="124">
        <f>IF(OR(M94="挂起",M94="暂停",Q94="挂起",Q94="暂停",U94="挂起",U94="暂停",Y94="挂起",Y94="暂停"),"暂停","未开始")</f>
        <v/>
      </c>
      <c r="G691" s="125" t="n">
        <v>46230</v>
      </c>
      <c r="H691" s="125" t="n">
        <v>46241</v>
      </c>
      <c r="I691" s="127" t="n">
        <v>40</v>
      </c>
      <c r="J691" s="124">
        <f>IF(I691="","待估算",IF(F691="已完成","已结束",IF(AND(ISNUMBER(G691),ISNUMBER(H691),G691&lt;='项目驾驶舱'!$B$3,H691&gt;='项目驾驶舱'!$B$3),"进行中","计划中")))</f>
        <v/>
      </c>
      <c r="K691" s="124">
        <f>IF(J691="待估算","补充投入工时",IF(AND(H691&lt;'项目驾驶舱'!$B$3,F691&lt;&gt;"已完成"),"确认延期和后续安排","按计划跟踪"))</f>
        <v/>
      </c>
      <c r="L691" s="127" t="n"/>
    </row>
    <row r="692">
      <c r="C692" s="124" t="inlineStr">
        <is>
          <t>T092</t>
        </is>
      </c>
      <c r="D692" s="124" t="inlineStr">
        <is>
          <t>数据推送</t>
        </is>
      </c>
      <c r="E692" s="124" t="inlineStr">
        <is>
          <t>第二批次</t>
        </is>
      </c>
      <c r="F692" s="124">
        <f>IF(OR(M95="挂起",M95="暂停",Q95="挂起",Q95="暂停",U95="挂起",U95="暂停",Y95="挂起",Y95="暂停"),"暂停","未开始")</f>
        <v/>
      </c>
      <c r="G692" s="125" t="n">
        <v>46230</v>
      </c>
      <c r="H692" s="125" t="n">
        <v>46241</v>
      </c>
      <c r="I692" s="127" t="n">
        <v>40</v>
      </c>
      <c r="J692" s="124">
        <f>IF(I692="","待估算",IF(F692="已完成","已结束",IF(AND(ISNUMBER(G692),ISNUMBER(H692),G692&lt;='项目驾驶舱'!$B$3,H692&gt;='项目驾驶舱'!$B$3),"进行中","计划中")))</f>
        <v/>
      </c>
      <c r="K692" s="124">
        <f>IF(J692="待估算","补充投入工时",IF(AND(H692&lt;'项目驾驶舱'!$B$3,F692&lt;&gt;"已完成"),"确认延期和后续安排","按计划跟踪"))</f>
        <v/>
      </c>
      <c r="L692" s="127" t="n"/>
    </row>
    <row r="693">
      <c r="C693" s="124" t="inlineStr">
        <is>
          <t>T093</t>
        </is>
      </c>
      <c r="D693" s="124" t="inlineStr">
        <is>
          <t>数据对接</t>
        </is>
      </c>
      <c r="E693" s="124" t="inlineStr">
        <is>
          <t>第二批次</t>
        </is>
      </c>
      <c r="F693" s="124">
        <f>IF(OR(M96="挂起",M96="暂停",Q96="挂起",Q96="暂停",U96="挂起",U96="暂停",Y96="挂起",Y96="暂停"),"暂停","未开始")</f>
        <v/>
      </c>
      <c r="G693" s="125" t="n">
        <v>46230</v>
      </c>
      <c r="H693" s="125" t="n">
        <v>46241</v>
      </c>
      <c r="I693" s="127" t="n">
        <v>40</v>
      </c>
      <c r="J693" s="124">
        <f>IF(I693="","待估算",IF(F693="已完成","已结束",IF(AND(ISNUMBER(G693),ISNUMBER(H693),G693&lt;='项目驾驶舱'!$B$3,H693&gt;='项目驾驶舱'!$B$3),"进行中","计划中")))</f>
        <v/>
      </c>
      <c r="K693" s="124">
        <f>IF(J693="待估算","补充投入工时",IF(AND(H693&lt;'项目驾驶舱'!$B$3,F693&lt;&gt;"已完成"),"确认延期和后续安排","按计划跟踪"))</f>
        <v/>
      </c>
      <c r="L693" s="127" t="n"/>
    </row>
    <row r="694">
      <c r="C694" s="124" t="inlineStr">
        <is>
          <t>T094</t>
        </is>
      </c>
      <c r="D694" s="124" t="inlineStr">
        <is>
          <t>数据展示</t>
        </is>
      </c>
      <c r="E694" s="124" t="inlineStr">
        <is>
          <t>第二批次</t>
        </is>
      </c>
      <c r="F694" s="124">
        <f>IF(OR(M97="挂起",M97="暂停",Q97="挂起",Q97="暂停",U97="挂起",U97="暂停",Y97="挂起",Y97="暂停"),"暂停","未开始")</f>
        <v/>
      </c>
      <c r="G694" s="125" t="n">
        <v>46230</v>
      </c>
      <c r="H694" s="125" t="n">
        <v>46241</v>
      </c>
      <c r="I694" s="127" t="n">
        <v>40</v>
      </c>
      <c r="J694" s="124">
        <f>IF(I694="","待估算",IF(F694="已完成","已结束",IF(AND(ISNUMBER(G694),ISNUMBER(H694),G694&lt;='项目驾驶舱'!$B$3,H694&gt;='项目驾驶舱'!$B$3),"进行中","计划中")))</f>
        <v/>
      </c>
      <c r="K694" s="124">
        <f>IF(J694="待估算","补充投入工时",IF(AND(H694&lt;'项目驾驶舱'!$B$3,F694&lt;&gt;"已完成"),"确认延期和后续安排","按计划跟踪"))</f>
        <v/>
      </c>
      <c r="L694" s="127" t="n"/>
    </row>
    <row r="695">
      <c r="C695" s="124" t="inlineStr">
        <is>
          <t>T126</t>
        </is>
      </c>
      <c r="D695" s="124" t="inlineStr">
        <is>
          <t>停泊费（外贸）查询</t>
        </is>
      </c>
      <c r="E695" s="124" t="inlineStr">
        <is>
          <t>第二批次</t>
        </is>
      </c>
      <c r="F695" s="124">
        <f>IF(OR(M129="挂起",M129="暂停",Q129="挂起",Q129="暂停",U129="挂起",U129="暂停",Y129="挂起",Y129="暂停"),"暂停","未开始")</f>
        <v/>
      </c>
      <c r="G695" s="125" t="n">
        <v>46230</v>
      </c>
      <c r="H695" s="125" t="n">
        <v>46241</v>
      </c>
      <c r="I695" s="127" t="n">
        <v>40</v>
      </c>
      <c r="J695" s="124">
        <f>IF(I695="","待估算",IF(F695="已完成","已结束",IF(AND(ISNUMBER(G695),ISNUMBER(H695),G695&lt;='项目驾驶舱'!$B$3,H695&gt;='项目驾驶舱'!$B$3),"进行中","计划中")))</f>
        <v/>
      </c>
      <c r="K695" s="124">
        <f>IF(J695="待估算","补充投入工时",IF(AND(H695&lt;'项目驾驶舱'!$B$3,F695&lt;&gt;"已完成"),"确认延期和后续安排","按计划跟踪"))</f>
        <v/>
      </c>
      <c r="L695" s="127" t="n"/>
    </row>
    <row r="696">
      <c r="C696" s="124" t="inlineStr">
        <is>
          <t>T127</t>
        </is>
      </c>
      <c r="D696" s="124" t="inlineStr">
        <is>
          <t>锚泊费（外贸）查询</t>
        </is>
      </c>
      <c r="E696" s="124" t="inlineStr">
        <is>
          <t>第二批次</t>
        </is>
      </c>
      <c r="F696" s="124">
        <f>IF(OR(M130="挂起",M130="暂停",Q130="挂起",Q130="暂停",U130="挂起",U130="暂停",Y130="挂起",Y130="暂停"),"暂停","未开始")</f>
        <v/>
      </c>
      <c r="G696" s="125" t="n">
        <v>46230</v>
      </c>
      <c r="H696" s="125" t="n">
        <v>46241</v>
      </c>
      <c r="I696" s="127" t="n">
        <v>40</v>
      </c>
      <c r="J696" s="124">
        <f>IF(I696="","待估算",IF(F696="已完成","已结束",IF(AND(ISNUMBER(G696),ISNUMBER(H696),G696&lt;='项目驾驶舱'!$B$3,H696&gt;='项目驾驶舱'!$B$3),"进行中","计划中")))</f>
        <v/>
      </c>
      <c r="K696" s="124">
        <f>IF(J696="待估算","补充投入工时",IF(AND(H696&lt;'项目驾驶舱'!$B$3,F696&lt;&gt;"已完成"),"确认延期和后续安排","按计划跟踪"))</f>
        <v/>
      </c>
      <c r="L696" s="127" t="n"/>
    </row>
    <row r="697">
      <c r="C697" s="124" t="inlineStr">
        <is>
          <t>T128</t>
        </is>
      </c>
      <c r="D697" s="124" t="inlineStr">
        <is>
          <t>堆存费（外贸）查询</t>
        </is>
      </c>
      <c r="E697" s="124" t="inlineStr">
        <is>
          <t>第二批次</t>
        </is>
      </c>
      <c r="F697" s="124">
        <f>IF(OR(M131="挂起",M131="暂停",Q131="挂起",Q131="暂停",U131="挂起",U131="暂停",Y131="挂起",Y131="暂停"),"暂停","未开始")</f>
        <v/>
      </c>
      <c r="G697" s="125" t="n">
        <v>46230</v>
      </c>
      <c r="H697" s="125" t="n">
        <v>46241</v>
      </c>
      <c r="I697" s="127" t="n">
        <v>40</v>
      </c>
      <c r="J697" s="124">
        <f>IF(I697="","待估算",IF(F697="已完成","已结束",IF(AND(ISNUMBER(G697),ISNUMBER(H697),G697&lt;='项目驾驶舱'!$B$3,H697&gt;='项目驾驶舱'!$B$3),"进行中","计划中")))</f>
        <v/>
      </c>
      <c r="K697" s="124">
        <f>IF(J697="待估算","补充投入工时",IF(AND(H697&lt;'项目驾驶舱'!$B$3,F697&lt;&gt;"已完成"),"确认延期和后续安排","按计划跟踪"))</f>
        <v/>
      </c>
      <c r="L697" s="127" t="n"/>
    </row>
    <row r="698">
      <c r="C698" s="124" t="inlineStr">
        <is>
          <t>T129</t>
        </is>
      </c>
      <c r="D698" s="124" t="inlineStr">
        <is>
          <t>卸船费（外贸）查询</t>
        </is>
      </c>
      <c r="E698" s="124" t="inlineStr">
        <is>
          <t>第二批次</t>
        </is>
      </c>
      <c r="F698" s="124">
        <f>IF(OR(M132="挂起",M132="暂停",Q132="挂起",Q132="暂停",U132="挂起",U132="暂停",Y132="挂起",Y132="暂停"),"暂停","未开始")</f>
        <v/>
      </c>
      <c r="G698" s="125" t="n">
        <v>46230</v>
      </c>
      <c r="H698" s="125" t="n">
        <v>46241</v>
      </c>
      <c r="I698" s="127" t="n">
        <v>40</v>
      </c>
      <c r="J698" s="124">
        <f>IF(I698="","待估算",IF(F698="已完成","已结束",IF(AND(ISNUMBER(G698),ISNUMBER(H698),G698&lt;='项目驾驶舱'!$B$3,H698&gt;='项目驾驶舱'!$B$3),"进行中","计划中")))</f>
        <v/>
      </c>
      <c r="K698" s="124">
        <f>IF(J698="待估算","补充投入工时",IF(AND(H698&lt;'项目驾驶舱'!$B$3,F698&lt;&gt;"已完成"),"确认延期和后续安排","按计划跟踪"))</f>
        <v/>
      </c>
      <c r="L698" s="127" t="n"/>
    </row>
    <row r="699">
      <c r="C699" s="124" t="inlineStr">
        <is>
          <t>T130</t>
        </is>
      </c>
      <c r="D699" s="124" t="inlineStr">
        <is>
          <t>采样服务费（外贸）查询</t>
        </is>
      </c>
      <c r="E699" s="124" t="inlineStr">
        <is>
          <t>第二批次</t>
        </is>
      </c>
      <c r="F699" s="124">
        <f>IF(OR(M133="挂起",M133="暂停",Q133="挂起",Q133="暂停",U133="挂起",U133="暂停",Y133="挂起",Y133="暂停"),"暂停","未开始")</f>
        <v/>
      </c>
      <c r="G699" s="125" t="n">
        <v>46230</v>
      </c>
      <c r="H699" s="125" t="n">
        <v>46241</v>
      </c>
      <c r="I699" s="127" t="n">
        <v>40</v>
      </c>
      <c r="J699" s="124">
        <f>IF(I699="","待估算",IF(F699="已完成","已结束",IF(AND(ISNUMBER(G699),ISNUMBER(H699),G699&lt;='项目驾驶舱'!$B$3,H699&gt;='项目驾驶舱'!$B$3),"进行中","计划中")))</f>
        <v/>
      </c>
      <c r="K699" s="124">
        <f>IF(J699="待估算","补充投入工时",IF(AND(H699&lt;'项目驾驶舱'!$B$3,F699&lt;&gt;"已完成"),"确认延期和后续安排","按计划跟踪"))</f>
        <v/>
      </c>
      <c r="L699" s="127" t="n"/>
    </row>
    <row r="700">
      <c r="A700" s="22" t="n"/>
      <c r="B700" s="22" t="n"/>
      <c r="C700" s="124" t="inlineStr">
        <is>
          <t>T131</t>
        </is>
      </c>
      <c r="D700" s="124" t="inlineStr">
        <is>
          <t>船舶供应服务费（外贸）查询</t>
        </is>
      </c>
      <c r="E700" s="124" t="inlineStr">
        <is>
          <t>第二批次</t>
        </is>
      </c>
      <c r="F700" s="124">
        <f>IF(OR(M134="挂起",M134="暂停",Q134="挂起",Q134="暂停",U134="挂起",U134="暂停",Y134="挂起",Y134="暂停"),"暂停","未开始")</f>
        <v/>
      </c>
      <c r="G700" s="125" t="n">
        <v>46230</v>
      </c>
      <c r="H700" s="125" t="n">
        <v>46241</v>
      </c>
      <c r="I700" s="127" t="n">
        <v>40</v>
      </c>
      <c r="J700" s="124">
        <f>IF(I700="","待估算",IF(F700="已完成","已结束",IF(AND(ISNUMBER(G700),ISNUMBER(H700),G700&lt;='项目驾驶舱'!$B$3,H700&gt;='项目驾驶舱'!$B$3),"进行中","计划中")))</f>
        <v/>
      </c>
      <c r="K700" s="124">
        <f>IF(J700="待估算","补充投入工时",IF(AND(H700&lt;'项目驾驶舱'!$B$3,F700&lt;&gt;"已完成"),"确认延期和后续安排","按计划跟踪"))</f>
        <v/>
      </c>
      <c r="L700" s="127" t="n"/>
    </row>
    <row r="701">
      <c r="A701" s="133" t="inlineStr">
        <is>
          <t>郑士旺</t>
        </is>
      </c>
      <c r="B701" s="133" t="inlineStr">
        <is>
          <t>业务</t>
        </is>
      </c>
      <c r="C701" s="124" t="inlineStr">
        <is>
          <t>T132</t>
        </is>
      </c>
      <c r="D701" s="124" t="inlineStr">
        <is>
          <t>新增船舶靠泊通知单</t>
        </is>
      </c>
      <c r="E701" s="124" t="inlineStr">
        <is>
          <t>第二批次</t>
        </is>
      </c>
      <c r="F701" s="124">
        <f>IF(OR(M135="挂起",M135="暂停",Q135="挂起",Q135="暂停",U135="挂起",U135="暂停",Y135="挂起",Y135="暂停"),"暂停","未开始")</f>
        <v/>
      </c>
      <c r="G701" s="125" t="n">
        <v>46230</v>
      </c>
      <c r="H701" s="125" t="n">
        <v>46241</v>
      </c>
      <c r="I701" s="127" t="n">
        <v>40</v>
      </c>
      <c r="J701" s="124">
        <f>IF(I701="","待估算",IF(F701="已完成","已结束",IF(AND(ISNUMBER(G701),ISNUMBER(H701),G701&lt;='项目驾驶舱'!$B$3,H701&gt;='项目驾驶舱'!$B$3),"进行中","计划中")))</f>
        <v/>
      </c>
      <c r="K701" s="124">
        <f>IF(J701="待估算","补充投入工时",IF(AND(H701&lt;'项目驾驶舱'!$B$3,F701&lt;&gt;"已完成"),"确认延期和后续安排","按计划跟踪"))</f>
        <v/>
      </c>
      <c r="L701" s="127" t="n"/>
    </row>
    <row r="702">
      <c r="C702" s="124" t="inlineStr">
        <is>
          <t>T133</t>
        </is>
      </c>
      <c r="D702" s="124" t="inlineStr">
        <is>
          <t>查询船舶靠泊通知单</t>
        </is>
      </c>
      <c r="E702" s="124" t="inlineStr">
        <is>
          <t>第二批次</t>
        </is>
      </c>
      <c r="F702" s="124">
        <f>IF(OR(M136="挂起",M136="暂停",Q136="挂起",Q136="暂停",U136="挂起",U136="暂停",Y136="挂起",Y136="暂停"),"暂停","未开始")</f>
        <v/>
      </c>
      <c r="G702" s="125" t="n">
        <v>46230</v>
      </c>
      <c r="H702" s="125" t="n">
        <v>46241</v>
      </c>
      <c r="I702" s="127" t="n">
        <v>40</v>
      </c>
      <c r="J702" s="124">
        <f>IF(I702="","待估算",IF(F702="已完成","已结束",IF(AND(ISNUMBER(G702),ISNUMBER(H702),G702&lt;='项目驾驶舱'!$B$3,H702&gt;='项目驾驶舱'!$B$3),"进行中","计划中")))</f>
        <v/>
      </c>
      <c r="K702" s="124">
        <f>IF(J702="待估算","补充投入工时",IF(AND(H702&lt;'项目驾驶舱'!$B$3,F702&lt;&gt;"已完成"),"确认延期和后续安排","按计划跟踪"))</f>
        <v/>
      </c>
      <c r="L702" s="127" t="n"/>
    </row>
    <row r="703">
      <c r="C703" s="124" t="inlineStr">
        <is>
          <t>T134</t>
        </is>
      </c>
      <c r="D703" s="124" t="inlineStr">
        <is>
          <t>卸船计划查询</t>
        </is>
      </c>
      <c r="E703" s="124" t="inlineStr">
        <is>
          <t>第二批次</t>
        </is>
      </c>
      <c r="F703" s="124">
        <f>IF(OR(M137="挂起",M137="暂停",Q137="挂起",Q137="暂停",U137="挂起",U137="暂停",Y137="挂起",Y137="暂停"),"暂停","未开始")</f>
        <v/>
      </c>
      <c r="G703" s="125" t="n">
        <v>46230</v>
      </c>
      <c r="H703" s="125" t="n">
        <v>46241</v>
      </c>
      <c r="I703" s="127" t="n">
        <v>40</v>
      </c>
      <c r="J703" s="124">
        <f>IF(I703="","待估算",IF(F703="已完成","已结束",IF(AND(ISNUMBER(G703),ISNUMBER(H703),G703&lt;='项目驾驶舱'!$B$3,H703&gt;='项目驾驶舱'!$B$3),"进行中","计划中")))</f>
        <v/>
      </c>
      <c r="K703" s="124">
        <f>IF(J703="待估算","补充投入工时",IF(AND(H703&lt;'项目驾驶舱'!$B$3,F703&lt;&gt;"已完成"),"确认延期和后续安排","按计划跟踪"))</f>
        <v/>
      </c>
      <c r="L703" s="127" t="n"/>
    </row>
    <row r="704">
      <c r="C704" s="124" t="inlineStr">
        <is>
          <t>T135</t>
        </is>
      </c>
      <c r="D704" s="124" t="inlineStr">
        <is>
          <t>卸船查询</t>
        </is>
      </c>
      <c r="E704" s="124" t="inlineStr">
        <is>
          <t>第二批次</t>
        </is>
      </c>
      <c r="F704" s="124">
        <f>IF(OR(M138="挂起",M138="暂停",Q138="挂起",Q138="暂停",U138="挂起",U138="暂停",Y138="挂起",Y138="暂停"),"暂停","未开始")</f>
        <v/>
      </c>
      <c r="G704" s="125" t="n">
        <v>46230</v>
      </c>
      <c r="H704" s="125" t="n">
        <v>46241</v>
      </c>
      <c r="I704" s="127" t="n">
        <v>40</v>
      </c>
      <c r="J704" s="124">
        <f>IF(I704="","待估算",IF(F704="已完成","已结束",IF(AND(ISNUMBER(G704),ISNUMBER(H704),G704&lt;='项目驾驶舱'!$B$3,H704&gt;='项目驾驶舱'!$B$3),"进行中","计划中")))</f>
        <v/>
      </c>
      <c r="K704" s="124">
        <f>IF(J704="待估算","补充投入工时",IF(AND(H704&lt;'项目驾驶舱'!$B$3,F704&lt;&gt;"已完成"),"确认延期和后续安排","按计划跟踪"))</f>
        <v/>
      </c>
      <c r="L704" s="127" t="n"/>
    </row>
    <row r="705">
      <c r="C705" s="124" t="inlineStr">
        <is>
          <t>T136</t>
        </is>
      </c>
      <c r="D705" s="124" t="inlineStr">
        <is>
          <t>卸船作业委托</t>
        </is>
      </c>
      <c r="E705" s="124" t="inlineStr">
        <is>
          <t>第二批次</t>
        </is>
      </c>
      <c r="F705" s="124">
        <f>IF(OR(M139="挂起",M139="暂停",Q139="挂起",Q139="暂停",U139="挂起",U139="暂停",Y139="挂起",Y139="暂停"),"暂停","未开始")</f>
        <v/>
      </c>
      <c r="G705" s="125" t="n">
        <v>46230</v>
      </c>
      <c r="H705" s="125" t="n">
        <v>46241</v>
      </c>
      <c r="I705" s="127" t="n">
        <v>40</v>
      </c>
      <c r="J705" s="124">
        <f>IF(I705="","待估算",IF(F705="已完成","已结束",IF(AND(ISNUMBER(G705),ISNUMBER(H705),G705&lt;='项目驾驶舱'!$B$3,H705&gt;='项目驾驶舱'!$B$3),"进行中","计划中")))</f>
        <v/>
      </c>
      <c r="K705" s="124">
        <f>IF(J705="待估算","补充投入工时",IF(AND(H705&lt;'项目驾驶舱'!$B$3,F705&lt;&gt;"已完成"),"确认延期和后续安排","按计划跟踪"))</f>
        <v/>
      </c>
      <c r="L705" s="127" t="n"/>
    </row>
    <row r="706">
      <c r="C706" s="124" t="inlineStr">
        <is>
          <t>T137</t>
        </is>
      </c>
      <c r="D706" s="124" t="inlineStr">
        <is>
          <t>外轮转内贸业务查询</t>
        </is>
      </c>
      <c r="E706" s="124" t="inlineStr">
        <is>
          <t>第二批次</t>
        </is>
      </c>
      <c r="F706" s="124">
        <f>IF(OR(M140="挂起",M140="暂停",Q140="挂起",Q140="暂停",U140="挂起",U140="暂停",Y140="挂起",Y140="暂停"),"暂停","未开始")</f>
        <v/>
      </c>
      <c r="G706" s="125" t="n">
        <v>46230</v>
      </c>
      <c r="H706" s="125" t="n">
        <v>46241</v>
      </c>
      <c r="I706" s="127" t="n">
        <v>40</v>
      </c>
      <c r="J706" s="124">
        <f>IF(I706="","待估算",IF(F706="已完成","已结束",IF(AND(ISNUMBER(G706),ISNUMBER(H706),G706&lt;='项目驾驶舱'!$B$3,H706&gt;='项目驾驶舱'!$B$3),"进行中","计划中")))</f>
        <v/>
      </c>
      <c r="K706" s="124">
        <f>IF(J706="待估算","补充投入工时",IF(AND(H706&lt;'项目驾驶舱'!$B$3,F706&lt;&gt;"已完成"),"确认延期和后续安排","按计划跟踪"))</f>
        <v/>
      </c>
      <c r="L706" s="127" t="n"/>
    </row>
    <row r="707">
      <c r="A707" s="22" t="n"/>
      <c r="B707" s="22" t="n"/>
      <c r="C707" s="124" t="inlineStr">
        <is>
          <t>T142</t>
        </is>
      </c>
      <c r="D707" s="124" t="inlineStr">
        <is>
          <t>审批船舶靠泊通知单</t>
        </is>
      </c>
      <c r="E707" s="124" t="inlineStr">
        <is>
          <t>第二批次</t>
        </is>
      </c>
      <c r="F707" s="124">
        <f>IF(OR(M145="挂起",M145="暂停",Q145="挂起",Q145="暂停",U145="挂起",U145="暂停",Y145="挂起",Y145="暂停"),"暂停","未开始")</f>
        <v/>
      </c>
      <c r="G707" s="125" t="n">
        <v>46230</v>
      </c>
      <c r="H707" s="125" t="n">
        <v>46241</v>
      </c>
      <c r="I707" s="127" t="n">
        <v>40</v>
      </c>
      <c r="J707" s="124">
        <f>IF(I707="","待估算",IF(F707="已完成","已结束",IF(AND(ISNUMBER(G707),ISNUMBER(H707),G707&lt;='项目驾驶舱'!$B$3,H707&gt;='项目驾驶舱'!$B$3),"进行中","计划中")))</f>
        <v/>
      </c>
      <c r="K707" s="124">
        <f>IF(J707="待估算","补充投入工时",IF(AND(H707&lt;'项目驾驶舱'!$B$3,F707&lt;&gt;"已完成"),"确认延期和后续安排","按计划跟踪"))</f>
        <v/>
      </c>
      <c r="L707" s="127" t="n"/>
    </row>
  </sheetData>
  <autoFilter ref="A15:L707"/>
  <mergeCells count="120">
    <mergeCell ref="A544:A555"/>
    <mergeCell ref="B64:B75"/>
    <mergeCell ref="B212:B223"/>
    <mergeCell ref="A333:A344"/>
    <mergeCell ref="A569:A580"/>
    <mergeCell ref="B581:B592"/>
    <mergeCell ref="A496:A507"/>
    <mergeCell ref="B393:B404"/>
    <mergeCell ref="B236:B247"/>
    <mergeCell ref="A417:A428"/>
    <mergeCell ref="B689:B700"/>
    <mergeCell ref="A653:A664"/>
    <mergeCell ref="A136:A145"/>
    <mergeCell ref="A472:A483"/>
    <mergeCell ref="B617:B628"/>
    <mergeCell ref="A248:A259"/>
    <mergeCell ref="A532:A543"/>
    <mergeCell ref="A677:A688"/>
    <mergeCell ref="B381:B392"/>
    <mergeCell ref="A381:A392"/>
    <mergeCell ref="A429:A435"/>
    <mergeCell ref="B701:B707"/>
    <mergeCell ref="A393:A404"/>
    <mergeCell ref="B124:B135"/>
    <mergeCell ref="B593:B604"/>
    <mergeCell ref="A272:A283"/>
    <mergeCell ref="A224:A235"/>
    <mergeCell ref="B369:B380"/>
    <mergeCell ref="A665:A676"/>
    <mergeCell ref="B472:B483"/>
    <mergeCell ref="A357:A368"/>
    <mergeCell ref="B321:B332"/>
    <mergeCell ref="A40:A51"/>
    <mergeCell ref="A52:A63"/>
    <mergeCell ref="A605:A616"/>
    <mergeCell ref="B100:B111"/>
    <mergeCell ref="A158:A163"/>
    <mergeCell ref="B200:B211"/>
    <mergeCell ref="B345:B356"/>
    <mergeCell ref="A260:A271"/>
    <mergeCell ref="B136:B145"/>
    <mergeCell ref="B224:B235"/>
    <mergeCell ref="A284:A295"/>
    <mergeCell ref="A520:A531"/>
    <mergeCell ref="B429:B435"/>
    <mergeCell ref="B297:B308"/>
    <mergeCell ref="A212:A223"/>
    <mergeCell ref="B484:B495"/>
    <mergeCell ref="A448:A459"/>
    <mergeCell ref="B176:B187"/>
    <mergeCell ref="B155:B163"/>
    <mergeCell ref="B569:B580"/>
    <mergeCell ref="B544:B555"/>
    <mergeCell ref="B436:B447"/>
    <mergeCell ref="A508:A519"/>
    <mergeCell ref="A200:A211"/>
    <mergeCell ref="A436:A447"/>
    <mergeCell ref="B496:B507"/>
    <mergeCell ref="A460:A471"/>
    <mergeCell ref="B164:B175"/>
    <mergeCell ref="B284:B295"/>
    <mergeCell ref="A28:A39"/>
    <mergeCell ref="A112:A123"/>
    <mergeCell ref="A2:L2"/>
    <mergeCell ref="B188:B199"/>
    <mergeCell ref="A176:A187"/>
    <mergeCell ref="B76:B87"/>
    <mergeCell ref="A617:A628"/>
    <mergeCell ref="B248:B259"/>
    <mergeCell ref="B272:B283"/>
    <mergeCell ref="A629:A640"/>
    <mergeCell ref="A701:A707"/>
    <mergeCell ref="A236:A247"/>
    <mergeCell ref="A146:A157"/>
    <mergeCell ref="A124:A135"/>
    <mergeCell ref="B532:B543"/>
    <mergeCell ref="A16:A27"/>
    <mergeCell ref="A369:A380"/>
    <mergeCell ref="B88:B99"/>
    <mergeCell ref="B417:B428"/>
    <mergeCell ref="A188:A199"/>
    <mergeCell ref="B653:B664"/>
    <mergeCell ref="B112:B123"/>
    <mergeCell ref="A405:A416"/>
    <mergeCell ref="A309:A320"/>
    <mergeCell ref="A321:A332"/>
    <mergeCell ref="A641:A652"/>
    <mergeCell ref="B677:B688"/>
    <mergeCell ref="B40:B51"/>
    <mergeCell ref="A100:A111"/>
    <mergeCell ref="B605:B616"/>
    <mergeCell ref="B556:B567"/>
    <mergeCell ref="B260:B271"/>
    <mergeCell ref="B16:B27"/>
    <mergeCell ref="B309:B320"/>
    <mergeCell ref="B629:B640"/>
    <mergeCell ref="A593:A604"/>
    <mergeCell ref="A64:A75"/>
    <mergeCell ref="B665:B676"/>
    <mergeCell ref="A88:A99"/>
    <mergeCell ref="B146:B154"/>
    <mergeCell ref="B357:B368"/>
    <mergeCell ref="B460:B471"/>
    <mergeCell ref="B52:B63"/>
    <mergeCell ref="B508:B519"/>
    <mergeCell ref="A345:A356"/>
    <mergeCell ref="A556:A567"/>
    <mergeCell ref="B405:B416"/>
    <mergeCell ref="B641:B652"/>
    <mergeCell ref="A484:A495"/>
    <mergeCell ref="A76:A87"/>
    <mergeCell ref="B333:B344"/>
    <mergeCell ref="A689:A700"/>
    <mergeCell ref="A1:L1"/>
    <mergeCell ref="B520:B531"/>
    <mergeCell ref="A164:A175"/>
    <mergeCell ref="A297:A308"/>
    <mergeCell ref="A581:A592"/>
    <mergeCell ref="B28:B39"/>
    <mergeCell ref="B448:B459"/>
  </mergeCells>
  <conditionalFormatting sqref="J5:J10">
    <cfRule type="expression" priority="1" dxfId="5">
      <formula>$J5="超负荷"</formula>
    </cfRule>
    <cfRule type="expression" priority="2" dxfId="6">
      <formula>$J5="高负荷"</formula>
    </cfRule>
    <cfRule type="expression" priority="3" dxfId="9">
      <formula>$J5="正常"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FF17365D"/>
    <outlinePr summaryBelow="1" summaryRight="1"/>
    <pageSetUpPr fitToPage="1"/>
  </sheetPr>
  <dimension ref="A1:J39"/>
  <sheetViews>
    <sheetView showGridLines="0" zoomScale="85" workbookViewId="0">
      <selection activeCell="A1" sqref="A1"/>
    </sheetView>
  </sheetViews>
  <sheetFormatPr baseColWidth="8" defaultRowHeight="15"/>
  <cols>
    <col width="22" customWidth="1" style="1" min="1" max="1"/>
    <col width="16" customWidth="1" style="1" min="2" max="2"/>
    <col width="34" customWidth="1" style="1" min="3" max="3"/>
    <col width="4" customWidth="1" style="1" min="4" max="4"/>
    <col width="14" customWidth="1" style="1" min="5" max="5"/>
    <col width="14" customWidth="1" style="1" min="6" max="6"/>
    <col width="14" customWidth="1" style="1" min="7" max="7"/>
    <col width="14" customWidth="1" style="1" min="8" max="8"/>
    <col width="14" customWidth="1" style="1" min="9" max="9"/>
    <col width="14" customWidth="1" style="1" min="10" max="10"/>
  </cols>
  <sheetData>
    <row r="1" ht="28" customHeight="1" s="1">
      <c r="A1" s="114" t="inlineStr">
        <is>
          <t>PMO周报</t>
        </is>
      </c>
    </row>
    <row r="2" ht="22" customHeight="1" s="1">
      <c r="A2" s="115" t="inlineStr">
        <is>
          <t>面向项目领导的周报底稿。指标自动计算，黄色区域由项目经理审核后填写。</t>
        </is>
      </c>
    </row>
    <row r="3">
      <c r="A3" s="116" t="n"/>
      <c r="B3" s="116" t="n"/>
      <c r="C3" s="116" t="n"/>
      <c r="D3" s="116" t="n"/>
      <c r="E3" s="116" t="n"/>
      <c r="F3" s="116" t="n"/>
      <c r="G3" s="116" t="n"/>
      <c r="H3" s="116" t="n"/>
      <c r="I3" s="116" t="n"/>
      <c r="J3" s="116" t="n"/>
    </row>
    <row r="4">
      <c r="A4" s="134" t="inlineStr">
        <is>
          <t>报告日期</t>
        </is>
      </c>
      <c r="B4" s="135">
        <f>'项目驾驶舱'!B3</f>
        <v/>
      </c>
    </row>
    <row r="5">
      <c r="A5" s="134" t="inlineStr">
        <is>
          <t>项目状态</t>
        </is>
      </c>
      <c r="B5" s="136">
        <f>'AI项目诊断'!E4</f>
        <v/>
      </c>
    </row>
    <row r="6">
      <c r="A6" s="134" t="inlineStr">
        <is>
          <t>状态说明</t>
        </is>
      </c>
      <c r="B6" s="136">
        <f>'AI项目诊断'!H4</f>
        <v/>
      </c>
    </row>
    <row r="8">
      <c r="A8" s="137" t="inlineStr">
        <is>
          <t>一、本周总体判断</t>
        </is>
      </c>
    </row>
    <row r="9" ht="36" customHeight="1" s="1">
      <c r="A9" s="138" t="inlineStr">
        <is>
          <t>说明项目整体状态、与上周相比的变化以及最大失控点。</t>
        </is>
      </c>
    </row>
    <row r="10"/>
    <row r="11"/>
    <row r="12">
      <c r="A12" s="137" t="inlineStr">
        <is>
          <t>二、本周完成事项</t>
        </is>
      </c>
    </row>
    <row r="13" ht="36" customHeight="1" s="1">
      <c r="A13" s="138" t="inlineStr">
        <is>
          <t>列出已经完成且有证据的关键事项，不写日常过程。</t>
        </is>
      </c>
    </row>
    <row r="14"/>
    <row r="15"/>
    <row r="17">
      <c r="A17" s="137" t="inlineStr">
        <is>
          <t>三、未来两周重点</t>
        </is>
      </c>
    </row>
    <row r="18" ht="36" customHeight="1" s="1">
      <c r="A18" s="138" t="inlineStr">
        <is>
          <t>从“两周督办”筛选“是否纳入=是”，确认责任人和承诺日期。</t>
        </is>
      </c>
    </row>
    <row r="19"/>
    <row r="20"/>
    <row r="22">
      <c r="A22" s="137" t="inlineStr">
        <is>
          <t>四、主要风险与问题</t>
        </is>
      </c>
    </row>
    <row r="23" ht="36" customHeight="1" s="1">
      <c r="A23" s="138" t="inlineStr">
        <is>
          <t>优先说明高等级、已逾期、影响里程碑的风险与问题。</t>
        </is>
      </c>
    </row>
    <row r="24"/>
    <row r="25"/>
    <row r="27">
      <c r="A27" s="137" t="inlineStr">
        <is>
          <t>五、待决策与需协调事项</t>
        </is>
      </c>
    </row>
    <row r="28" ht="36" customHeight="1" s="1">
      <c r="A28" s="138" t="inlineStr">
        <is>
          <t>从“待决策事项”提取仍未决策且已接近需要日期的事项。</t>
        </is>
      </c>
    </row>
    <row r="29"/>
    <row r="30"/>
    <row r="32">
      <c r="A32" s="121" t="inlineStr">
        <is>
          <t>自动指标</t>
        </is>
      </c>
    </row>
    <row r="33" ht="28" customHeight="1" s="1">
      <c r="A33" s="122" t="inlineStr">
        <is>
          <t>指标</t>
        </is>
      </c>
      <c r="B33" s="122" t="inlineStr">
        <is>
          <t>本期值</t>
        </is>
      </c>
      <c r="C33" s="122" t="inlineStr">
        <is>
          <t>管理含义</t>
        </is>
      </c>
    </row>
    <row r="34">
      <c r="A34" s="124" t="inlineStr">
        <is>
          <t>任务完成率</t>
        </is>
      </c>
      <c r="B34" s="128">
        <f>IFERROR(COUNTIF('项目总控台账'!$G$4:$G$148,"已完成")/COUNTIF('项目总控台账'!$A$4:$A$148,"&lt;&gt;"),0)</f>
        <v/>
      </c>
      <c r="C34" s="124" t="inlineStr">
        <is>
          <t>观察总体交付进展</t>
        </is>
      </c>
    </row>
    <row r="35">
      <c r="A35" s="124" t="inlineStr">
        <is>
          <t>逾期任务数</t>
        </is>
      </c>
      <c r="B35" s="124">
        <f>COUNTIF('项目总控台账'!$AC$4:$AC$148,"*延期*")</f>
        <v/>
      </c>
      <c r="C35" s="124" t="inlineStr">
        <is>
          <t>检查关键路径和补救计划</t>
        </is>
      </c>
    </row>
    <row r="36">
      <c r="A36" s="124" t="inlineStr">
        <is>
          <t>未关闭高风险</t>
        </is>
      </c>
      <c r="B36" s="124">
        <f>COUNTIFS('风险问题台账'!$D$4:$D$102,"高",'风险问题台账'!$K$4:$K$102,"&lt;&gt;已关闭")</f>
        <v/>
      </c>
      <c r="C36" s="124" t="inlineStr">
        <is>
          <t>确认应对措施和升级需求</t>
        </is>
      </c>
    </row>
    <row r="37">
      <c r="A37" s="124" t="inlineStr">
        <is>
          <t>逾期行动项</t>
        </is>
      </c>
      <c r="B37" s="124">
        <f>COUNTIFS('会议行动项'!$J$4:$J$102,"&gt;0",'会议行动项'!$H$4:$H$102,"&lt;&gt;已完成")</f>
        <v/>
      </c>
      <c r="C37" s="124" t="inlineStr">
        <is>
          <t>检查承诺兑现情况</t>
        </is>
      </c>
    </row>
    <row r="38">
      <c r="A38" s="124" t="inlineStr">
        <is>
          <t>待决策事项</t>
        </is>
      </c>
      <c r="B38" s="124">
        <f>COUNTIFS('待决策事项'!$C$5:$C$54,"&lt;&gt;",'待决策事项'!$I$5:$I$54,"&lt;&gt;已决策",'待决策事项'!$I$5:$I$54,"&lt;&gt;已关闭")</f>
        <v/>
      </c>
      <c r="C38" s="124" t="inlineStr">
        <is>
          <t>明确决策人和最迟日期</t>
        </is>
      </c>
    </row>
    <row r="39">
      <c r="A39" s="124" t="inlineStr">
        <is>
          <t>数据质量问题</t>
        </is>
      </c>
      <c r="B39" s="124">
        <f>COUNTIF('数据质量检查'!$H$5:$H$149,"需整改")</f>
        <v/>
      </c>
      <c r="C39" s="124" t="inlineStr">
        <is>
          <t>提高AI诊断可信度</t>
        </is>
      </c>
    </row>
  </sheetData>
  <mergeCells count="15">
    <mergeCell ref="A1:J1"/>
    <mergeCell ref="A9:J11"/>
    <mergeCell ref="A13:J15"/>
    <mergeCell ref="B5:J5"/>
    <mergeCell ref="A8:J8"/>
    <mergeCell ref="A18:J20"/>
    <mergeCell ref="A22:J22"/>
    <mergeCell ref="A17:J17"/>
    <mergeCell ref="A27:J27"/>
    <mergeCell ref="A12:J12"/>
    <mergeCell ref="B4:J4"/>
    <mergeCell ref="A2:J2"/>
    <mergeCell ref="A28:J30"/>
    <mergeCell ref="A23:J25"/>
    <mergeCell ref="B6:J6"/>
  </mergeCell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L10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18" customWidth="1" style="1" min="2" max="2"/>
    <col width="15" customWidth="1" style="1" min="3" max="3"/>
    <col width="13" customWidth="1" style="1" min="4" max="4"/>
    <col width="22" customWidth="1" style="1" min="5" max="5"/>
    <col width="36" customWidth="1" style="1" min="6" max="6"/>
    <col width="12" customWidth="1" style="1" min="7" max="7"/>
    <col width="36" customWidth="1" style="1" min="8" max="8"/>
    <col width="30" customWidth="1" style="1" min="9" max="9"/>
    <col width="14" customWidth="1" style="1" min="10" max="10"/>
    <col width="13" customWidth="1" style="1" min="11" max="11"/>
    <col width="13" customWidth="1" style="1" min="12" max="12"/>
  </cols>
  <sheetData>
    <row r="1" ht="28" customHeight="1" s="1">
      <c r="A1" s="114" t="inlineStr">
        <is>
          <t>AI运行日志</t>
        </is>
      </c>
    </row>
    <row r="2" ht="22" customHeight="1" s="1">
      <c r="A2" s="115" t="inlineStr">
        <is>
          <t>记录每次AI分析的输入范围、发现、建议、人工确认和处理结果，便于追踪与复盘。</t>
        </is>
      </c>
    </row>
    <row r="3">
      <c r="A3" s="116" t="n"/>
      <c r="B3" s="116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</row>
    <row r="4" ht="28" customHeight="1" s="1">
      <c r="A4" s="122" t="inlineStr">
        <is>
          <t>运行ID</t>
        </is>
      </c>
      <c r="B4" s="122" t="inlineStr">
        <is>
          <t>运行时间</t>
        </is>
      </c>
      <c r="C4" s="122" t="inlineStr">
        <is>
          <t>分析类型</t>
        </is>
      </c>
      <c r="D4" s="122" t="inlineStr">
        <is>
          <t>数据日期</t>
        </is>
      </c>
      <c r="E4" s="122" t="inlineStr">
        <is>
          <t>分析范围</t>
        </is>
      </c>
      <c r="F4" s="122" t="inlineStr">
        <is>
          <t>主要发现</t>
        </is>
      </c>
      <c r="G4" s="122" t="inlineStr">
        <is>
          <t>风险等级</t>
        </is>
      </c>
      <c r="H4" s="122" t="inlineStr">
        <is>
          <t>AI建议</t>
        </is>
      </c>
      <c r="I4" s="122" t="inlineStr">
        <is>
          <t>人工结论</t>
        </is>
      </c>
      <c r="J4" s="122" t="inlineStr">
        <is>
          <t>处理人</t>
        </is>
      </c>
      <c r="K4" s="122" t="inlineStr">
        <is>
          <t>处理状态</t>
        </is>
      </c>
      <c r="L4" s="122" t="inlineStr">
        <is>
          <t>完成时间</t>
        </is>
      </c>
    </row>
    <row r="5">
      <c r="A5" s="124">
        <f>IF(B5="","","AI-"&amp;TEXT(ROW()-4,"0000"))</f>
        <v/>
      </c>
      <c r="B5" s="139" t="n"/>
      <c r="C5" s="127" t="n"/>
      <c r="D5" s="126" t="n"/>
      <c r="E5" s="127" t="n"/>
      <c r="F5" s="127" t="n"/>
      <c r="G5" s="127" t="n"/>
      <c r="H5" s="127" t="n"/>
      <c r="I5" s="127" t="n"/>
      <c r="J5" s="127" t="n"/>
      <c r="K5" s="127" t="n"/>
      <c r="L5" s="126" t="n"/>
    </row>
    <row r="6">
      <c r="A6" s="124">
        <f>IF(B6="","","AI-"&amp;TEXT(ROW()-4,"0000"))</f>
        <v/>
      </c>
      <c r="B6" s="139" t="n"/>
      <c r="C6" s="127" t="n"/>
      <c r="D6" s="126" t="n"/>
      <c r="E6" s="127" t="n"/>
      <c r="F6" s="127" t="n"/>
      <c r="G6" s="127" t="n"/>
      <c r="H6" s="127" t="n"/>
      <c r="I6" s="127" t="n"/>
      <c r="J6" s="127" t="n"/>
      <c r="K6" s="127" t="n"/>
      <c r="L6" s="126" t="n"/>
    </row>
    <row r="7">
      <c r="A7" s="124">
        <f>IF(B7="","","AI-"&amp;TEXT(ROW()-4,"0000"))</f>
        <v/>
      </c>
      <c r="B7" s="139" t="n"/>
      <c r="C7" s="127" t="n"/>
      <c r="D7" s="126" t="n"/>
      <c r="E7" s="127" t="n"/>
      <c r="F7" s="127" t="n"/>
      <c r="G7" s="127" t="n"/>
      <c r="H7" s="127" t="n"/>
      <c r="I7" s="127" t="n"/>
      <c r="J7" s="127" t="n"/>
      <c r="K7" s="127" t="n"/>
      <c r="L7" s="126" t="n"/>
    </row>
    <row r="8">
      <c r="A8" s="124">
        <f>IF(B8="","","AI-"&amp;TEXT(ROW()-4,"0000"))</f>
        <v/>
      </c>
      <c r="B8" s="139" t="n"/>
      <c r="C8" s="127" t="n"/>
      <c r="D8" s="126" t="n"/>
      <c r="E8" s="127" t="n"/>
      <c r="F8" s="127" t="n"/>
      <c r="G8" s="127" t="n"/>
      <c r="H8" s="127" t="n"/>
      <c r="I8" s="127" t="n"/>
      <c r="J8" s="127" t="n"/>
      <c r="K8" s="127" t="n"/>
      <c r="L8" s="126" t="n"/>
    </row>
    <row r="9">
      <c r="A9" s="124">
        <f>IF(B9="","","AI-"&amp;TEXT(ROW()-4,"0000"))</f>
        <v/>
      </c>
      <c r="B9" s="139" t="n"/>
      <c r="C9" s="127" t="n"/>
      <c r="D9" s="126" t="n"/>
      <c r="E9" s="127" t="n"/>
      <c r="F9" s="127" t="n"/>
      <c r="G9" s="127" t="n"/>
      <c r="H9" s="127" t="n"/>
      <c r="I9" s="127" t="n"/>
      <c r="J9" s="127" t="n"/>
      <c r="K9" s="127" t="n"/>
      <c r="L9" s="126" t="n"/>
    </row>
    <row r="10">
      <c r="A10" s="124">
        <f>IF(B10="","","AI-"&amp;TEXT(ROW()-4,"0000"))</f>
        <v/>
      </c>
      <c r="B10" s="139" t="n"/>
      <c r="C10" s="127" t="n"/>
      <c r="D10" s="126" t="n"/>
      <c r="E10" s="127" t="n"/>
      <c r="F10" s="127" t="n"/>
      <c r="G10" s="127" t="n"/>
      <c r="H10" s="127" t="n"/>
      <c r="I10" s="127" t="n"/>
      <c r="J10" s="127" t="n"/>
      <c r="K10" s="127" t="n"/>
      <c r="L10" s="126" t="n"/>
    </row>
    <row r="11">
      <c r="A11" s="124">
        <f>IF(B11="","","AI-"&amp;TEXT(ROW()-4,"0000"))</f>
        <v/>
      </c>
      <c r="B11" s="139" t="n"/>
      <c r="C11" s="127" t="n"/>
      <c r="D11" s="126" t="n"/>
      <c r="E11" s="127" t="n"/>
      <c r="F11" s="127" t="n"/>
      <c r="G11" s="127" t="n"/>
      <c r="H11" s="127" t="n"/>
      <c r="I11" s="127" t="n"/>
      <c r="J11" s="127" t="n"/>
      <c r="K11" s="127" t="n"/>
      <c r="L11" s="126" t="n"/>
    </row>
    <row r="12">
      <c r="A12" s="124">
        <f>IF(B12="","","AI-"&amp;TEXT(ROW()-4,"0000"))</f>
        <v/>
      </c>
      <c r="B12" s="139" t="n"/>
      <c r="C12" s="127" t="n"/>
      <c r="D12" s="126" t="n"/>
      <c r="E12" s="127" t="n"/>
      <c r="F12" s="127" t="n"/>
      <c r="G12" s="127" t="n"/>
      <c r="H12" s="127" t="n"/>
      <c r="I12" s="127" t="n"/>
      <c r="J12" s="127" t="n"/>
      <c r="K12" s="127" t="n"/>
      <c r="L12" s="126" t="n"/>
    </row>
    <row r="13">
      <c r="A13" s="124">
        <f>IF(B13="","","AI-"&amp;TEXT(ROW()-4,"0000"))</f>
        <v/>
      </c>
      <c r="B13" s="139" t="n"/>
      <c r="C13" s="127" t="n"/>
      <c r="D13" s="126" t="n"/>
      <c r="E13" s="127" t="n"/>
      <c r="F13" s="127" t="n"/>
      <c r="G13" s="127" t="n"/>
      <c r="H13" s="127" t="n"/>
      <c r="I13" s="127" t="n"/>
      <c r="J13" s="127" t="n"/>
      <c r="K13" s="127" t="n"/>
      <c r="L13" s="126" t="n"/>
    </row>
    <row r="14">
      <c r="A14" s="124">
        <f>IF(B14="","","AI-"&amp;TEXT(ROW()-4,"0000"))</f>
        <v/>
      </c>
      <c r="B14" s="139" t="n"/>
      <c r="C14" s="127" t="n"/>
      <c r="D14" s="126" t="n"/>
      <c r="E14" s="127" t="n"/>
      <c r="F14" s="127" t="n"/>
      <c r="G14" s="127" t="n"/>
      <c r="H14" s="127" t="n"/>
      <c r="I14" s="127" t="n"/>
      <c r="J14" s="127" t="n"/>
      <c r="K14" s="127" t="n"/>
      <c r="L14" s="126" t="n"/>
    </row>
    <row r="15">
      <c r="A15" s="124">
        <f>IF(B15="","","AI-"&amp;TEXT(ROW()-4,"0000"))</f>
        <v/>
      </c>
      <c r="B15" s="139" t="n"/>
      <c r="C15" s="127" t="n"/>
      <c r="D15" s="126" t="n"/>
      <c r="E15" s="127" t="n"/>
      <c r="F15" s="127" t="n"/>
      <c r="G15" s="127" t="n"/>
      <c r="H15" s="127" t="n"/>
      <c r="I15" s="127" t="n"/>
      <c r="J15" s="127" t="n"/>
      <c r="K15" s="127" t="n"/>
      <c r="L15" s="126" t="n"/>
    </row>
    <row r="16">
      <c r="A16" s="124">
        <f>IF(B16="","","AI-"&amp;TEXT(ROW()-4,"0000"))</f>
        <v/>
      </c>
      <c r="B16" s="139" t="n"/>
      <c r="C16" s="127" t="n"/>
      <c r="D16" s="126" t="n"/>
      <c r="E16" s="127" t="n"/>
      <c r="F16" s="127" t="n"/>
      <c r="G16" s="127" t="n"/>
      <c r="H16" s="127" t="n"/>
      <c r="I16" s="127" t="n"/>
      <c r="J16" s="127" t="n"/>
      <c r="K16" s="127" t="n"/>
      <c r="L16" s="126" t="n"/>
    </row>
    <row r="17">
      <c r="A17" s="124">
        <f>IF(B17="","","AI-"&amp;TEXT(ROW()-4,"0000"))</f>
        <v/>
      </c>
      <c r="B17" s="139" t="n"/>
      <c r="C17" s="127" t="n"/>
      <c r="D17" s="126" t="n"/>
      <c r="E17" s="127" t="n"/>
      <c r="F17" s="127" t="n"/>
      <c r="G17" s="127" t="n"/>
      <c r="H17" s="127" t="n"/>
      <c r="I17" s="127" t="n"/>
      <c r="J17" s="127" t="n"/>
      <c r="K17" s="127" t="n"/>
      <c r="L17" s="126" t="n"/>
    </row>
    <row r="18">
      <c r="A18" s="124">
        <f>IF(B18="","","AI-"&amp;TEXT(ROW()-4,"0000"))</f>
        <v/>
      </c>
      <c r="B18" s="139" t="n"/>
      <c r="C18" s="127" t="n"/>
      <c r="D18" s="126" t="n"/>
      <c r="E18" s="127" t="n"/>
      <c r="F18" s="127" t="n"/>
      <c r="G18" s="127" t="n"/>
      <c r="H18" s="127" t="n"/>
      <c r="I18" s="127" t="n"/>
      <c r="J18" s="127" t="n"/>
      <c r="K18" s="127" t="n"/>
      <c r="L18" s="126" t="n"/>
    </row>
    <row r="19">
      <c r="A19" s="124">
        <f>IF(B19="","","AI-"&amp;TEXT(ROW()-4,"0000"))</f>
        <v/>
      </c>
      <c r="B19" s="139" t="n"/>
      <c r="C19" s="127" t="n"/>
      <c r="D19" s="126" t="n"/>
      <c r="E19" s="127" t="n"/>
      <c r="F19" s="127" t="n"/>
      <c r="G19" s="127" t="n"/>
      <c r="H19" s="127" t="n"/>
      <c r="I19" s="127" t="n"/>
      <c r="J19" s="127" t="n"/>
      <c r="K19" s="127" t="n"/>
      <c r="L19" s="126" t="n"/>
    </row>
    <row r="20">
      <c r="A20" s="124">
        <f>IF(B20="","","AI-"&amp;TEXT(ROW()-4,"0000"))</f>
        <v/>
      </c>
      <c r="B20" s="139" t="n"/>
      <c r="C20" s="127" t="n"/>
      <c r="D20" s="126" t="n"/>
      <c r="E20" s="127" t="n"/>
      <c r="F20" s="127" t="n"/>
      <c r="G20" s="127" t="n"/>
      <c r="H20" s="127" t="n"/>
      <c r="I20" s="127" t="n"/>
      <c r="J20" s="127" t="n"/>
      <c r="K20" s="127" t="n"/>
      <c r="L20" s="126" t="n"/>
    </row>
    <row r="21">
      <c r="A21" s="124">
        <f>IF(B21="","","AI-"&amp;TEXT(ROW()-4,"0000"))</f>
        <v/>
      </c>
      <c r="B21" s="139" t="n"/>
      <c r="C21" s="127" t="n"/>
      <c r="D21" s="126" t="n"/>
      <c r="E21" s="127" t="n"/>
      <c r="F21" s="127" t="n"/>
      <c r="G21" s="127" t="n"/>
      <c r="H21" s="127" t="n"/>
      <c r="I21" s="127" t="n"/>
      <c r="J21" s="127" t="n"/>
      <c r="K21" s="127" t="n"/>
      <c r="L21" s="126" t="n"/>
    </row>
    <row r="22">
      <c r="A22" s="124">
        <f>IF(B22="","","AI-"&amp;TEXT(ROW()-4,"0000"))</f>
        <v/>
      </c>
      <c r="B22" s="139" t="n"/>
      <c r="C22" s="127" t="n"/>
      <c r="D22" s="126" t="n"/>
      <c r="E22" s="127" t="n"/>
      <c r="F22" s="127" t="n"/>
      <c r="G22" s="127" t="n"/>
      <c r="H22" s="127" t="n"/>
      <c r="I22" s="127" t="n"/>
      <c r="J22" s="127" t="n"/>
      <c r="K22" s="127" t="n"/>
      <c r="L22" s="126" t="n"/>
    </row>
    <row r="23">
      <c r="A23" s="124">
        <f>IF(B23="","","AI-"&amp;TEXT(ROW()-4,"0000"))</f>
        <v/>
      </c>
      <c r="B23" s="139" t="n"/>
      <c r="C23" s="127" t="n"/>
      <c r="D23" s="126" t="n"/>
      <c r="E23" s="127" t="n"/>
      <c r="F23" s="127" t="n"/>
      <c r="G23" s="127" t="n"/>
      <c r="H23" s="127" t="n"/>
      <c r="I23" s="127" t="n"/>
      <c r="J23" s="127" t="n"/>
      <c r="K23" s="127" t="n"/>
      <c r="L23" s="126" t="n"/>
    </row>
    <row r="24">
      <c r="A24" s="124">
        <f>IF(B24="","","AI-"&amp;TEXT(ROW()-4,"0000"))</f>
        <v/>
      </c>
      <c r="B24" s="139" t="n"/>
      <c r="C24" s="127" t="n"/>
      <c r="D24" s="126" t="n"/>
      <c r="E24" s="127" t="n"/>
      <c r="F24" s="127" t="n"/>
      <c r="G24" s="127" t="n"/>
      <c r="H24" s="127" t="n"/>
      <c r="I24" s="127" t="n"/>
      <c r="J24" s="127" t="n"/>
      <c r="K24" s="127" t="n"/>
      <c r="L24" s="126" t="n"/>
    </row>
    <row r="25">
      <c r="A25" s="124">
        <f>IF(B25="","","AI-"&amp;TEXT(ROW()-4,"0000"))</f>
        <v/>
      </c>
      <c r="B25" s="139" t="n"/>
      <c r="C25" s="127" t="n"/>
      <c r="D25" s="126" t="n"/>
      <c r="E25" s="127" t="n"/>
      <c r="F25" s="127" t="n"/>
      <c r="G25" s="127" t="n"/>
      <c r="H25" s="127" t="n"/>
      <c r="I25" s="127" t="n"/>
      <c r="J25" s="127" t="n"/>
      <c r="K25" s="127" t="n"/>
      <c r="L25" s="126" t="n"/>
    </row>
    <row r="26">
      <c r="A26" s="124">
        <f>IF(B26="","","AI-"&amp;TEXT(ROW()-4,"0000"))</f>
        <v/>
      </c>
      <c r="B26" s="139" t="n"/>
      <c r="C26" s="127" t="n"/>
      <c r="D26" s="126" t="n"/>
      <c r="E26" s="127" t="n"/>
      <c r="F26" s="127" t="n"/>
      <c r="G26" s="127" t="n"/>
      <c r="H26" s="127" t="n"/>
      <c r="I26" s="127" t="n"/>
      <c r="J26" s="127" t="n"/>
      <c r="K26" s="127" t="n"/>
      <c r="L26" s="126" t="n"/>
    </row>
    <row r="27">
      <c r="A27" s="124">
        <f>IF(B27="","","AI-"&amp;TEXT(ROW()-4,"0000"))</f>
        <v/>
      </c>
      <c r="B27" s="139" t="n"/>
      <c r="C27" s="127" t="n"/>
      <c r="D27" s="126" t="n"/>
      <c r="E27" s="127" t="n"/>
      <c r="F27" s="127" t="n"/>
      <c r="G27" s="127" t="n"/>
      <c r="H27" s="127" t="n"/>
      <c r="I27" s="127" t="n"/>
      <c r="J27" s="127" t="n"/>
      <c r="K27" s="127" t="n"/>
      <c r="L27" s="126" t="n"/>
    </row>
    <row r="28">
      <c r="A28" s="124">
        <f>IF(B28="","","AI-"&amp;TEXT(ROW()-4,"0000"))</f>
        <v/>
      </c>
      <c r="B28" s="139" t="n"/>
      <c r="C28" s="127" t="n"/>
      <c r="D28" s="126" t="n"/>
      <c r="E28" s="127" t="n"/>
      <c r="F28" s="127" t="n"/>
      <c r="G28" s="127" t="n"/>
      <c r="H28" s="127" t="n"/>
      <c r="I28" s="127" t="n"/>
      <c r="J28" s="127" t="n"/>
      <c r="K28" s="127" t="n"/>
      <c r="L28" s="126" t="n"/>
    </row>
    <row r="29">
      <c r="A29" s="124">
        <f>IF(B29="","","AI-"&amp;TEXT(ROW()-4,"0000"))</f>
        <v/>
      </c>
      <c r="B29" s="139" t="n"/>
      <c r="C29" s="127" t="n"/>
      <c r="D29" s="126" t="n"/>
      <c r="E29" s="127" t="n"/>
      <c r="F29" s="127" t="n"/>
      <c r="G29" s="127" t="n"/>
      <c r="H29" s="127" t="n"/>
      <c r="I29" s="127" t="n"/>
      <c r="J29" s="127" t="n"/>
      <c r="K29" s="127" t="n"/>
      <c r="L29" s="126" t="n"/>
    </row>
    <row r="30">
      <c r="A30" s="124">
        <f>IF(B30="","","AI-"&amp;TEXT(ROW()-4,"0000"))</f>
        <v/>
      </c>
      <c r="B30" s="139" t="n"/>
      <c r="C30" s="127" t="n"/>
      <c r="D30" s="126" t="n"/>
      <c r="E30" s="127" t="n"/>
      <c r="F30" s="127" t="n"/>
      <c r="G30" s="127" t="n"/>
      <c r="H30" s="127" t="n"/>
      <c r="I30" s="127" t="n"/>
      <c r="J30" s="127" t="n"/>
      <c r="K30" s="127" t="n"/>
      <c r="L30" s="126" t="n"/>
    </row>
    <row r="31">
      <c r="A31" s="124">
        <f>IF(B31="","","AI-"&amp;TEXT(ROW()-4,"0000"))</f>
        <v/>
      </c>
      <c r="B31" s="139" t="n"/>
      <c r="C31" s="127" t="n"/>
      <c r="D31" s="126" t="n"/>
      <c r="E31" s="127" t="n"/>
      <c r="F31" s="127" t="n"/>
      <c r="G31" s="127" t="n"/>
      <c r="H31" s="127" t="n"/>
      <c r="I31" s="127" t="n"/>
      <c r="J31" s="127" t="n"/>
      <c r="K31" s="127" t="n"/>
      <c r="L31" s="126" t="n"/>
    </row>
    <row r="32">
      <c r="A32" s="124">
        <f>IF(B32="","","AI-"&amp;TEXT(ROW()-4,"0000"))</f>
        <v/>
      </c>
      <c r="B32" s="139" t="n"/>
      <c r="C32" s="127" t="n"/>
      <c r="D32" s="126" t="n"/>
      <c r="E32" s="127" t="n"/>
      <c r="F32" s="127" t="n"/>
      <c r="G32" s="127" t="n"/>
      <c r="H32" s="127" t="n"/>
      <c r="I32" s="127" t="n"/>
      <c r="J32" s="127" t="n"/>
      <c r="K32" s="127" t="n"/>
      <c r="L32" s="126" t="n"/>
    </row>
    <row r="33">
      <c r="A33" s="124">
        <f>IF(B33="","","AI-"&amp;TEXT(ROW()-4,"0000"))</f>
        <v/>
      </c>
      <c r="B33" s="139" t="n"/>
      <c r="C33" s="127" t="n"/>
      <c r="D33" s="126" t="n"/>
      <c r="E33" s="127" t="n"/>
      <c r="F33" s="127" t="n"/>
      <c r="G33" s="127" t="n"/>
      <c r="H33" s="127" t="n"/>
      <c r="I33" s="127" t="n"/>
      <c r="J33" s="127" t="n"/>
      <c r="K33" s="127" t="n"/>
      <c r="L33" s="126" t="n"/>
    </row>
    <row r="34">
      <c r="A34" s="124">
        <f>IF(B34="","","AI-"&amp;TEXT(ROW()-4,"0000"))</f>
        <v/>
      </c>
      <c r="B34" s="139" t="n"/>
      <c r="C34" s="127" t="n"/>
      <c r="D34" s="126" t="n"/>
      <c r="E34" s="127" t="n"/>
      <c r="F34" s="127" t="n"/>
      <c r="G34" s="127" t="n"/>
      <c r="H34" s="127" t="n"/>
      <c r="I34" s="127" t="n"/>
      <c r="J34" s="127" t="n"/>
      <c r="K34" s="127" t="n"/>
      <c r="L34" s="126" t="n"/>
    </row>
    <row r="35">
      <c r="A35" s="124">
        <f>IF(B35="","","AI-"&amp;TEXT(ROW()-4,"0000"))</f>
        <v/>
      </c>
      <c r="B35" s="139" t="n"/>
      <c r="C35" s="127" t="n"/>
      <c r="D35" s="126" t="n"/>
      <c r="E35" s="127" t="n"/>
      <c r="F35" s="127" t="n"/>
      <c r="G35" s="127" t="n"/>
      <c r="H35" s="127" t="n"/>
      <c r="I35" s="127" t="n"/>
      <c r="J35" s="127" t="n"/>
      <c r="K35" s="127" t="n"/>
      <c r="L35" s="126" t="n"/>
    </row>
    <row r="36">
      <c r="A36" s="124">
        <f>IF(B36="","","AI-"&amp;TEXT(ROW()-4,"0000"))</f>
        <v/>
      </c>
      <c r="B36" s="139" t="n"/>
      <c r="C36" s="127" t="n"/>
      <c r="D36" s="126" t="n"/>
      <c r="E36" s="127" t="n"/>
      <c r="F36" s="127" t="n"/>
      <c r="G36" s="127" t="n"/>
      <c r="H36" s="127" t="n"/>
      <c r="I36" s="127" t="n"/>
      <c r="J36" s="127" t="n"/>
      <c r="K36" s="127" t="n"/>
      <c r="L36" s="126" t="n"/>
    </row>
    <row r="37">
      <c r="A37" s="124">
        <f>IF(B37="","","AI-"&amp;TEXT(ROW()-4,"0000"))</f>
        <v/>
      </c>
      <c r="B37" s="139" t="n"/>
      <c r="C37" s="127" t="n"/>
      <c r="D37" s="126" t="n"/>
      <c r="E37" s="127" t="n"/>
      <c r="F37" s="127" t="n"/>
      <c r="G37" s="127" t="n"/>
      <c r="H37" s="127" t="n"/>
      <c r="I37" s="127" t="n"/>
      <c r="J37" s="127" t="n"/>
      <c r="K37" s="127" t="n"/>
      <c r="L37" s="126" t="n"/>
    </row>
    <row r="38">
      <c r="A38" s="124">
        <f>IF(B38="","","AI-"&amp;TEXT(ROW()-4,"0000"))</f>
        <v/>
      </c>
      <c r="B38" s="139" t="n"/>
      <c r="C38" s="127" t="n"/>
      <c r="D38" s="126" t="n"/>
      <c r="E38" s="127" t="n"/>
      <c r="F38" s="127" t="n"/>
      <c r="G38" s="127" t="n"/>
      <c r="H38" s="127" t="n"/>
      <c r="I38" s="127" t="n"/>
      <c r="J38" s="127" t="n"/>
      <c r="K38" s="127" t="n"/>
      <c r="L38" s="126" t="n"/>
    </row>
    <row r="39">
      <c r="A39" s="124">
        <f>IF(B39="","","AI-"&amp;TEXT(ROW()-4,"0000"))</f>
        <v/>
      </c>
      <c r="B39" s="139" t="n"/>
      <c r="C39" s="127" t="n"/>
      <c r="D39" s="126" t="n"/>
      <c r="E39" s="127" t="n"/>
      <c r="F39" s="127" t="n"/>
      <c r="G39" s="127" t="n"/>
      <c r="H39" s="127" t="n"/>
      <c r="I39" s="127" t="n"/>
      <c r="J39" s="127" t="n"/>
      <c r="K39" s="127" t="n"/>
      <c r="L39" s="126" t="n"/>
    </row>
    <row r="40">
      <c r="A40" s="124">
        <f>IF(B40="","","AI-"&amp;TEXT(ROW()-4,"0000"))</f>
        <v/>
      </c>
      <c r="B40" s="139" t="n"/>
      <c r="C40" s="127" t="n"/>
      <c r="D40" s="126" t="n"/>
      <c r="E40" s="127" t="n"/>
      <c r="F40" s="127" t="n"/>
      <c r="G40" s="127" t="n"/>
      <c r="H40" s="127" t="n"/>
      <c r="I40" s="127" t="n"/>
      <c r="J40" s="127" t="n"/>
      <c r="K40" s="127" t="n"/>
      <c r="L40" s="126" t="n"/>
    </row>
    <row r="41">
      <c r="A41" s="124">
        <f>IF(B41="","","AI-"&amp;TEXT(ROW()-4,"0000"))</f>
        <v/>
      </c>
      <c r="B41" s="139" t="n"/>
      <c r="C41" s="127" t="n"/>
      <c r="D41" s="126" t="n"/>
      <c r="E41" s="127" t="n"/>
      <c r="F41" s="127" t="n"/>
      <c r="G41" s="127" t="n"/>
      <c r="H41" s="127" t="n"/>
      <c r="I41" s="127" t="n"/>
      <c r="J41" s="127" t="n"/>
      <c r="K41" s="127" t="n"/>
      <c r="L41" s="126" t="n"/>
    </row>
    <row r="42">
      <c r="A42" s="124">
        <f>IF(B42="","","AI-"&amp;TEXT(ROW()-4,"0000"))</f>
        <v/>
      </c>
      <c r="B42" s="139" t="n"/>
      <c r="C42" s="127" t="n"/>
      <c r="D42" s="126" t="n"/>
      <c r="E42" s="127" t="n"/>
      <c r="F42" s="127" t="n"/>
      <c r="G42" s="127" t="n"/>
      <c r="H42" s="127" t="n"/>
      <c r="I42" s="127" t="n"/>
      <c r="J42" s="127" t="n"/>
      <c r="K42" s="127" t="n"/>
      <c r="L42" s="126" t="n"/>
    </row>
    <row r="43">
      <c r="A43" s="124">
        <f>IF(B43="","","AI-"&amp;TEXT(ROW()-4,"0000"))</f>
        <v/>
      </c>
      <c r="B43" s="139" t="n"/>
      <c r="C43" s="127" t="n"/>
      <c r="D43" s="126" t="n"/>
      <c r="E43" s="127" t="n"/>
      <c r="F43" s="127" t="n"/>
      <c r="G43" s="127" t="n"/>
      <c r="H43" s="127" t="n"/>
      <c r="I43" s="127" t="n"/>
      <c r="J43" s="127" t="n"/>
      <c r="K43" s="127" t="n"/>
      <c r="L43" s="126" t="n"/>
    </row>
    <row r="44">
      <c r="A44" s="124">
        <f>IF(B44="","","AI-"&amp;TEXT(ROW()-4,"0000"))</f>
        <v/>
      </c>
      <c r="B44" s="139" t="n"/>
      <c r="C44" s="127" t="n"/>
      <c r="D44" s="126" t="n"/>
      <c r="E44" s="127" t="n"/>
      <c r="F44" s="127" t="n"/>
      <c r="G44" s="127" t="n"/>
      <c r="H44" s="127" t="n"/>
      <c r="I44" s="127" t="n"/>
      <c r="J44" s="127" t="n"/>
      <c r="K44" s="127" t="n"/>
      <c r="L44" s="126" t="n"/>
    </row>
    <row r="45">
      <c r="A45" s="124">
        <f>IF(B45="","","AI-"&amp;TEXT(ROW()-4,"0000"))</f>
        <v/>
      </c>
      <c r="B45" s="139" t="n"/>
      <c r="C45" s="127" t="n"/>
      <c r="D45" s="126" t="n"/>
      <c r="E45" s="127" t="n"/>
      <c r="F45" s="127" t="n"/>
      <c r="G45" s="127" t="n"/>
      <c r="H45" s="127" t="n"/>
      <c r="I45" s="127" t="n"/>
      <c r="J45" s="127" t="n"/>
      <c r="K45" s="127" t="n"/>
      <c r="L45" s="126" t="n"/>
    </row>
    <row r="46">
      <c r="A46" s="124">
        <f>IF(B46="","","AI-"&amp;TEXT(ROW()-4,"0000"))</f>
        <v/>
      </c>
      <c r="B46" s="139" t="n"/>
      <c r="C46" s="127" t="n"/>
      <c r="D46" s="126" t="n"/>
      <c r="E46" s="127" t="n"/>
      <c r="F46" s="127" t="n"/>
      <c r="G46" s="127" t="n"/>
      <c r="H46" s="127" t="n"/>
      <c r="I46" s="127" t="n"/>
      <c r="J46" s="127" t="n"/>
      <c r="K46" s="127" t="n"/>
      <c r="L46" s="126" t="n"/>
    </row>
    <row r="47">
      <c r="A47" s="124">
        <f>IF(B47="","","AI-"&amp;TEXT(ROW()-4,"0000"))</f>
        <v/>
      </c>
      <c r="B47" s="139" t="n"/>
      <c r="C47" s="127" t="n"/>
      <c r="D47" s="126" t="n"/>
      <c r="E47" s="127" t="n"/>
      <c r="F47" s="127" t="n"/>
      <c r="G47" s="127" t="n"/>
      <c r="H47" s="127" t="n"/>
      <c r="I47" s="127" t="n"/>
      <c r="J47" s="127" t="n"/>
      <c r="K47" s="127" t="n"/>
      <c r="L47" s="126" t="n"/>
    </row>
    <row r="48">
      <c r="A48" s="124">
        <f>IF(B48="","","AI-"&amp;TEXT(ROW()-4,"0000"))</f>
        <v/>
      </c>
      <c r="B48" s="139" t="n"/>
      <c r="C48" s="127" t="n"/>
      <c r="D48" s="126" t="n"/>
      <c r="E48" s="127" t="n"/>
      <c r="F48" s="127" t="n"/>
      <c r="G48" s="127" t="n"/>
      <c r="H48" s="127" t="n"/>
      <c r="I48" s="127" t="n"/>
      <c r="J48" s="127" t="n"/>
      <c r="K48" s="127" t="n"/>
      <c r="L48" s="126" t="n"/>
    </row>
    <row r="49">
      <c r="A49" s="124">
        <f>IF(B49="","","AI-"&amp;TEXT(ROW()-4,"0000"))</f>
        <v/>
      </c>
      <c r="B49" s="139" t="n"/>
      <c r="C49" s="127" t="n"/>
      <c r="D49" s="126" t="n"/>
      <c r="E49" s="127" t="n"/>
      <c r="F49" s="127" t="n"/>
      <c r="G49" s="127" t="n"/>
      <c r="H49" s="127" t="n"/>
      <c r="I49" s="127" t="n"/>
      <c r="J49" s="127" t="n"/>
      <c r="K49" s="127" t="n"/>
      <c r="L49" s="126" t="n"/>
    </row>
    <row r="50">
      <c r="A50" s="124">
        <f>IF(B50="","","AI-"&amp;TEXT(ROW()-4,"0000"))</f>
        <v/>
      </c>
      <c r="B50" s="139" t="n"/>
      <c r="C50" s="127" t="n"/>
      <c r="D50" s="126" t="n"/>
      <c r="E50" s="127" t="n"/>
      <c r="F50" s="127" t="n"/>
      <c r="G50" s="127" t="n"/>
      <c r="H50" s="127" t="n"/>
      <c r="I50" s="127" t="n"/>
      <c r="J50" s="127" t="n"/>
      <c r="K50" s="127" t="n"/>
      <c r="L50" s="126" t="n"/>
    </row>
    <row r="51">
      <c r="A51" s="124">
        <f>IF(B51="","","AI-"&amp;TEXT(ROW()-4,"0000"))</f>
        <v/>
      </c>
      <c r="B51" s="139" t="n"/>
      <c r="C51" s="127" t="n"/>
      <c r="D51" s="126" t="n"/>
      <c r="E51" s="127" t="n"/>
      <c r="F51" s="127" t="n"/>
      <c r="G51" s="127" t="n"/>
      <c r="H51" s="127" t="n"/>
      <c r="I51" s="127" t="n"/>
      <c r="J51" s="127" t="n"/>
      <c r="K51" s="127" t="n"/>
      <c r="L51" s="126" t="n"/>
    </row>
    <row r="52">
      <c r="A52" s="124">
        <f>IF(B52="","","AI-"&amp;TEXT(ROW()-4,"0000"))</f>
        <v/>
      </c>
      <c r="B52" s="139" t="n"/>
      <c r="C52" s="127" t="n"/>
      <c r="D52" s="126" t="n"/>
      <c r="E52" s="127" t="n"/>
      <c r="F52" s="127" t="n"/>
      <c r="G52" s="127" t="n"/>
      <c r="H52" s="127" t="n"/>
      <c r="I52" s="127" t="n"/>
      <c r="J52" s="127" t="n"/>
      <c r="K52" s="127" t="n"/>
      <c r="L52" s="126" t="n"/>
    </row>
    <row r="53">
      <c r="A53" s="124">
        <f>IF(B53="","","AI-"&amp;TEXT(ROW()-4,"0000"))</f>
        <v/>
      </c>
      <c r="B53" s="139" t="n"/>
      <c r="C53" s="127" t="n"/>
      <c r="D53" s="126" t="n"/>
      <c r="E53" s="127" t="n"/>
      <c r="F53" s="127" t="n"/>
      <c r="G53" s="127" t="n"/>
      <c r="H53" s="127" t="n"/>
      <c r="I53" s="127" t="n"/>
      <c r="J53" s="127" t="n"/>
      <c r="K53" s="127" t="n"/>
      <c r="L53" s="126" t="n"/>
    </row>
    <row r="54">
      <c r="A54" s="124">
        <f>IF(B54="","","AI-"&amp;TEXT(ROW()-4,"0000"))</f>
        <v/>
      </c>
      <c r="B54" s="139" t="n"/>
      <c r="C54" s="127" t="n"/>
      <c r="D54" s="126" t="n"/>
      <c r="E54" s="127" t="n"/>
      <c r="F54" s="127" t="n"/>
      <c r="G54" s="127" t="n"/>
      <c r="H54" s="127" t="n"/>
      <c r="I54" s="127" t="n"/>
      <c r="J54" s="127" t="n"/>
      <c r="K54" s="127" t="n"/>
      <c r="L54" s="126" t="n"/>
    </row>
    <row r="55">
      <c r="A55" s="124">
        <f>IF(B55="","","AI-"&amp;TEXT(ROW()-4,"0000"))</f>
        <v/>
      </c>
      <c r="B55" s="139" t="n"/>
      <c r="C55" s="127" t="n"/>
      <c r="D55" s="126" t="n"/>
      <c r="E55" s="127" t="n"/>
      <c r="F55" s="127" t="n"/>
      <c r="G55" s="127" t="n"/>
      <c r="H55" s="127" t="n"/>
      <c r="I55" s="127" t="n"/>
      <c r="J55" s="127" t="n"/>
      <c r="K55" s="127" t="n"/>
      <c r="L55" s="126" t="n"/>
    </row>
    <row r="56">
      <c r="A56" s="124">
        <f>IF(B56="","","AI-"&amp;TEXT(ROW()-4,"0000"))</f>
        <v/>
      </c>
      <c r="B56" s="139" t="n"/>
      <c r="C56" s="127" t="n"/>
      <c r="D56" s="126" t="n"/>
      <c r="E56" s="127" t="n"/>
      <c r="F56" s="127" t="n"/>
      <c r="G56" s="127" t="n"/>
      <c r="H56" s="127" t="n"/>
      <c r="I56" s="127" t="n"/>
      <c r="J56" s="127" t="n"/>
      <c r="K56" s="127" t="n"/>
      <c r="L56" s="126" t="n"/>
    </row>
    <row r="57">
      <c r="A57" s="124">
        <f>IF(B57="","","AI-"&amp;TEXT(ROW()-4,"0000"))</f>
        <v/>
      </c>
      <c r="B57" s="139" t="n"/>
      <c r="C57" s="127" t="n"/>
      <c r="D57" s="126" t="n"/>
      <c r="E57" s="127" t="n"/>
      <c r="F57" s="127" t="n"/>
      <c r="G57" s="127" t="n"/>
      <c r="H57" s="127" t="n"/>
      <c r="I57" s="127" t="n"/>
      <c r="J57" s="127" t="n"/>
      <c r="K57" s="127" t="n"/>
      <c r="L57" s="126" t="n"/>
    </row>
    <row r="58">
      <c r="A58" s="124">
        <f>IF(B58="","","AI-"&amp;TEXT(ROW()-4,"0000"))</f>
        <v/>
      </c>
      <c r="B58" s="139" t="n"/>
      <c r="C58" s="127" t="n"/>
      <c r="D58" s="126" t="n"/>
      <c r="E58" s="127" t="n"/>
      <c r="F58" s="127" t="n"/>
      <c r="G58" s="127" t="n"/>
      <c r="H58" s="127" t="n"/>
      <c r="I58" s="127" t="n"/>
      <c r="J58" s="127" t="n"/>
      <c r="K58" s="127" t="n"/>
      <c r="L58" s="126" t="n"/>
    </row>
    <row r="59">
      <c r="A59" s="124">
        <f>IF(B59="","","AI-"&amp;TEXT(ROW()-4,"0000"))</f>
        <v/>
      </c>
      <c r="B59" s="139" t="n"/>
      <c r="C59" s="127" t="n"/>
      <c r="D59" s="126" t="n"/>
      <c r="E59" s="127" t="n"/>
      <c r="F59" s="127" t="n"/>
      <c r="G59" s="127" t="n"/>
      <c r="H59" s="127" t="n"/>
      <c r="I59" s="127" t="n"/>
      <c r="J59" s="127" t="n"/>
      <c r="K59" s="127" t="n"/>
      <c r="L59" s="126" t="n"/>
    </row>
    <row r="60">
      <c r="A60" s="124">
        <f>IF(B60="","","AI-"&amp;TEXT(ROW()-4,"0000"))</f>
        <v/>
      </c>
      <c r="B60" s="139" t="n"/>
      <c r="C60" s="127" t="n"/>
      <c r="D60" s="126" t="n"/>
      <c r="E60" s="127" t="n"/>
      <c r="F60" s="127" t="n"/>
      <c r="G60" s="127" t="n"/>
      <c r="H60" s="127" t="n"/>
      <c r="I60" s="127" t="n"/>
      <c r="J60" s="127" t="n"/>
      <c r="K60" s="127" t="n"/>
      <c r="L60" s="126" t="n"/>
    </row>
    <row r="61">
      <c r="A61" s="124">
        <f>IF(B61="","","AI-"&amp;TEXT(ROW()-4,"0000"))</f>
        <v/>
      </c>
      <c r="B61" s="139" t="n"/>
      <c r="C61" s="127" t="n"/>
      <c r="D61" s="126" t="n"/>
      <c r="E61" s="127" t="n"/>
      <c r="F61" s="127" t="n"/>
      <c r="G61" s="127" t="n"/>
      <c r="H61" s="127" t="n"/>
      <c r="I61" s="127" t="n"/>
      <c r="J61" s="127" t="n"/>
      <c r="K61" s="127" t="n"/>
      <c r="L61" s="126" t="n"/>
    </row>
    <row r="62">
      <c r="A62" s="124">
        <f>IF(B62="","","AI-"&amp;TEXT(ROW()-4,"0000"))</f>
        <v/>
      </c>
      <c r="B62" s="139" t="n"/>
      <c r="C62" s="127" t="n"/>
      <c r="D62" s="126" t="n"/>
      <c r="E62" s="127" t="n"/>
      <c r="F62" s="127" t="n"/>
      <c r="G62" s="127" t="n"/>
      <c r="H62" s="127" t="n"/>
      <c r="I62" s="127" t="n"/>
      <c r="J62" s="127" t="n"/>
      <c r="K62" s="127" t="n"/>
      <c r="L62" s="126" t="n"/>
    </row>
    <row r="63">
      <c r="A63" s="124">
        <f>IF(B63="","","AI-"&amp;TEXT(ROW()-4,"0000"))</f>
        <v/>
      </c>
      <c r="B63" s="139" t="n"/>
      <c r="C63" s="127" t="n"/>
      <c r="D63" s="126" t="n"/>
      <c r="E63" s="127" t="n"/>
      <c r="F63" s="127" t="n"/>
      <c r="G63" s="127" t="n"/>
      <c r="H63" s="127" t="n"/>
      <c r="I63" s="127" t="n"/>
      <c r="J63" s="127" t="n"/>
      <c r="K63" s="127" t="n"/>
      <c r="L63" s="126" t="n"/>
    </row>
    <row r="64">
      <c r="A64" s="124">
        <f>IF(B64="","","AI-"&amp;TEXT(ROW()-4,"0000"))</f>
        <v/>
      </c>
      <c r="B64" s="139" t="n"/>
      <c r="C64" s="127" t="n"/>
      <c r="D64" s="126" t="n"/>
      <c r="E64" s="127" t="n"/>
      <c r="F64" s="127" t="n"/>
      <c r="G64" s="127" t="n"/>
      <c r="H64" s="127" t="n"/>
      <c r="I64" s="127" t="n"/>
      <c r="J64" s="127" t="n"/>
      <c r="K64" s="127" t="n"/>
      <c r="L64" s="126" t="n"/>
    </row>
    <row r="65">
      <c r="A65" s="124">
        <f>IF(B65="","","AI-"&amp;TEXT(ROW()-4,"0000"))</f>
        <v/>
      </c>
      <c r="B65" s="139" t="n"/>
      <c r="C65" s="127" t="n"/>
      <c r="D65" s="126" t="n"/>
      <c r="E65" s="127" t="n"/>
      <c r="F65" s="127" t="n"/>
      <c r="G65" s="127" t="n"/>
      <c r="H65" s="127" t="n"/>
      <c r="I65" s="127" t="n"/>
      <c r="J65" s="127" t="n"/>
      <c r="K65" s="127" t="n"/>
      <c r="L65" s="126" t="n"/>
    </row>
    <row r="66">
      <c r="A66" s="124">
        <f>IF(B66="","","AI-"&amp;TEXT(ROW()-4,"0000"))</f>
        <v/>
      </c>
      <c r="B66" s="139" t="n"/>
      <c r="C66" s="127" t="n"/>
      <c r="D66" s="126" t="n"/>
      <c r="E66" s="127" t="n"/>
      <c r="F66" s="127" t="n"/>
      <c r="G66" s="127" t="n"/>
      <c r="H66" s="127" t="n"/>
      <c r="I66" s="127" t="n"/>
      <c r="J66" s="127" t="n"/>
      <c r="K66" s="127" t="n"/>
      <c r="L66" s="126" t="n"/>
    </row>
    <row r="67">
      <c r="A67" s="124">
        <f>IF(B67="","","AI-"&amp;TEXT(ROW()-4,"0000"))</f>
        <v/>
      </c>
      <c r="B67" s="139" t="n"/>
      <c r="C67" s="127" t="n"/>
      <c r="D67" s="126" t="n"/>
      <c r="E67" s="127" t="n"/>
      <c r="F67" s="127" t="n"/>
      <c r="G67" s="127" t="n"/>
      <c r="H67" s="127" t="n"/>
      <c r="I67" s="127" t="n"/>
      <c r="J67" s="127" t="n"/>
      <c r="K67" s="127" t="n"/>
      <c r="L67" s="126" t="n"/>
    </row>
    <row r="68">
      <c r="A68" s="124">
        <f>IF(B68="","","AI-"&amp;TEXT(ROW()-4,"0000"))</f>
        <v/>
      </c>
      <c r="B68" s="139" t="n"/>
      <c r="C68" s="127" t="n"/>
      <c r="D68" s="126" t="n"/>
      <c r="E68" s="127" t="n"/>
      <c r="F68" s="127" t="n"/>
      <c r="G68" s="127" t="n"/>
      <c r="H68" s="127" t="n"/>
      <c r="I68" s="127" t="n"/>
      <c r="J68" s="127" t="n"/>
      <c r="K68" s="127" t="n"/>
      <c r="L68" s="126" t="n"/>
    </row>
    <row r="69">
      <c r="A69" s="124">
        <f>IF(B69="","","AI-"&amp;TEXT(ROW()-4,"0000"))</f>
        <v/>
      </c>
      <c r="B69" s="139" t="n"/>
      <c r="C69" s="127" t="n"/>
      <c r="D69" s="126" t="n"/>
      <c r="E69" s="127" t="n"/>
      <c r="F69" s="127" t="n"/>
      <c r="G69" s="127" t="n"/>
      <c r="H69" s="127" t="n"/>
      <c r="I69" s="127" t="n"/>
      <c r="J69" s="127" t="n"/>
      <c r="K69" s="127" t="n"/>
      <c r="L69" s="126" t="n"/>
    </row>
    <row r="70">
      <c r="A70" s="124">
        <f>IF(B70="","","AI-"&amp;TEXT(ROW()-4,"0000"))</f>
        <v/>
      </c>
      <c r="B70" s="139" t="n"/>
      <c r="C70" s="127" t="n"/>
      <c r="D70" s="126" t="n"/>
      <c r="E70" s="127" t="n"/>
      <c r="F70" s="127" t="n"/>
      <c r="G70" s="127" t="n"/>
      <c r="H70" s="127" t="n"/>
      <c r="I70" s="127" t="n"/>
      <c r="J70" s="127" t="n"/>
      <c r="K70" s="127" t="n"/>
      <c r="L70" s="126" t="n"/>
    </row>
    <row r="71">
      <c r="A71" s="124">
        <f>IF(B71="","","AI-"&amp;TEXT(ROW()-4,"0000"))</f>
        <v/>
      </c>
      <c r="B71" s="139" t="n"/>
      <c r="C71" s="127" t="n"/>
      <c r="D71" s="126" t="n"/>
      <c r="E71" s="127" t="n"/>
      <c r="F71" s="127" t="n"/>
      <c r="G71" s="127" t="n"/>
      <c r="H71" s="127" t="n"/>
      <c r="I71" s="127" t="n"/>
      <c r="J71" s="127" t="n"/>
      <c r="K71" s="127" t="n"/>
      <c r="L71" s="126" t="n"/>
    </row>
    <row r="72">
      <c r="A72" s="124">
        <f>IF(B72="","","AI-"&amp;TEXT(ROW()-4,"0000"))</f>
        <v/>
      </c>
      <c r="B72" s="139" t="n"/>
      <c r="C72" s="127" t="n"/>
      <c r="D72" s="126" t="n"/>
      <c r="E72" s="127" t="n"/>
      <c r="F72" s="127" t="n"/>
      <c r="G72" s="127" t="n"/>
      <c r="H72" s="127" t="n"/>
      <c r="I72" s="127" t="n"/>
      <c r="J72" s="127" t="n"/>
      <c r="K72" s="127" t="n"/>
      <c r="L72" s="126" t="n"/>
    </row>
    <row r="73">
      <c r="A73" s="124">
        <f>IF(B73="","","AI-"&amp;TEXT(ROW()-4,"0000"))</f>
        <v/>
      </c>
      <c r="B73" s="139" t="n"/>
      <c r="C73" s="127" t="n"/>
      <c r="D73" s="126" t="n"/>
      <c r="E73" s="127" t="n"/>
      <c r="F73" s="127" t="n"/>
      <c r="G73" s="127" t="n"/>
      <c r="H73" s="127" t="n"/>
      <c r="I73" s="127" t="n"/>
      <c r="J73" s="127" t="n"/>
      <c r="K73" s="127" t="n"/>
      <c r="L73" s="126" t="n"/>
    </row>
    <row r="74">
      <c r="A74" s="124">
        <f>IF(B74="","","AI-"&amp;TEXT(ROW()-4,"0000"))</f>
        <v/>
      </c>
      <c r="B74" s="139" t="n"/>
      <c r="C74" s="127" t="n"/>
      <c r="D74" s="126" t="n"/>
      <c r="E74" s="127" t="n"/>
      <c r="F74" s="127" t="n"/>
      <c r="G74" s="127" t="n"/>
      <c r="H74" s="127" t="n"/>
      <c r="I74" s="127" t="n"/>
      <c r="J74" s="127" t="n"/>
      <c r="K74" s="127" t="n"/>
      <c r="L74" s="126" t="n"/>
    </row>
    <row r="75">
      <c r="A75" s="124">
        <f>IF(B75="","","AI-"&amp;TEXT(ROW()-4,"0000"))</f>
        <v/>
      </c>
      <c r="B75" s="139" t="n"/>
      <c r="C75" s="127" t="n"/>
      <c r="D75" s="126" t="n"/>
      <c r="E75" s="127" t="n"/>
      <c r="F75" s="127" t="n"/>
      <c r="G75" s="127" t="n"/>
      <c r="H75" s="127" t="n"/>
      <c r="I75" s="127" t="n"/>
      <c r="J75" s="127" t="n"/>
      <c r="K75" s="127" t="n"/>
      <c r="L75" s="126" t="n"/>
    </row>
    <row r="76">
      <c r="A76" s="124">
        <f>IF(B76="","","AI-"&amp;TEXT(ROW()-4,"0000"))</f>
        <v/>
      </c>
      <c r="B76" s="139" t="n"/>
      <c r="C76" s="127" t="n"/>
      <c r="D76" s="126" t="n"/>
      <c r="E76" s="127" t="n"/>
      <c r="F76" s="127" t="n"/>
      <c r="G76" s="127" t="n"/>
      <c r="H76" s="127" t="n"/>
      <c r="I76" s="127" t="n"/>
      <c r="J76" s="127" t="n"/>
      <c r="K76" s="127" t="n"/>
      <c r="L76" s="126" t="n"/>
    </row>
    <row r="77">
      <c r="A77" s="124">
        <f>IF(B77="","","AI-"&amp;TEXT(ROW()-4,"0000"))</f>
        <v/>
      </c>
      <c r="B77" s="139" t="n"/>
      <c r="C77" s="127" t="n"/>
      <c r="D77" s="126" t="n"/>
      <c r="E77" s="127" t="n"/>
      <c r="F77" s="127" t="n"/>
      <c r="G77" s="127" t="n"/>
      <c r="H77" s="127" t="n"/>
      <c r="I77" s="127" t="n"/>
      <c r="J77" s="127" t="n"/>
      <c r="K77" s="127" t="n"/>
      <c r="L77" s="126" t="n"/>
    </row>
    <row r="78">
      <c r="A78" s="124">
        <f>IF(B78="","","AI-"&amp;TEXT(ROW()-4,"0000"))</f>
        <v/>
      </c>
      <c r="B78" s="139" t="n"/>
      <c r="C78" s="127" t="n"/>
      <c r="D78" s="126" t="n"/>
      <c r="E78" s="127" t="n"/>
      <c r="F78" s="127" t="n"/>
      <c r="G78" s="127" t="n"/>
      <c r="H78" s="127" t="n"/>
      <c r="I78" s="127" t="n"/>
      <c r="J78" s="127" t="n"/>
      <c r="K78" s="127" t="n"/>
      <c r="L78" s="126" t="n"/>
    </row>
    <row r="79">
      <c r="A79" s="124">
        <f>IF(B79="","","AI-"&amp;TEXT(ROW()-4,"0000"))</f>
        <v/>
      </c>
      <c r="B79" s="139" t="n"/>
      <c r="C79" s="127" t="n"/>
      <c r="D79" s="126" t="n"/>
      <c r="E79" s="127" t="n"/>
      <c r="F79" s="127" t="n"/>
      <c r="G79" s="127" t="n"/>
      <c r="H79" s="127" t="n"/>
      <c r="I79" s="127" t="n"/>
      <c r="J79" s="127" t="n"/>
      <c r="K79" s="127" t="n"/>
      <c r="L79" s="126" t="n"/>
    </row>
    <row r="80">
      <c r="A80" s="124">
        <f>IF(B80="","","AI-"&amp;TEXT(ROW()-4,"0000"))</f>
        <v/>
      </c>
      <c r="B80" s="139" t="n"/>
      <c r="C80" s="127" t="n"/>
      <c r="D80" s="126" t="n"/>
      <c r="E80" s="127" t="n"/>
      <c r="F80" s="127" t="n"/>
      <c r="G80" s="127" t="n"/>
      <c r="H80" s="127" t="n"/>
      <c r="I80" s="127" t="n"/>
      <c r="J80" s="127" t="n"/>
      <c r="K80" s="127" t="n"/>
      <c r="L80" s="126" t="n"/>
    </row>
    <row r="81">
      <c r="A81" s="124">
        <f>IF(B81="","","AI-"&amp;TEXT(ROW()-4,"0000"))</f>
        <v/>
      </c>
      <c r="B81" s="139" t="n"/>
      <c r="C81" s="127" t="n"/>
      <c r="D81" s="126" t="n"/>
      <c r="E81" s="127" t="n"/>
      <c r="F81" s="127" t="n"/>
      <c r="G81" s="127" t="n"/>
      <c r="H81" s="127" t="n"/>
      <c r="I81" s="127" t="n"/>
      <c r="J81" s="127" t="n"/>
      <c r="K81" s="127" t="n"/>
      <c r="L81" s="126" t="n"/>
    </row>
    <row r="82">
      <c r="A82" s="124">
        <f>IF(B82="","","AI-"&amp;TEXT(ROW()-4,"0000"))</f>
        <v/>
      </c>
      <c r="B82" s="139" t="n"/>
      <c r="C82" s="127" t="n"/>
      <c r="D82" s="126" t="n"/>
      <c r="E82" s="127" t="n"/>
      <c r="F82" s="127" t="n"/>
      <c r="G82" s="127" t="n"/>
      <c r="H82" s="127" t="n"/>
      <c r="I82" s="127" t="n"/>
      <c r="J82" s="127" t="n"/>
      <c r="K82" s="127" t="n"/>
      <c r="L82" s="126" t="n"/>
    </row>
    <row r="83">
      <c r="A83" s="124">
        <f>IF(B83="","","AI-"&amp;TEXT(ROW()-4,"0000"))</f>
        <v/>
      </c>
      <c r="B83" s="139" t="n"/>
      <c r="C83" s="127" t="n"/>
      <c r="D83" s="126" t="n"/>
      <c r="E83" s="127" t="n"/>
      <c r="F83" s="127" t="n"/>
      <c r="G83" s="127" t="n"/>
      <c r="H83" s="127" t="n"/>
      <c r="I83" s="127" t="n"/>
      <c r="J83" s="127" t="n"/>
      <c r="K83" s="127" t="n"/>
      <c r="L83" s="126" t="n"/>
    </row>
    <row r="84">
      <c r="A84" s="124">
        <f>IF(B84="","","AI-"&amp;TEXT(ROW()-4,"0000"))</f>
        <v/>
      </c>
      <c r="B84" s="139" t="n"/>
      <c r="C84" s="127" t="n"/>
      <c r="D84" s="126" t="n"/>
      <c r="E84" s="127" t="n"/>
      <c r="F84" s="127" t="n"/>
      <c r="G84" s="127" t="n"/>
      <c r="H84" s="127" t="n"/>
      <c r="I84" s="127" t="n"/>
      <c r="J84" s="127" t="n"/>
      <c r="K84" s="127" t="n"/>
      <c r="L84" s="126" t="n"/>
    </row>
    <row r="85">
      <c r="A85" s="124">
        <f>IF(B85="","","AI-"&amp;TEXT(ROW()-4,"0000"))</f>
        <v/>
      </c>
      <c r="B85" s="139" t="n"/>
      <c r="C85" s="127" t="n"/>
      <c r="D85" s="126" t="n"/>
      <c r="E85" s="127" t="n"/>
      <c r="F85" s="127" t="n"/>
      <c r="G85" s="127" t="n"/>
      <c r="H85" s="127" t="n"/>
      <c r="I85" s="127" t="n"/>
      <c r="J85" s="127" t="n"/>
      <c r="K85" s="127" t="n"/>
      <c r="L85" s="126" t="n"/>
    </row>
    <row r="86">
      <c r="A86" s="124">
        <f>IF(B86="","","AI-"&amp;TEXT(ROW()-4,"0000"))</f>
        <v/>
      </c>
      <c r="B86" s="139" t="n"/>
      <c r="C86" s="127" t="n"/>
      <c r="D86" s="126" t="n"/>
      <c r="E86" s="127" t="n"/>
      <c r="F86" s="127" t="n"/>
      <c r="G86" s="127" t="n"/>
      <c r="H86" s="127" t="n"/>
      <c r="I86" s="127" t="n"/>
      <c r="J86" s="127" t="n"/>
      <c r="K86" s="127" t="n"/>
      <c r="L86" s="126" t="n"/>
    </row>
    <row r="87">
      <c r="A87" s="124">
        <f>IF(B87="","","AI-"&amp;TEXT(ROW()-4,"0000"))</f>
        <v/>
      </c>
      <c r="B87" s="139" t="n"/>
      <c r="C87" s="127" t="n"/>
      <c r="D87" s="126" t="n"/>
      <c r="E87" s="127" t="n"/>
      <c r="F87" s="127" t="n"/>
      <c r="G87" s="127" t="n"/>
      <c r="H87" s="127" t="n"/>
      <c r="I87" s="127" t="n"/>
      <c r="J87" s="127" t="n"/>
      <c r="K87" s="127" t="n"/>
      <c r="L87" s="126" t="n"/>
    </row>
    <row r="88">
      <c r="A88" s="124">
        <f>IF(B88="","","AI-"&amp;TEXT(ROW()-4,"0000"))</f>
        <v/>
      </c>
      <c r="B88" s="139" t="n"/>
      <c r="C88" s="127" t="n"/>
      <c r="D88" s="126" t="n"/>
      <c r="E88" s="127" t="n"/>
      <c r="F88" s="127" t="n"/>
      <c r="G88" s="127" t="n"/>
      <c r="H88" s="127" t="n"/>
      <c r="I88" s="127" t="n"/>
      <c r="J88" s="127" t="n"/>
      <c r="K88" s="127" t="n"/>
      <c r="L88" s="126" t="n"/>
    </row>
    <row r="89">
      <c r="A89" s="124">
        <f>IF(B89="","","AI-"&amp;TEXT(ROW()-4,"0000"))</f>
        <v/>
      </c>
      <c r="B89" s="139" t="n"/>
      <c r="C89" s="127" t="n"/>
      <c r="D89" s="126" t="n"/>
      <c r="E89" s="127" t="n"/>
      <c r="F89" s="127" t="n"/>
      <c r="G89" s="127" t="n"/>
      <c r="H89" s="127" t="n"/>
      <c r="I89" s="127" t="n"/>
      <c r="J89" s="127" t="n"/>
      <c r="K89" s="127" t="n"/>
      <c r="L89" s="126" t="n"/>
    </row>
    <row r="90">
      <c r="A90" s="124">
        <f>IF(B90="","","AI-"&amp;TEXT(ROW()-4,"0000"))</f>
        <v/>
      </c>
      <c r="B90" s="139" t="n"/>
      <c r="C90" s="127" t="n"/>
      <c r="D90" s="126" t="n"/>
      <c r="E90" s="127" t="n"/>
      <c r="F90" s="127" t="n"/>
      <c r="G90" s="127" t="n"/>
      <c r="H90" s="127" t="n"/>
      <c r="I90" s="127" t="n"/>
      <c r="J90" s="127" t="n"/>
      <c r="K90" s="127" t="n"/>
      <c r="L90" s="126" t="n"/>
    </row>
    <row r="91">
      <c r="A91" s="124">
        <f>IF(B91="","","AI-"&amp;TEXT(ROW()-4,"0000"))</f>
        <v/>
      </c>
      <c r="B91" s="139" t="n"/>
      <c r="C91" s="127" t="n"/>
      <c r="D91" s="126" t="n"/>
      <c r="E91" s="127" t="n"/>
      <c r="F91" s="127" t="n"/>
      <c r="G91" s="127" t="n"/>
      <c r="H91" s="127" t="n"/>
      <c r="I91" s="127" t="n"/>
      <c r="J91" s="127" t="n"/>
      <c r="K91" s="127" t="n"/>
      <c r="L91" s="126" t="n"/>
    </row>
    <row r="92">
      <c r="A92" s="124">
        <f>IF(B92="","","AI-"&amp;TEXT(ROW()-4,"0000"))</f>
        <v/>
      </c>
      <c r="B92" s="139" t="n"/>
      <c r="C92" s="127" t="n"/>
      <c r="D92" s="126" t="n"/>
      <c r="E92" s="127" t="n"/>
      <c r="F92" s="127" t="n"/>
      <c r="G92" s="127" t="n"/>
      <c r="H92" s="127" t="n"/>
      <c r="I92" s="127" t="n"/>
      <c r="J92" s="127" t="n"/>
      <c r="K92" s="127" t="n"/>
      <c r="L92" s="126" t="n"/>
    </row>
    <row r="93">
      <c r="A93" s="124">
        <f>IF(B93="","","AI-"&amp;TEXT(ROW()-4,"0000"))</f>
        <v/>
      </c>
      <c r="B93" s="139" t="n"/>
      <c r="C93" s="127" t="n"/>
      <c r="D93" s="126" t="n"/>
      <c r="E93" s="127" t="n"/>
      <c r="F93" s="127" t="n"/>
      <c r="G93" s="127" t="n"/>
      <c r="H93" s="127" t="n"/>
      <c r="I93" s="127" t="n"/>
      <c r="J93" s="127" t="n"/>
      <c r="K93" s="127" t="n"/>
      <c r="L93" s="126" t="n"/>
    </row>
    <row r="94">
      <c r="A94" s="124">
        <f>IF(B94="","","AI-"&amp;TEXT(ROW()-4,"0000"))</f>
        <v/>
      </c>
      <c r="B94" s="139" t="n"/>
      <c r="C94" s="127" t="n"/>
      <c r="D94" s="126" t="n"/>
      <c r="E94" s="127" t="n"/>
      <c r="F94" s="127" t="n"/>
      <c r="G94" s="127" t="n"/>
      <c r="H94" s="127" t="n"/>
      <c r="I94" s="127" t="n"/>
      <c r="J94" s="127" t="n"/>
      <c r="K94" s="127" t="n"/>
      <c r="L94" s="126" t="n"/>
    </row>
    <row r="95">
      <c r="A95" s="124">
        <f>IF(B95="","","AI-"&amp;TEXT(ROW()-4,"0000"))</f>
        <v/>
      </c>
      <c r="B95" s="139" t="n"/>
      <c r="C95" s="127" t="n"/>
      <c r="D95" s="126" t="n"/>
      <c r="E95" s="127" t="n"/>
      <c r="F95" s="127" t="n"/>
      <c r="G95" s="127" t="n"/>
      <c r="H95" s="127" t="n"/>
      <c r="I95" s="127" t="n"/>
      <c r="J95" s="127" t="n"/>
      <c r="K95" s="127" t="n"/>
      <c r="L95" s="126" t="n"/>
    </row>
    <row r="96">
      <c r="A96" s="124">
        <f>IF(B96="","","AI-"&amp;TEXT(ROW()-4,"0000"))</f>
        <v/>
      </c>
      <c r="B96" s="139" t="n"/>
      <c r="C96" s="127" t="n"/>
      <c r="D96" s="126" t="n"/>
      <c r="E96" s="127" t="n"/>
      <c r="F96" s="127" t="n"/>
      <c r="G96" s="127" t="n"/>
      <c r="H96" s="127" t="n"/>
      <c r="I96" s="127" t="n"/>
      <c r="J96" s="127" t="n"/>
      <c r="K96" s="127" t="n"/>
      <c r="L96" s="126" t="n"/>
    </row>
    <row r="97">
      <c r="A97" s="124">
        <f>IF(B97="","","AI-"&amp;TEXT(ROW()-4,"0000"))</f>
        <v/>
      </c>
      <c r="B97" s="139" t="n"/>
      <c r="C97" s="127" t="n"/>
      <c r="D97" s="126" t="n"/>
      <c r="E97" s="127" t="n"/>
      <c r="F97" s="127" t="n"/>
      <c r="G97" s="127" t="n"/>
      <c r="H97" s="127" t="n"/>
      <c r="I97" s="127" t="n"/>
      <c r="J97" s="127" t="n"/>
      <c r="K97" s="127" t="n"/>
      <c r="L97" s="126" t="n"/>
    </row>
    <row r="98">
      <c r="A98" s="124">
        <f>IF(B98="","","AI-"&amp;TEXT(ROW()-4,"0000"))</f>
        <v/>
      </c>
      <c r="B98" s="139" t="n"/>
      <c r="C98" s="127" t="n"/>
      <c r="D98" s="126" t="n"/>
      <c r="E98" s="127" t="n"/>
      <c r="F98" s="127" t="n"/>
      <c r="G98" s="127" t="n"/>
      <c r="H98" s="127" t="n"/>
      <c r="I98" s="127" t="n"/>
      <c r="J98" s="127" t="n"/>
      <c r="K98" s="127" t="n"/>
      <c r="L98" s="126" t="n"/>
    </row>
    <row r="99">
      <c r="A99" s="124">
        <f>IF(B99="","","AI-"&amp;TEXT(ROW()-4,"0000"))</f>
        <v/>
      </c>
      <c r="B99" s="139" t="n"/>
      <c r="C99" s="127" t="n"/>
      <c r="D99" s="126" t="n"/>
      <c r="E99" s="127" t="n"/>
      <c r="F99" s="127" t="n"/>
      <c r="G99" s="127" t="n"/>
      <c r="H99" s="127" t="n"/>
      <c r="I99" s="127" t="n"/>
      <c r="J99" s="127" t="n"/>
      <c r="K99" s="127" t="n"/>
      <c r="L99" s="126" t="n"/>
    </row>
    <row r="100">
      <c r="A100" s="124">
        <f>IF(B100="","","AI-"&amp;TEXT(ROW()-4,"0000"))</f>
        <v/>
      </c>
      <c r="B100" s="139" t="n"/>
      <c r="C100" s="127" t="n"/>
      <c r="D100" s="126" t="n"/>
      <c r="E100" s="127" t="n"/>
      <c r="F100" s="127" t="n"/>
      <c r="G100" s="127" t="n"/>
      <c r="H100" s="127" t="n"/>
      <c r="I100" s="127" t="n"/>
      <c r="J100" s="127" t="n"/>
      <c r="K100" s="127" t="n"/>
      <c r="L100" s="126" t="n"/>
    </row>
    <row r="101">
      <c r="A101" s="124">
        <f>IF(B101="","","AI-"&amp;TEXT(ROW()-4,"0000"))</f>
        <v/>
      </c>
      <c r="B101" s="139" t="n"/>
      <c r="C101" s="127" t="n"/>
      <c r="D101" s="126" t="n"/>
      <c r="E101" s="127" t="n"/>
      <c r="F101" s="127" t="n"/>
      <c r="G101" s="127" t="n"/>
      <c r="H101" s="127" t="n"/>
      <c r="I101" s="127" t="n"/>
      <c r="J101" s="127" t="n"/>
      <c r="K101" s="127" t="n"/>
      <c r="L101" s="126" t="n"/>
    </row>
    <row r="102">
      <c r="A102" s="124">
        <f>IF(B102="","","AI-"&amp;TEXT(ROW()-4,"0000"))</f>
        <v/>
      </c>
      <c r="B102" s="139" t="n"/>
      <c r="C102" s="127" t="n"/>
      <c r="D102" s="126" t="n"/>
      <c r="E102" s="127" t="n"/>
      <c r="F102" s="127" t="n"/>
      <c r="G102" s="127" t="n"/>
      <c r="H102" s="127" t="n"/>
      <c r="I102" s="127" t="n"/>
      <c r="J102" s="127" t="n"/>
      <c r="K102" s="127" t="n"/>
      <c r="L102" s="126" t="n"/>
    </row>
    <row r="103">
      <c r="A103" s="124">
        <f>IF(B103="","","AI-"&amp;TEXT(ROW()-4,"0000"))</f>
        <v/>
      </c>
      <c r="B103" s="139" t="n"/>
      <c r="C103" s="127" t="n"/>
      <c r="D103" s="126" t="n"/>
      <c r="E103" s="127" t="n"/>
      <c r="F103" s="127" t="n"/>
      <c r="G103" s="127" t="n"/>
      <c r="H103" s="127" t="n"/>
      <c r="I103" s="127" t="n"/>
      <c r="J103" s="127" t="n"/>
      <c r="K103" s="127" t="n"/>
      <c r="L103" s="126" t="n"/>
    </row>
    <row r="104">
      <c r="A104" s="124">
        <f>IF(B104="","","AI-"&amp;TEXT(ROW()-4,"0000"))</f>
        <v/>
      </c>
      <c r="B104" s="139" t="n"/>
      <c r="C104" s="127" t="n"/>
      <c r="D104" s="126" t="n"/>
      <c r="E104" s="127" t="n"/>
      <c r="F104" s="127" t="n"/>
      <c r="G104" s="127" t="n"/>
      <c r="H104" s="127" t="n"/>
      <c r="I104" s="127" t="n"/>
      <c r="J104" s="127" t="n"/>
      <c r="K104" s="127" t="n"/>
      <c r="L104" s="126" t="n"/>
    </row>
  </sheetData>
  <autoFilter ref="A4:L104"/>
  <mergeCells count="2">
    <mergeCell ref="A2:L2"/>
    <mergeCell ref="A1:L1"/>
  </mergeCells>
  <dataValidations count="3">
    <dataValidation sqref="C5:C104" showDropDown="0" showInputMessage="0" showErrorMessage="0" allowBlank="1" type="list">
      <formula1>"健康扫描,周报生成,风险分析,变更分析,会议提取,专项诊断"</formula1>
    </dataValidation>
    <dataValidation sqref="G5:G104" showDropDown="0" showInputMessage="0" showErrorMessage="0" allowBlank="1" type="list">
      <formula1>"低,中,高"</formula1>
    </dataValidation>
    <dataValidation sqref="K5:K104" showDropDown="0" showInputMessage="0" showErrorMessage="0" allowBlank="1" type="list">
      <formula1>"待确认,已采纳,部分采纳,不采纳,已完成"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2026-09-08T16:35:00Z</dcterms:created>
  <dcterms:modified xmlns:dcterms="http://purl.org/dc/terms/" xmlns:xsi="http://www.w3.org/2001/XMLSchema-instance" xsi:type="dcterms:W3CDTF">2026-09-08T00:26:20Z</dcterms:modified>
  <cp:lastModifiedBy>zlyyh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B8CC3DE354BB04E2B8839A6A0D2E0D31_42</vt:lpwstr>
  </property>
  <property name="KSOProductBuildVer" fmtid="{D5CDD505-2E9C-101B-9397-08002B2CF9AE}" pid="3">
    <vt:lpwstr xmlns:vt="http://schemas.openxmlformats.org/officeDocument/2006/docPropsVTypes">2052-12.1.25869.25869</vt:lpwstr>
  </property>
  <property name="CalculationRule" fmtid="{D5CDD505-2E9C-101B-9397-08002B2CF9AE}" pid="4">
    <vt:i4 xmlns:vt="http://schemas.openxmlformats.org/officeDocument/2006/docPropsVTypes">0</vt:i4>
  </property>
</Properties>
</file>